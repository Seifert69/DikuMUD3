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8FC5B969-614E-4712-8A67-36A8B225B297}" xr6:coauthVersionLast="47" xr6:coauthVersionMax="47" xr10:uidLastSave="{00000000-0000-0000-0000-000000000000}"/>
  <bookViews>
    <workbookView xWindow="-108" yWindow="-108" windowWidth="23256" windowHeight="12576" tabRatio="672" firstSheet="3" activeTab="5" xr2:uid="{977DB0C7-4D62-45A8-9D5B-F1F4FAFEFC03}"/>
  </bookViews>
  <sheets>
    <sheet name="Guides" sheetId="24" r:id="rId1"/>
    <sheet name="Practice" sheetId="23" r:id="rId2"/>
    <sheet name="prof_modifier" sheetId="20" r:id="rId3"/>
    <sheet name="race_modifier" sheetId="19" r:id="rId4"/>
    <sheet name="modifier_values_data" sheetId="28" r:id="rId5"/>
    <sheet name="Skills" sheetId="31" r:id="rId6"/>
    <sheet name="Spells" sheetId="32" r:id="rId7"/>
    <sheet name="Weapons" sheetId="33" r:id="rId8"/>
    <sheet name="Base" sheetId="27" r:id="rId9"/>
    <sheet name="Radical" sheetId="29" r:id="rId10"/>
    <sheet name="def" sheetId="30" r:id="rId11"/>
  </sheets>
  <definedNames>
    <definedName name="_xlnm._FilterDatabase" localSheetId="5" hidden="1">Skills!$A$2:$AI$77</definedName>
    <definedName name="_xlnm._FilterDatabase" localSheetId="6" hidden="1">Spells!$A$2:$AI$239</definedName>
    <definedName name="_xlnm._FilterDatabase" localSheetId="7" hidden="1">Weapons!$A$2:$AI$74</definedName>
    <definedName name="TblAbilities">race_modifier!$A$3:$A$10</definedName>
    <definedName name="TblBonusMaxSkill">Practice!$A$19:$B$33</definedName>
    <definedName name="TblConcat">modifier_values_data!$J$2:$J$1145</definedName>
    <definedName name="TblPracticeCost">Practice!$B$5:$P$8</definedName>
    <definedName name="TblProfessions">prof_modifier!$B$4:$N$4</definedName>
    <definedName name="TblProfessionValues">prof_modifier!$B$5:$N$12</definedName>
    <definedName name="TblRaces">race_modifier!$B$2:$L$2</definedName>
    <definedName name="TblRaceValues">race_modifier!$B$3:$L$10</definedName>
    <definedName name="tblSkills">Skills!$A$2:$AI$77</definedName>
    <definedName name="tblSpells">Spells!$A$2:$AI$239</definedName>
    <definedName name="TblSummary">modifier_values_data!$A$2:$J$1145</definedName>
    <definedName name="tblWeapons">Weapons!$A$2:$AJ$74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04" i="33" l="1"/>
  <c r="J104" i="33"/>
  <c r="J97" i="33"/>
  <c r="I97" i="33"/>
  <c r="H97" i="33"/>
  <c r="J101" i="33" s="1"/>
  <c r="K101" i="33" s="1"/>
  <c r="J96" i="33"/>
  <c r="I96" i="33"/>
  <c r="H96" i="33"/>
  <c r="J103" i="33"/>
  <c r="K103" i="33" s="1"/>
  <c r="J102" i="33"/>
  <c r="K102" i="33" s="1"/>
  <c r="I104" i="33"/>
  <c r="H101" i="33"/>
  <c r="I101" i="33" s="1"/>
  <c r="O33" i="29"/>
  <c r="N33" i="29"/>
  <c r="O32" i="29"/>
  <c r="N32" i="29"/>
  <c r="O31" i="29"/>
  <c r="N31" i="29"/>
  <c r="O30" i="29"/>
  <c r="N30" i="29"/>
  <c r="O29" i="29"/>
  <c r="N29" i="29"/>
  <c r="O28" i="29"/>
  <c r="N28" i="29"/>
  <c r="O27" i="29"/>
  <c r="N27" i="29"/>
  <c r="O26" i="29"/>
  <c r="N26" i="29"/>
  <c r="K24" i="19"/>
  <c r="K23" i="19"/>
  <c r="K21" i="19"/>
  <c r="B84" i="28"/>
  <c r="B85" i="28" s="1"/>
  <c r="B86" i="28" s="1"/>
  <c r="B87" i="28" s="1"/>
  <c r="B88" i="28" s="1"/>
  <c r="B89" i="28" s="1"/>
  <c r="B83" i="28"/>
  <c r="B67" i="28"/>
  <c r="B68" i="28" s="1"/>
  <c r="B69" i="28" s="1"/>
  <c r="B70" i="28" s="1"/>
  <c r="B71" i="28" s="1"/>
  <c r="B72" i="28" s="1"/>
  <c r="B73" i="28" s="1"/>
  <c r="N19" i="29"/>
  <c r="N18" i="29"/>
  <c r="N17" i="29"/>
  <c r="N16" i="29"/>
  <c r="N15" i="29"/>
  <c r="N14" i="29"/>
  <c r="N13" i="29"/>
  <c r="N12" i="29"/>
  <c r="O19" i="29"/>
  <c r="O18" i="29"/>
  <c r="O17" i="29"/>
  <c r="O16" i="29"/>
  <c r="O15" i="29"/>
  <c r="O14" i="29"/>
  <c r="O13" i="29"/>
  <c r="O12" i="29"/>
  <c r="J106" i="28"/>
  <c r="J210" i="28"/>
  <c r="J314" i="28"/>
  <c r="J418" i="28"/>
  <c r="J522" i="28"/>
  <c r="J626" i="28"/>
  <c r="J730" i="28"/>
  <c r="J834" i="28"/>
  <c r="J938" i="28"/>
  <c r="J1042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5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49" i="28"/>
  <c r="E250" i="28"/>
  <c r="E251" i="28"/>
  <c r="E252" i="28"/>
  <c r="E253" i="28"/>
  <c r="E254" i="28"/>
  <c r="E255" i="28"/>
  <c r="E256" i="28"/>
  <c r="E257" i="28"/>
  <c r="E258" i="28"/>
  <c r="E259" i="28"/>
  <c r="E260" i="28"/>
  <c r="E261" i="28"/>
  <c r="E262" i="28"/>
  <c r="E263" i="28"/>
  <c r="E264" i="28"/>
  <c r="E265" i="28"/>
  <c r="E266" i="28"/>
  <c r="E267" i="28"/>
  <c r="E268" i="28"/>
  <c r="E269" i="28"/>
  <c r="E270" i="28"/>
  <c r="E271" i="28"/>
  <c r="E272" i="28"/>
  <c r="E273" i="28"/>
  <c r="E274" i="28"/>
  <c r="E275" i="28"/>
  <c r="E276" i="28"/>
  <c r="E277" i="28"/>
  <c r="E278" i="28"/>
  <c r="E279" i="28"/>
  <c r="E280" i="28"/>
  <c r="E281" i="28"/>
  <c r="E282" i="28"/>
  <c r="E283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2" i="28"/>
  <c r="E313" i="28"/>
  <c r="D314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4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89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D418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E431" i="28"/>
  <c r="E432" i="28"/>
  <c r="E433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E447" i="28"/>
  <c r="E448" i="28"/>
  <c r="E449" i="28"/>
  <c r="E450" i="28"/>
  <c r="E451" i="28"/>
  <c r="E452" i="28"/>
  <c r="E453" i="28"/>
  <c r="E454" i="28"/>
  <c r="E455" i="28"/>
  <c r="E456" i="28"/>
  <c r="E457" i="28"/>
  <c r="E458" i="28"/>
  <c r="E459" i="28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E515" i="28"/>
  <c r="E516" i="28"/>
  <c r="E517" i="28"/>
  <c r="E518" i="28"/>
  <c r="E519" i="28"/>
  <c r="E520" i="28"/>
  <c r="E521" i="28"/>
  <c r="D522" i="28"/>
  <c r="E522" i="28"/>
  <c r="E523" i="28"/>
  <c r="E524" i="28"/>
  <c r="E525" i="28"/>
  <c r="E526" i="28"/>
  <c r="E527" i="28"/>
  <c r="E528" i="28"/>
  <c r="E529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E546" i="28"/>
  <c r="E547" i="28"/>
  <c r="E548" i="28"/>
  <c r="E549" i="28"/>
  <c r="E550" i="28"/>
  <c r="E551" i="28"/>
  <c r="E552" i="28"/>
  <c r="E553" i="28"/>
  <c r="E554" i="28"/>
  <c r="E555" i="28"/>
  <c r="E556" i="28"/>
  <c r="E557" i="28"/>
  <c r="E558" i="28"/>
  <c r="E559" i="28"/>
  <c r="E560" i="28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E582" i="28"/>
  <c r="E583" i="28"/>
  <c r="E584" i="28"/>
  <c r="E585" i="28"/>
  <c r="E586" i="28"/>
  <c r="E587" i="28"/>
  <c r="E588" i="28"/>
  <c r="E589" i="28"/>
  <c r="E590" i="28"/>
  <c r="E591" i="28"/>
  <c r="E592" i="28"/>
  <c r="E593" i="28"/>
  <c r="E594" i="28"/>
  <c r="E595" i="28"/>
  <c r="E596" i="28"/>
  <c r="E597" i="28"/>
  <c r="E598" i="28"/>
  <c r="E599" i="28"/>
  <c r="E600" i="28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E623" i="28"/>
  <c r="E624" i="28"/>
  <c r="E625" i="28"/>
  <c r="D626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E646" i="28"/>
  <c r="E647" i="28"/>
  <c r="E648" i="28"/>
  <c r="E649" i="28"/>
  <c r="E650" i="28"/>
  <c r="E651" i="28"/>
  <c r="E652" i="28"/>
  <c r="E653" i="28"/>
  <c r="E654" i="28"/>
  <c r="E655" i="28"/>
  <c r="E656" i="28"/>
  <c r="E657" i="28"/>
  <c r="E658" i="28"/>
  <c r="E659" i="28"/>
  <c r="E660" i="28"/>
  <c r="E661" i="28"/>
  <c r="E662" i="28"/>
  <c r="E663" i="28"/>
  <c r="E664" i="28"/>
  <c r="E665" i="28"/>
  <c r="E666" i="28"/>
  <c r="E667" i="28"/>
  <c r="E668" i="28"/>
  <c r="E669" i="28"/>
  <c r="E670" i="28"/>
  <c r="E671" i="28"/>
  <c r="E672" i="28"/>
  <c r="E673" i="28"/>
  <c r="E674" i="28"/>
  <c r="E675" i="28"/>
  <c r="E676" i="28"/>
  <c r="E677" i="28"/>
  <c r="E678" i="28"/>
  <c r="E679" i="28"/>
  <c r="E680" i="28"/>
  <c r="E681" i="28"/>
  <c r="E682" i="28"/>
  <c r="E683" i="28"/>
  <c r="E684" i="28"/>
  <c r="E685" i="28"/>
  <c r="E686" i="28"/>
  <c r="E687" i="28"/>
  <c r="E688" i="28"/>
  <c r="E689" i="28"/>
  <c r="E690" i="28"/>
  <c r="E691" i="28"/>
  <c r="E692" i="28"/>
  <c r="E693" i="28"/>
  <c r="E694" i="28"/>
  <c r="E695" i="28"/>
  <c r="E696" i="28"/>
  <c r="E697" i="28"/>
  <c r="E698" i="28"/>
  <c r="E699" i="28"/>
  <c r="E700" i="28"/>
  <c r="E701" i="28"/>
  <c r="E702" i="28"/>
  <c r="E703" i="28"/>
  <c r="E704" i="28"/>
  <c r="E705" i="28"/>
  <c r="E706" i="28"/>
  <c r="E707" i="28"/>
  <c r="E708" i="28"/>
  <c r="E709" i="28"/>
  <c r="E710" i="28"/>
  <c r="E711" i="28"/>
  <c r="E712" i="28"/>
  <c r="E713" i="28"/>
  <c r="E714" i="28"/>
  <c r="E715" i="28"/>
  <c r="E716" i="28"/>
  <c r="E717" i="28"/>
  <c r="E718" i="28"/>
  <c r="E719" i="28"/>
  <c r="E720" i="28"/>
  <c r="E721" i="28"/>
  <c r="E722" i="28"/>
  <c r="E723" i="28"/>
  <c r="E724" i="28"/>
  <c r="E725" i="28"/>
  <c r="E726" i="28"/>
  <c r="E727" i="28"/>
  <c r="E728" i="28"/>
  <c r="E729" i="28"/>
  <c r="D730" i="28"/>
  <c r="E730" i="28"/>
  <c r="E731" i="28"/>
  <c r="E732" i="28"/>
  <c r="E733" i="28"/>
  <c r="E734" i="28"/>
  <c r="E735" i="28"/>
  <c r="E736" i="28"/>
  <c r="E737" i="28"/>
  <c r="E738" i="28"/>
  <c r="E739" i="28"/>
  <c r="E740" i="28"/>
  <c r="E741" i="28"/>
  <c r="E742" i="28"/>
  <c r="E743" i="28"/>
  <c r="E744" i="28"/>
  <c r="E745" i="28"/>
  <c r="E746" i="28"/>
  <c r="E747" i="28"/>
  <c r="E748" i="28"/>
  <c r="E749" i="28"/>
  <c r="E750" i="28"/>
  <c r="E751" i="28"/>
  <c r="E752" i="28"/>
  <c r="E753" i="28"/>
  <c r="E754" i="28"/>
  <c r="E755" i="28"/>
  <c r="E756" i="28"/>
  <c r="E757" i="28"/>
  <c r="E758" i="28"/>
  <c r="E759" i="28"/>
  <c r="E760" i="28"/>
  <c r="E761" i="28"/>
  <c r="E762" i="28"/>
  <c r="E763" i="28"/>
  <c r="E764" i="28"/>
  <c r="E765" i="28"/>
  <c r="E766" i="28"/>
  <c r="E767" i="28"/>
  <c r="E768" i="28"/>
  <c r="E769" i="28"/>
  <c r="E770" i="28"/>
  <c r="E771" i="28"/>
  <c r="E772" i="28"/>
  <c r="E773" i="28"/>
  <c r="E774" i="28"/>
  <c r="E775" i="28"/>
  <c r="E776" i="28"/>
  <c r="E777" i="28"/>
  <c r="E778" i="28"/>
  <c r="E779" i="28"/>
  <c r="E780" i="28"/>
  <c r="E781" i="28"/>
  <c r="E782" i="28"/>
  <c r="E783" i="28"/>
  <c r="E784" i="28"/>
  <c r="E785" i="28"/>
  <c r="E786" i="28"/>
  <c r="E787" i="28"/>
  <c r="E788" i="28"/>
  <c r="E789" i="28"/>
  <c r="E790" i="28"/>
  <c r="E791" i="28"/>
  <c r="E792" i="28"/>
  <c r="E793" i="28"/>
  <c r="E794" i="28"/>
  <c r="E795" i="28"/>
  <c r="E796" i="28"/>
  <c r="E797" i="28"/>
  <c r="E798" i="28"/>
  <c r="E799" i="28"/>
  <c r="E800" i="28"/>
  <c r="E801" i="28"/>
  <c r="E802" i="28"/>
  <c r="E803" i="28"/>
  <c r="E804" i="28"/>
  <c r="E805" i="28"/>
  <c r="E806" i="28"/>
  <c r="E807" i="28"/>
  <c r="E808" i="28"/>
  <c r="E809" i="28"/>
  <c r="E810" i="28"/>
  <c r="E811" i="28"/>
  <c r="E812" i="28"/>
  <c r="E813" i="28"/>
  <c r="E814" i="28"/>
  <c r="E815" i="28"/>
  <c r="E816" i="28"/>
  <c r="E817" i="28"/>
  <c r="E818" i="28"/>
  <c r="E819" i="28"/>
  <c r="E820" i="28"/>
  <c r="E821" i="28"/>
  <c r="E822" i="28"/>
  <c r="E823" i="28"/>
  <c r="E824" i="28"/>
  <c r="E825" i="28"/>
  <c r="E826" i="28"/>
  <c r="E827" i="28"/>
  <c r="E828" i="28"/>
  <c r="E829" i="28"/>
  <c r="E830" i="28"/>
  <c r="E831" i="28"/>
  <c r="E832" i="28"/>
  <c r="E833" i="28"/>
  <c r="D834" i="28"/>
  <c r="E834" i="28"/>
  <c r="E835" i="28"/>
  <c r="E836" i="28"/>
  <c r="E837" i="28"/>
  <c r="E838" i="28"/>
  <c r="E839" i="28"/>
  <c r="E840" i="28"/>
  <c r="E841" i="28"/>
  <c r="E842" i="28"/>
  <c r="E843" i="28"/>
  <c r="E844" i="28"/>
  <c r="E845" i="28"/>
  <c r="E846" i="28"/>
  <c r="E847" i="28"/>
  <c r="E848" i="28"/>
  <c r="E849" i="28"/>
  <c r="E850" i="28"/>
  <c r="E851" i="28"/>
  <c r="E852" i="28"/>
  <c r="E853" i="28"/>
  <c r="E854" i="28"/>
  <c r="E855" i="28"/>
  <c r="E856" i="28"/>
  <c r="E857" i="28"/>
  <c r="E858" i="28"/>
  <c r="E859" i="28"/>
  <c r="E860" i="28"/>
  <c r="E861" i="28"/>
  <c r="E862" i="28"/>
  <c r="E863" i="28"/>
  <c r="E864" i="28"/>
  <c r="E865" i="28"/>
  <c r="E866" i="28"/>
  <c r="E867" i="28"/>
  <c r="E868" i="28"/>
  <c r="E869" i="28"/>
  <c r="E870" i="28"/>
  <c r="E871" i="28"/>
  <c r="E872" i="28"/>
  <c r="E873" i="28"/>
  <c r="E874" i="28"/>
  <c r="E875" i="28"/>
  <c r="E876" i="28"/>
  <c r="E877" i="28"/>
  <c r="E878" i="28"/>
  <c r="E879" i="28"/>
  <c r="E880" i="28"/>
  <c r="E881" i="28"/>
  <c r="E882" i="28"/>
  <c r="E883" i="28"/>
  <c r="E884" i="28"/>
  <c r="E885" i="28"/>
  <c r="E886" i="28"/>
  <c r="E887" i="28"/>
  <c r="E888" i="28"/>
  <c r="E889" i="28"/>
  <c r="E890" i="28"/>
  <c r="E891" i="28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905" i="28"/>
  <c r="E906" i="28"/>
  <c r="E907" i="28"/>
  <c r="E908" i="28"/>
  <c r="E909" i="28"/>
  <c r="E910" i="28"/>
  <c r="E911" i="28"/>
  <c r="E912" i="28"/>
  <c r="E913" i="28"/>
  <c r="E914" i="28"/>
  <c r="E915" i="28"/>
  <c r="E916" i="28"/>
  <c r="E917" i="28"/>
  <c r="E918" i="28"/>
  <c r="E919" i="28"/>
  <c r="E920" i="28"/>
  <c r="E921" i="28"/>
  <c r="E922" i="28"/>
  <c r="E923" i="28"/>
  <c r="E924" i="28"/>
  <c r="E925" i="28"/>
  <c r="E926" i="28"/>
  <c r="E927" i="28"/>
  <c r="E928" i="28"/>
  <c r="E929" i="28"/>
  <c r="E930" i="28"/>
  <c r="E931" i="28"/>
  <c r="E932" i="28"/>
  <c r="E933" i="28"/>
  <c r="E934" i="28"/>
  <c r="E935" i="28"/>
  <c r="E936" i="28"/>
  <c r="E937" i="28"/>
  <c r="D938" i="28"/>
  <c r="E938" i="28"/>
  <c r="E939" i="28"/>
  <c r="E940" i="28"/>
  <c r="E941" i="28"/>
  <c r="E942" i="28"/>
  <c r="E943" i="28"/>
  <c r="E944" i="28"/>
  <c r="E945" i="28"/>
  <c r="E946" i="28"/>
  <c r="E947" i="28"/>
  <c r="E948" i="28"/>
  <c r="E949" i="28"/>
  <c r="E950" i="28"/>
  <c r="E951" i="28"/>
  <c r="E952" i="28"/>
  <c r="E953" i="28"/>
  <c r="E954" i="28"/>
  <c r="E955" i="28"/>
  <c r="E956" i="28"/>
  <c r="E957" i="28"/>
  <c r="E958" i="28"/>
  <c r="E959" i="28"/>
  <c r="E960" i="28"/>
  <c r="E961" i="28"/>
  <c r="E962" i="28"/>
  <c r="E963" i="28"/>
  <c r="E964" i="28"/>
  <c r="E965" i="28"/>
  <c r="E966" i="28"/>
  <c r="E967" i="28"/>
  <c r="E968" i="28"/>
  <c r="E969" i="28"/>
  <c r="E970" i="28"/>
  <c r="E971" i="28"/>
  <c r="E972" i="28"/>
  <c r="E973" i="28"/>
  <c r="E974" i="28"/>
  <c r="E975" i="28"/>
  <c r="E976" i="28"/>
  <c r="E977" i="28"/>
  <c r="E978" i="28"/>
  <c r="E979" i="28"/>
  <c r="E980" i="28"/>
  <c r="E981" i="28"/>
  <c r="E982" i="28"/>
  <c r="E983" i="28"/>
  <c r="E984" i="28"/>
  <c r="E985" i="28"/>
  <c r="E986" i="28"/>
  <c r="E987" i="28"/>
  <c r="E988" i="28"/>
  <c r="E989" i="28"/>
  <c r="E990" i="28"/>
  <c r="E991" i="28"/>
  <c r="E992" i="28"/>
  <c r="E993" i="28"/>
  <c r="E994" i="28"/>
  <c r="E995" i="28"/>
  <c r="E996" i="28"/>
  <c r="E997" i="28"/>
  <c r="E998" i="28"/>
  <c r="E999" i="28"/>
  <c r="E1000" i="28"/>
  <c r="E1001" i="28"/>
  <c r="E1002" i="28"/>
  <c r="E1003" i="28"/>
  <c r="E1004" i="28"/>
  <c r="E1005" i="28"/>
  <c r="E1006" i="28"/>
  <c r="E1007" i="28"/>
  <c r="E1008" i="28"/>
  <c r="E1009" i="28"/>
  <c r="E1010" i="28"/>
  <c r="E1011" i="28"/>
  <c r="E1012" i="28"/>
  <c r="E1013" i="28"/>
  <c r="E1014" i="28"/>
  <c r="E1015" i="28"/>
  <c r="E1016" i="28"/>
  <c r="E1017" i="28"/>
  <c r="E1018" i="28"/>
  <c r="E1019" i="28"/>
  <c r="E1020" i="28"/>
  <c r="E1021" i="28"/>
  <c r="E1022" i="28"/>
  <c r="E1023" i="28"/>
  <c r="E1024" i="28"/>
  <c r="E1025" i="28"/>
  <c r="E1026" i="28"/>
  <c r="E1027" i="28"/>
  <c r="E1028" i="28"/>
  <c r="E1029" i="28"/>
  <c r="E1030" i="28"/>
  <c r="E1031" i="28"/>
  <c r="E1032" i="28"/>
  <c r="E1033" i="28"/>
  <c r="E1034" i="28"/>
  <c r="E1035" i="28"/>
  <c r="E1036" i="28"/>
  <c r="E1037" i="28"/>
  <c r="E1038" i="28"/>
  <c r="E1039" i="28"/>
  <c r="E1040" i="28"/>
  <c r="E1041" i="28"/>
  <c r="D1042" i="28"/>
  <c r="E1042" i="28"/>
  <c r="E1043" i="28"/>
  <c r="E1044" i="28"/>
  <c r="E1045" i="28"/>
  <c r="E1046" i="28"/>
  <c r="E1047" i="28"/>
  <c r="E1048" i="28"/>
  <c r="E1049" i="28"/>
  <c r="E1050" i="28"/>
  <c r="E1051" i="28"/>
  <c r="E1052" i="28"/>
  <c r="E1053" i="28"/>
  <c r="E1054" i="28"/>
  <c r="E1055" i="28"/>
  <c r="E1056" i="28"/>
  <c r="E1057" i="28"/>
  <c r="E1058" i="28"/>
  <c r="E1059" i="28"/>
  <c r="E1060" i="28"/>
  <c r="E1061" i="28"/>
  <c r="E1062" i="28"/>
  <c r="E1063" i="28"/>
  <c r="E1064" i="28"/>
  <c r="E1065" i="28"/>
  <c r="E1066" i="28"/>
  <c r="E1067" i="28"/>
  <c r="E1068" i="28"/>
  <c r="E1069" i="28"/>
  <c r="E1070" i="28"/>
  <c r="E1071" i="28"/>
  <c r="E1072" i="28"/>
  <c r="E1073" i="28"/>
  <c r="E1074" i="28"/>
  <c r="E1075" i="28"/>
  <c r="E1076" i="28"/>
  <c r="E1077" i="28"/>
  <c r="E1078" i="28"/>
  <c r="E1079" i="28"/>
  <c r="E1080" i="28"/>
  <c r="E1081" i="28"/>
  <c r="E1082" i="28"/>
  <c r="E1083" i="28"/>
  <c r="E1084" i="28"/>
  <c r="E1085" i="28"/>
  <c r="E1086" i="28"/>
  <c r="E1087" i="28"/>
  <c r="E1088" i="28"/>
  <c r="E1089" i="28"/>
  <c r="E1090" i="28"/>
  <c r="E1091" i="28"/>
  <c r="E1092" i="28"/>
  <c r="E1093" i="28"/>
  <c r="E1094" i="28"/>
  <c r="E1095" i="28"/>
  <c r="E1096" i="28"/>
  <c r="E1097" i="28"/>
  <c r="E1098" i="28"/>
  <c r="E1099" i="28"/>
  <c r="E1100" i="28"/>
  <c r="E1101" i="28"/>
  <c r="E1102" i="28"/>
  <c r="E1103" i="28"/>
  <c r="E1104" i="28"/>
  <c r="E1105" i="28"/>
  <c r="E1106" i="28"/>
  <c r="E1107" i="28"/>
  <c r="E1108" i="28"/>
  <c r="E1109" i="28"/>
  <c r="E1110" i="28"/>
  <c r="E1111" i="28"/>
  <c r="E1112" i="28"/>
  <c r="E1113" i="28"/>
  <c r="E1114" i="28"/>
  <c r="E1115" i="28"/>
  <c r="E1116" i="28"/>
  <c r="E1117" i="28"/>
  <c r="E1118" i="28"/>
  <c r="E1119" i="28"/>
  <c r="E1120" i="28"/>
  <c r="E1121" i="28"/>
  <c r="E1122" i="28"/>
  <c r="E1123" i="28"/>
  <c r="E1124" i="28"/>
  <c r="E1125" i="28"/>
  <c r="E1126" i="28"/>
  <c r="E1127" i="28"/>
  <c r="E1128" i="28"/>
  <c r="E1129" i="28"/>
  <c r="E1130" i="28"/>
  <c r="E1131" i="28"/>
  <c r="E1132" i="28"/>
  <c r="E1133" i="28"/>
  <c r="E1134" i="28"/>
  <c r="E1135" i="28"/>
  <c r="E1136" i="28"/>
  <c r="E1137" i="28"/>
  <c r="E1138" i="28"/>
  <c r="E1139" i="28"/>
  <c r="E1140" i="28"/>
  <c r="E1141" i="28"/>
  <c r="E1142" i="28"/>
  <c r="E1143" i="28"/>
  <c r="E1144" i="28"/>
  <c r="E1145" i="28"/>
  <c r="D210" i="28"/>
  <c r="E210" i="28"/>
  <c r="E211" i="28"/>
  <c r="E212" i="28"/>
  <c r="E213" i="28"/>
  <c r="E214" i="28"/>
  <c r="E215" i="28"/>
  <c r="E216" i="28"/>
  <c r="E217" i="28"/>
  <c r="A1043" i="28"/>
  <c r="A1044" i="28" s="1"/>
  <c r="A1045" i="28" s="1"/>
  <c r="A1046" i="28" s="1"/>
  <c r="A1047" i="28" s="1"/>
  <c r="A1048" i="28" s="1"/>
  <c r="A1049" i="28" s="1"/>
  <c r="A1050" i="28" s="1"/>
  <c r="A1051" i="28" s="1"/>
  <c r="A1052" i="28" s="1"/>
  <c r="A1053" i="28" s="1"/>
  <c r="A1054" i="28" s="1"/>
  <c r="A1055" i="28" s="1"/>
  <c r="A1056" i="28" s="1"/>
  <c r="A1057" i="28" s="1"/>
  <c r="A1058" i="28" s="1"/>
  <c r="A1059" i="28" s="1"/>
  <c r="A1060" i="28" s="1"/>
  <c r="A1061" i="28" s="1"/>
  <c r="A1062" i="28" s="1"/>
  <c r="A1063" i="28" s="1"/>
  <c r="A1064" i="28" s="1"/>
  <c r="A1065" i="28" s="1"/>
  <c r="A1066" i="28" s="1"/>
  <c r="A1067" i="28" s="1"/>
  <c r="A1068" i="28" s="1"/>
  <c r="A1069" i="28" s="1"/>
  <c r="A1070" i="28" s="1"/>
  <c r="A1071" i="28" s="1"/>
  <c r="A1072" i="28" s="1"/>
  <c r="A1073" i="28" s="1"/>
  <c r="A1074" i="28" s="1"/>
  <c r="A1075" i="28" s="1"/>
  <c r="A1076" i="28" s="1"/>
  <c r="A1077" i="28" s="1"/>
  <c r="A1078" i="28" s="1"/>
  <c r="A1079" i="28" s="1"/>
  <c r="A1080" i="28" s="1"/>
  <c r="A1081" i="28" s="1"/>
  <c r="A1082" i="28" s="1"/>
  <c r="A1083" i="28" s="1"/>
  <c r="A1084" i="28" s="1"/>
  <c r="A1085" i="28" s="1"/>
  <c r="A1086" i="28" s="1"/>
  <c r="A1087" i="28" s="1"/>
  <c r="A1088" i="28" s="1"/>
  <c r="A1089" i="28" s="1"/>
  <c r="A1090" i="28" s="1"/>
  <c r="A1091" i="28" s="1"/>
  <c r="A1092" i="28" s="1"/>
  <c r="A1093" i="28" s="1"/>
  <c r="A1094" i="28" s="1"/>
  <c r="A1095" i="28" s="1"/>
  <c r="A1096" i="28" s="1"/>
  <c r="A1097" i="28" s="1"/>
  <c r="A1098" i="28" s="1"/>
  <c r="A1099" i="28" s="1"/>
  <c r="A1100" i="28" s="1"/>
  <c r="A1101" i="28" s="1"/>
  <c r="A1102" i="28" s="1"/>
  <c r="A1103" i="28" s="1"/>
  <c r="A1104" i="28" s="1"/>
  <c r="A1105" i="28" s="1"/>
  <c r="A1106" i="28" s="1"/>
  <c r="A1107" i="28" s="1"/>
  <c r="A1108" i="28" s="1"/>
  <c r="A1109" i="28" s="1"/>
  <c r="A1110" i="28" s="1"/>
  <c r="A1111" i="28" s="1"/>
  <c r="A1112" i="28" s="1"/>
  <c r="A1113" i="28" s="1"/>
  <c r="A1114" i="28" s="1"/>
  <c r="A1115" i="28" s="1"/>
  <c r="A1116" i="28" s="1"/>
  <c r="A1117" i="28" s="1"/>
  <c r="A1118" i="28" s="1"/>
  <c r="A1119" i="28" s="1"/>
  <c r="A1120" i="28" s="1"/>
  <c r="A1121" i="28" s="1"/>
  <c r="A1122" i="28" s="1"/>
  <c r="A1123" i="28" s="1"/>
  <c r="A1124" i="28" s="1"/>
  <c r="A1125" i="28" s="1"/>
  <c r="A1126" i="28" s="1"/>
  <c r="A1127" i="28" s="1"/>
  <c r="A1128" i="28" s="1"/>
  <c r="A1129" i="28" s="1"/>
  <c r="A1130" i="28" s="1"/>
  <c r="A1131" i="28" s="1"/>
  <c r="A1132" i="28" s="1"/>
  <c r="A1133" i="28" s="1"/>
  <c r="A1134" i="28" s="1"/>
  <c r="A1135" i="28" s="1"/>
  <c r="A1136" i="28" s="1"/>
  <c r="A1137" i="28" s="1"/>
  <c r="A1138" i="28" s="1"/>
  <c r="A1139" i="28" s="1"/>
  <c r="A1140" i="28" s="1"/>
  <c r="A1141" i="28" s="1"/>
  <c r="A1142" i="28" s="1"/>
  <c r="A1143" i="28" s="1"/>
  <c r="A1144" i="28" s="1"/>
  <c r="A1145" i="28" s="1"/>
  <c r="D1145" i="28" s="1"/>
  <c r="A939" i="28"/>
  <c r="J939" i="28" s="1"/>
  <c r="A835" i="28"/>
  <c r="J835" i="28" s="1"/>
  <c r="A731" i="28"/>
  <c r="A732" i="28" s="1"/>
  <c r="J732" i="28" s="1"/>
  <c r="A627" i="28"/>
  <c r="J627" i="28" s="1"/>
  <c r="A523" i="28"/>
  <c r="J523" i="28" s="1"/>
  <c r="A419" i="28"/>
  <c r="J419" i="28" s="1"/>
  <c r="A315" i="28"/>
  <c r="J315" i="28" s="1"/>
  <c r="A211" i="28"/>
  <c r="D106" i="28"/>
  <c r="E106" i="28"/>
  <c r="E107" i="28"/>
  <c r="E108" i="28"/>
  <c r="E109" i="28"/>
  <c r="E110" i="28"/>
  <c r="E111" i="28"/>
  <c r="E112" i="28"/>
  <c r="E113" i="28"/>
  <c r="E114" i="28"/>
  <c r="E115" i="28"/>
  <c r="E116" i="28"/>
  <c r="E117" i="28"/>
  <c r="E118" i="28"/>
  <c r="E119" i="28"/>
  <c r="E120" i="28"/>
  <c r="E121" i="28"/>
  <c r="E122" i="28"/>
  <c r="E123" i="28"/>
  <c r="E124" i="28"/>
  <c r="E125" i="28"/>
  <c r="E126" i="28"/>
  <c r="E127" i="28"/>
  <c r="E128" i="28"/>
  <c r="E129" i="28"/>
  <c r="E130" i="28"/>
  <c r="E131" i="28"/>
  <c r="E132" i="28"/>
  <c r="E133" i="28"/>
  <c r="E134" i="28"/>
  <c r="E135" i="28"/>
  <c r="E136" i="28"/>
  <c r="E137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7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A107" i="28"/>
  <c r="B59" i="28"/>
  <c r="B60" i="28" s="1"/>
  <c r="B61" i="28" s="1"/>
  <c r="B62" i="28" s="1"/>
  <c r="B63" i="28" s="1"/>
  <c r="B64" i="28" s="1"/>
  <c r="B65" i="28" s="1"/>
  <c r="A59" i="28"/>
  <c r="C9" i="28"/>
  <c r="C8" i="28"/>
  <c r="D8" i="28" s="1"/>
  <c r="C7" i="28"/>
  <c r="C6" i="28"/>
  <c r="C5" i="28"/>
  <c r="C4" i="28"/>
  <c r="C3" i="28"/>
  <c r="C2" i="28"/>
  <c r="B28" i="19"/>
  <c r="C28" i="19"/>
  <c r="D28" i="19"/>
  <c r="E28" i="19"/>
  <c r="F28" i="19"/>
  <c r="G28" i="19"/>
  <c r="H28" i="19"/>
  <c r="I28" i="19"/>
  <c r="J28" i="19"/>
  <c r="K28" i="19"/>
  <c r="L28" i="19"/>
  <c r="B29" i="19"/>
  <c r="C29" i="19"/>
  <c r="D29" i="19"/>
  <c r="E29" i="19"/>
  <c r="F29" i="19"/>
  <c r="G29" i="19"/>
  <c r="H29" i="19"/>
  <c r="I29" i="19"/>
  <c r="J29" i="19"/>
  <c r="K29" i="19"/>
  <c r="L29" i="19"/>
  <c r="B30" i="19"/>
  <c r="C30" i="19"/>
  <c r="D30" i="19"/>
  <c r="E30" i="19"/>
  <c r="F30" i="19"/>
  <c r="G30" i="19"/>
  <c r="H30" i="19"/>
  <c r="I30" i="19"/>
  <c r="J30" i="19"/>
  <c r="K30" i="19"/>
  <c r="L30" i="19"/>
  <c r="B31" i="19"/>
  <c r="C31" i="19"/>
  <c r="D31" i="19"/>
  <c r="E31" i="19"/>
  <c r="F31" i="19"/>
  <c r="G31" i="19"/>
  <c r="H31" i="19"/>
  <c r="I31" i="19"/>
  <c r="J31" i="19"/>
  <c r="K31" i="19"/>
  <c r="L31" i="19"/>
  <c r="B32" i="19"/>
  <c r="C32" i="19"/>
  <c r="D32" i="19"/>
  <c r="E32" i="19"/>
  <c r="F32" i="19"/>
  <c r="G32" i="19"/>
  <c r="H32" i="19"/>
  <c r="I32" i="19"/>
  <c r="J32" i="19"/>
  <c r="K32" i="19"/>
  <c r="L32" i="19"/>
  <c r="B33" i="19"/>
  <c r="C33" i="19"/>
  <c r="D33" i="19"/>
  <c r="E33" i="19"/>
  <c r="F33" i="19"/>
  <c r="G33" i="19"/>
  <c r="H33" i="19"/>
  <c r="I33" i="19"/>
  <c r="J33" i="19"/>
  <c r="K33" i="19"/>
  <c r="L33" i="19"/>
  <c r="B34" i="19"/>
  <c r="C34" i="19"/>
  <c r="D34" i="19"/>
  <c r="E34" i="19"/>
  <c r="F34" i="19"/>
  <c r="G34" i="19"/>
  <c r="H34" i="19"/>
  <c r="I34" i="19"/>
  <c r="J34" i="19"/>
  <c r="K34" i="19"/>
  <c r="L34" i="19"/>
  <c r="C27" i="19"/>
  <c r="D27" i="19"/>
  <c r="E27" i="19"/>
  <c r="F27" i="19"/>
  <c r="G27" i="19"/>
  <c r="H27" i="19"/>
  <c r="I27" i="19"/>
  <c r="J27" i="19"/>
  <c r="K27" i="19"/>
  <c r="L27" i="19"/>
  <c r="B27" i="19"/>
  <c r="B10" i="24"/>
  <c r="C10" i="24"/>
  <c r="D10" i="24"/>
  <c r="E10" i="24"/>
  <c r="F10" i="24"/>
  <c r="G10" i="24"/>
  <c r="H10" i="24"/>
  <c r="I10" i="24"/>
  <c r="B11" i="24"/>
  <c r="C11" i="24"/>
  <c r="D11" i="24"/>
  <c r="E11" i="24"/>
  <c r="F11" i="24"/>
  <c r="G11" i="24"/>
  <c r="H11" i="24"/>
  <c r="I11" i="24"/>
  <c r="C9" i="24"/>
  <c r="D9" i="24"/>
  <c r="E9" i="24"/>
  <c r="F9" i="24"/>
  <c r="G9" i="24"/>
  <c r="H9" i="24"/>
  <c r="I9" i="24"/>
  <c r="B9" i="24"/>
  <c r="D21" i="23"/>
  <c r="E21" i="23" s="1"/>
  <c r="D22" i="23"/>
  <c r="D23" i="23"/>
  <c r="D24" i="23"/>
  <c r="E24" i="23" s="1"/>
  <c r="D25" i="23"/>
  <c r="E25" i="23" s="1"/>
  <c r="D33" i="23"/>
  <c r="D32" i="23"/>
  <c r="D31" i="23"/>
  <c r="D30" i="23"/>
  <c r="D29" i="23"/>
  <c r="E29" i="23" s="1"/>
  <c r="D28" i="23"/>
  <c r="E28" i="23" s="1"/>
  <c r="D27" i="23"/>
  <c r="E27" i="23" s="1"/>
  <c r="D26" i="23"/>
  <c r="E26" i="23" s="1"/>
  <c r="B14" i="24"/>
  <c r="C20" i="23"/>
  <c r="A11" i="24"/>
  <c r="A10" i="24"/>
  <c r="A9" i="24"/>
  <c r="A14" i="24"/>
  <c r="C33" i="23"/>
  <c r="C32" i="23"/>
  <c r="C31" i="23"/>
  <c r="C30" i="23"/>
  <c r="C29" i="23"/>
  <c r="C21" i="23"/>
  <c r="C22" i="23"/>
  <c r="C23" i="23"/>
  <c r="C24" i="23"/>
  <c r="C25" i="23"/>
  <c r="C26" i="23"/>
  <c r="C27" i="23"/>
  <c r="I16" i="24"/>
  <c r="H16" i="24"/>
  <c r="G16" i="24"/>
  <c r="F16" i="24"/>
  <c r="E16" i="24"/>
  <c r="D16" i="24"/>
  <c r="C16" i="24"/>
  <c r="B16" i="24"/>
  <c r="I15" i="24"/>
  <c r="H15" i="24"/>
  <c r="G15" i="24"/>
  <c r="F15" i="24"/>
  <c r="E15" i="24"/>
  <c r="D15" i="24"/>
  <c r="C15" i="24"/>
  <c r="B15" i="24"/>
  <c r="A16" i="24"/>
  <c r="A15" i="24"/>
  <c r="I14" i="24"/>
  <c r="H14" i="24"/>
  <c r="G14" i="24"/>
  <c r="F14" i="24"/>
  <c r="E14" i="24"/>
  <c r="D14" i="24"/>
  <c r="C14" i="24"/>
  <c r="A34" i="19"/>
  <c r="A33" i="19"/>
  <c r="A32" i="19"/>
  <c r="A31" i="19"/>
  <c r="A30" i="19"/>
  <c r="A29" i="19"/>
  <c r="A28" i="19"/>
  <c r="A27" i="19"/>
  <c r="H103" i="33" l="1"/>
  <c r="I103" i="33" s="1"/>
  <c r="H102" i="33"/>
  <c r="I102" i="33" s="1"/>
  <c r="H104" i="33"/>
  <c r="J1126" i="28"/>
  <c r="J1094" i="28"/>
  <c r="J1062" i="28"/>
  <c r="J1125" i="28"/>
  <c r="J1093" i="28"/>
  <c r="J1061" i="28"/>
  <c r="D1099" i="28"/>
  <c r="F1099" i="28" s="1"/>
  <c r="H1099" i="28" s="1"/>
  <c r="J1118" i="28"/>
  <c r="J1086" i="28"/>
  <c r="J1054" i="28"/>
  <c r="J1117" i="28"/>
  <c r="J1085" i="28"/>
  <c r="J1053" i="28"/>
  <c r="J1142" i="28"/>
  <c r="J1110" i="28"/>
  <c r="J1078" i="28"/>
  <c r="J1046" i="28"/>
  <c r="J1141" i="28"/>
  <c r="J1109" i="28"/>
  <c r="J1077" i="28"/>
  <c r="J1045" i="28"/>
  <c r="J1134" i="28"/>
  <c r="J1102" i="28"/>
  <c r="J1070" i="28"/>
  <c r="J1133" i="28"/>
  <c r="J1101" i="28"/>
  <c r="J1069" i="28"/>
  <c r="D9" i="28"/>
  <c r="J9" i="28"/>
  <c r="E2" i="28"/>
  <c r="J2" i="28"/>
  <c r="A60" i="28"/>
  <c r="D3" i="28"/>
  <c r="J3" i="28"/>
  <c r="J1140" i="28"/>
  <c r="J1132" i="28"/>
  <c r="J1124" i="28"/>
  <c r="J1116" i="28"/>
  <c r="J1108" i="28"/>
  <c r="J1100" i="28"/>
  <c r="J1092" i="28"/>
  <c r="J1084" i="28"/>
  <c r="J1076" i="28"/>
  <c r="J1068" i="28"/>
  <c r="J1060" i="28"/>
  <c r="J1052" i="28"/>
  <c r="J1044" i="28"/>
  <c r="D4" i="28"/>
  <c r="J4" i="28"/>
  <c r="D107" i="28"/>
  <c r="F107" i="28" s="1"/>
  <c r="I107" i="28" s="1"/>
  <c r="J107" i="28"/>
  <c r="J1139" i="28"/>
  <c r="J1131" i="28"/>
  <c r="J1123" i="28"/>
  <c r="J1115" i="28"/>
  <c r="J1107" i="28"/>
  <c r="J1099" i="28"/>
  <c r="J1091" i="28"/>
  <c r="J1083" i="28"/>
  <c r="J1075" i="28"/>
  <c r="J1067" i="28"/>
  <c r="J1059" i="28"/>
  <c r="J1051" i="28"/>
  <c r="J1043" i="28"/>
  <c r="J731" i="28"/>
  <c r="D5" i="28"/>
  <c r="J5" i="28"/>
  <c r="D1142" i="28"/>
  <c r="F1142" i="28" s="1"/>
  <c r="J1138" i="28"/>
  <c r="J1130" i="28"/>
  <c r="J1122" i="28"/>
  <c r="J1114" i="28"/>
  <c r="J1106" i="28"/>
  <c r="J1098" i="28"/>
  <c r="J1090" i="28"/>
  <c r="J1082" i="28"/>
  <c r="J1074" i="28"/>
  <c r="J1066" i="28"/>
  <c r="J1058" i="28"/>
  <c r="J1050" i="28"/>
  <c r="A212" i="28"/>
  <c r="D212" i="28" s="1"/>
  <c r="F212" i="28" s="1"/>
  <c r="H212" i="28" s="1"/>
  <c r="J211" i="28"/>
  <c r="F1145" i="28"/>
  <c r="H1145" i="28" s="1"/>
  <c r="J1145" i="28"/>
  <c r="J1137" i="28"/>
  <c r="J1129" i="28"/>
  <c r="J1121" i="28"/>
  <c r="J1113" i="28"/>
  <c r="J1105" i="28"/>
  <c r="J1097" i="28"/>
  <c r="J1089" i="28"/>
  <c r="J1081" i="28"/>
  <c r="J1073" i="28"/>
  <c r="J1065" i="28"/>
  <c r="J1057" i="28"/>
  <c r="J1049" i="28"/>
  <c r="D7" i="28"/>
  <c r="J7" i="28"/>
  <c r="J1144" i="28"/>
  <c r="J1136" i="28"/>
  <c r="J1128" i="28"/>
  <c r="J1120" i="28"/>
  <c r="J1112" i="28"/>
  <c r="J1104" i="28"/>
  <c r="J1096" i="28"/>
  <c r="J1088" i="28"/>
  <c r="J1080" i="28"/>
  <c r="J1072" i="28"/>
  <c r="J1064" i="28"/>
  <c r="J1056" i="28"/>
  <c r="J1048" i="28"/>
  <c r="J8" i="28"/>
  <c r="D6" i="28"/>
  <c r="J6" i="28"/>
  <c r="D1093" i="28"/>
  <c r="F1093" i="28" s="1"/>
  <c r="D1070" i="28"/>
  <c r="F1070" i="28" s="1"/>
  <c r="J1143" i="28"/>
  <c r="J1135" i="28"/>
  <c r="J1127" i="28"/>
  <c r="J1119" i="28"/>
  <c r="J1111" i="28"/>
  <c r="J1103" i="28"/>
  <c r="J1095" i="28"/>
  <c r="J1087" i="28"/>
  <c r="J1079" i="28"/>
  <c r="J1071" i="28"/>
  <c r="J1063" i="28"/>
  <c r="J1055" i="28"/>
  <c r="J1047" i="28"/>
  <c r="F418" i="28"/>
  <c r="H418" i="28" s="1"/>
  <c r="F834" i="28"/>
  <c r="I834" i="28" s="1"/>
  <c r="F730" i="28"/>
  <c r="D1123" i="28"/>
  <c r="F1123" i="28" s="1"/>
  <c r="G1123" i="28" s="1"/>
  <c r="D731" i="28"/>
  <c r="F731" i="28" s="1"/>
  <c r="H731" i="28" s="1"/>
  <c r="D1141" i="28"/>
  <c r="F1141" i="28" s="1"/>
  <c r="H1141" i="28" s="1"/>
  <c r="D1127" i="28"/>
  <c r="F1127" i="28" s="1"/>
  <c r="H1127" i="28" s="1"/>
  <c r="D1103" i="28"/>
  <c r="F1103" i="28" s="1"/>
  <c r="H1103" i="28" s="1"/>
  <c r="D1098" i="28"/>
  <c r="F1098" i="28" s="1"/>
  <c r="H1098" i="28" s="1"/>
  <c r="D1069" i="28"/>
  <c r="F1069" i="28" s="1"/>
  <c r="H1069" i="28" s="1"/>
  <c r="D1051" i="28"/>
  <c r="F1051" i="28" s="1"/>
  <c r="H1051" i="28" s="1"/>
  <c r="D1114" i="28"/>
  <c r="F1114" i="28" s="1"/>
  <c r="D1108" i="28"/>
  <c r="F1108" i="28" s="1"/>
  <c r="H1108" i="28" s="1"/>
  <c r="D1045" i="28"/>
  <c r="F1045" i="28" s="1"/>
  <c r="D1126" i="28"/>
  <c r="F1126" i="28" s="1"/>
  <c r="D1102" i="28"/>
  <c r="F1102" i="28" s="1"/>
  <c r="H1102" i="28" s="1"/>
  <c r="D1050" i="28"/>
  <c r="F1050" i="28" s="1"/>
  <c r="D1139" i="28"/>
  <c r="F1139" i="28" s="1"/>
  <c r="D1067" i="28"/>
  <c r="F1067" i="28" s="1"/>
  <c r="H1067" i="28" s="1"/>
  <c r="D1061" i="28"/>
  <c r="F1061" i="28" s="1"/>
  <c r="H1061" i="28" s="1"/>
  <c r="D1054" i="28"/>
  <c r="F1054" i="28" s="1"/>
  <c r="H1054" i="28" s="1"/>
  <c r="D1124" i="28"/>
  <c r="F1124" i="28" s="1"/>
  <c r="H1124" i="28" s="1"/>
  <c r="D1111" i="28"/>
  <c r="F1111" i="28" s="1"/>
  <c r="D1105" i="28"/>
  <c r="F1105" i="28" s="1"/>
  <c r="D1066" i="28"/>
  <c r="F1066" i="28" s="1"/>
  <c r="H1066" i="28" s="1"/>
  <c r="D1060" i="28"/>
  <c r="F1060" i="28" s="1"/>
  <c r="D1048" i="28"/>
  <c r="F1048" i="28" s="1"/>
  <c r="F938" i="28"/>
  <c r="A836" i="28"/>
  <c r="J836" i="28" s="1"/>
  <c r="D835" i="28"/>
  <c r="F835" i="28" s="1"/>
  <c r="A940" i="28"/>
  <c r="J940" i="28" s="1"/>
  <c r="D939" i="28"/>
  <c r="F939" i="28" s="1"/>
  <c r="H939" i="28" s="1"/>
  <c r="D1138" i="28"/>
  <c r="F1138" i="28" s="1"/>
  <c r="H1138" i="28" s="1"/>
  <c r="D1135" i="28"/>
  <c r="F1135" i="28" s="1"/>
  <c r="H1135" i="28" s="1"/>
  <c r="D1129" i="28"/>
  <c r="F1129" i="28" s="1"/>
  <c r="H1129" i="28" s="1"/>
  <c r="D1116" i="28"/>
  <c r="F1116" i="28" s="1"/>
  <c r="D1095" i="28"/>
  <c r="F1095" i="28" s="1"/>
  <c r="H1095" i="28" s="1"/>
  <c r="D1092" i="28"/>
  <c r="F1092" i="28" s="1"/>
  <c r="H1092" i="28" s="1"/>
  <c r="D1089" i="28"/>
  <c r="F1089" i="28" s="1"/>
  <c r="H1089" i="28" s="1"/>
  <c r="D1086" i="28"/>
  <c r="F1086" i="28" s="1"/>
  <c r="G1086" i="28" s="1"/>
  <c r="D1083" i="28"/>
  <c r="F1083" i="28" s="1"/>
  <c r="H1083" i="28" s="1"/>
  <c r="D1080" i="28"/>
  <c r="F1080" i="28" s="1"/>
  <c r="H1080" i="28" s="1"/>
  <c r="D1077" i="28"/>
  <c r="F1077" i="28" s="1"/>
  <c r="H1077" i="28" s="1"/>
  <c r="D1074" i="28"/>
  <c r="F1074" i="28" s="1"/>
  <c r="D1063" i="28"/>
  <c r="F1063" i="28" s="1"/>
  <c r="H1063" i="28" s="1"/>
  <c r="D1056" i="28"/>
  <c r="F1056" i="28" s="1"/>
  <c r="H1056" i="28" s="1"/>
  <c r="D1144" i="28"/>
  <c r="F1144" i="28" s="1"/>
  <c r="H1144" i="28" s="1"/>
  <c r="D1131" i="28"/>
  <c r="F1131" i="28" s="1"/>
  <c r="D1125" i="28"/>
  <c r="F1125" i="28" s="1"/>
  <c r="H1125" i="28" s="1"/>
  <c r="D1110" i="28"/>
  <c r="F1110" i="28" s="1"/>
  <c r="D1107" i="28"/>
  <c r="F1107" i="28" s="1"/>
  <c r="D1104" i="28"/>
  <c r="F1104" i="28" s="1"/>
  <c r="D1101" i="28"/>
  <c r="F1101" i="28" s="1"/>
  <c r="D1059" i="28"/>
  <c r="F1059" i="28" s="1"/>
  <c r="D1053" i="28"/>
  <c r="F1053" i="28" s="1"/>
  <c r="D1047" i="28"/>
  <c r="F1047" i="28" s="1"/>
  <c r="H1047" i="28" s="1"/>
  <c r="D1044" i="28"/>
  <c r="F1044" i="28" s="1"/>
  <c r="H1044" i="28" s="1"/>
  <c r="A316" i="28"/>
  <c r="J316" i="28" s="1"/>
  <c r="D315" i="28"/>
  <c r="F315" i="28" s="1"/>
  <c r="D1137" i="28"/>
  <c r="F1137" i="28" s="1"/>
  <c r="D1134" i="28"/>
  <c r="F1134" i="28" s="1"/>
  <c r="D1128" i="28"/>
  <c r="F1128" i="28" s="1"/>
  <c r="H1128" i="28" s="1"/>
  <c r="D1122" i="28"/>
  <c r="F1122" i="28" s="1"/>
  <c r="H1122" i="28" s="1"/>
  <c r="D1119" i="28"/>
  <c r="F1119" i="28" s="1"/>
  <c r="H1119" i="28" s="1"/>
  <c r="D1113" i="28"/>
  <c r="F1113" i="28" s="1"/>
  <c r="H1113" i="28" s="1"/>
  <c r="D1097" i="28"/>
  <c r="F1097" i="28" s="1"/>
  <c r="H1097" i="28" s="1"/>
  <c r="D1091" i="28"/>
  <c r="F1091" i="28" s="1"/>
  <c r="H1091" i="28" s="1"/>
  <c r="D1088" i="28"/>
  <c r="F1088" i="28" s="1"/>
  <c r="H1088" i="28" s="1"/>
  <c r="D1085" i="28"/>
  <c r="F1085" i="28" s="1"/>
  <c r="D1082" i="28"/>
  <c r="F1082" i="28" s="1"/>
  <c r="D1071" i="28"/>
  <c r="F1071" i="28" s="1"/>
  <c r="H1071" i="28" s="1"/>
  <c r="D1065" i="28"/>
  <c r="F1065" i="28" s="1"/>
  <c r="A420" i="28"/>
  <c r="J420" i="28" s="1"/>
  <c r="D419" i="28"/>
  <c r="F419" i="28" s="1"/>
  <c r="H419" i="28" s="1"/>
  <c r="D211" i="28"/>
  <c r="F211" i="28" s="1"/>
  <c r="D1143" i="28"/>
  <c r="F1143" i="28" s="1"/>
  <c r="G1143" i="28" s="1"/>
  <c r="D1140" i="28"/>
  <c r="F1140" i="28" s="1"/>
  <c r="H1140" i="28" s="1"/>
  <c r="D1130" i="28"/>
  <c r="F1130" i="28" s="1"/>
  <c r="D1115" i="28"/>
  <c r="F1115" i="28" s="1"/>
  <c r="D1109" i="28"/>
  <c r="F1109" i="28" s="1"/>
  <c r="H1109" i="28" s="1"/>
  <c r="D1100" i="28"/>
  <c r="F1100" i="28" s="1"/>
  <c r="H1100" i="28" s="1"/>
  <c r="D1094" i="28"/>
  <c r="F1094" i="28" s="1"/>
  <c r="D1068" i="28"/>
  <c r="F1068" i="28" s="1"/>
  <c r="H1068" i="28" s="1"/>
  <c r="D1062" i="28"/>
  <c r="F1062" i="28" s="1"/>
  <c r="H1062" i="28" s="1"/>
  <c r="D1058" i="28"/>
  <c r="F1058" i="28" s="1"/>
  <c r="H1058" i="28" s="1"/>
  <c r="D1052" i="28"/>
  <c r="F1052" i="28" s="1"/>
  <c r="D1049" i="28"/>
  <c r="F1049" i="28" s="1"/>
  <c r="H1049" i="28" s="1"/>
  <c r="D1046" i="28"/>
  <c r="F1046" i="28" s="1"/>
  <c r="D1043" i="28"/>
  <c r="F1043" i="28" s="1"/>
  <c r="A524" i="28"/>
  <c r="J524" i="28" s="1"/>
  <c r="D523" i="28"/>
  <c r="F523" i="28" s="1"/>
  <c r="F210" i="28"/>
  <c r="D1136" i="28"/>
  <c r="F1136" i="28" s="1"/>
  <c r="D1133" i="28"/>
  <c r="F1133" i="28" s="1"/>
  <c r="H1133" i="28" s="1"/>
  <c r="D1121" i="28"/>
  <c r="F1121" i="28" s="1"/>
  <c r="D1118" i="28"/>
  <c r="F1118" i="28" s="1"/>
  <c r="H1118" i="28" s="1"/>
  <c r="D1112" i="28"/>
  <c r="F1112" i="28" s="1"/>
  <c r="H1112" i="28" s="1"/>
  <c r="D1106" i="28"/>
  <c r="F1106" i="28" s="1"/>
  <c r="H1106" i="28" s="1"/>
  <c r="D1096" i="28"/>
  <c r="F1096" i="28" s="1"/>
  <c r="H1096" i="28" s="1"/>
  <c r="D1090" i="28"/>
  <c r="F1090" i="28" s="1"/>
  <c r="H1090" i="28" s="1"/>
  <c r="D1079" i="28"/>
  <c r="F1079" i="28" s="1"/>
  <c r="H1079" i="28" s="1"/>
  <c r="D1076" i="28"/>
  <c r="F1076" i="28" s="1"/>
  <c r="H1076" i="28" s="1"/>
  <c r="D1073" i="28"/>
  <c r="F1073" i="28" s="1"/>
  <c r="H1073" i="28" s="1"/>
  <c r="D1064" i="28"/>
  <c r="F1064" i="28" s="1"/>
  <c r="H1064" i="28" s="1"/>
  <c r="D1055" i="28"/>
  <c r="F1055" i="28" s="1"/>
  <c r="H1055" i="28" s="1"/>
  <c r="F1042" i="28"/>
  <c r="A628" i="28"/>
  <c r="J628" i="28" s="1"/>
  <c r="D627" i="28"/>
  <c r="F627" i="28" s="1"/>
  <c r="H627" i="28" s="1"/>
  <c r="E6" i="28"/>
  <c r="A733" i="28"/>
  <c r="J733" i="28" s="1"/>
  <c r="D732" i="28"/>
  <c r="F732" i="28" s="1"/>
  <c r="H732" i="28" s="1"/>
  <c r="D1132" i="28"/>
  <c r="F1132" i="28" s="1"/>
  <c r="H1132" i="28" s="1"/>
  <c r="D1120" i="28"/>
  <c r="F1120" i="28" s="1"/>
  <c r="D1117" i="28"/>
  <c r="F1117" i="28" s="1"/>
  <c r="H1117" i="28" s="1"/>
  <c r="D1087" i="28"/>
  <c r="F1087" i="28" s="1"/>
  <c r="H1087" i="28" s="1"/>
  <c r="D1084" i="28"/>
  <c r="F1084" i="28" s="1"/>
  <c r="H1084" i="28" s="1"/>
  <c r="D1081" i="28"/>
  <c r="F1081" i="28" s="1"/>
  <c r="H1081" i="28" s="1"/>
  <c r="D1078" i="28"/>
  <c r="F1078" i="28" s="1"/>
  <c r="H1078" i="28" s="1"/>
  <c r="D1075" i="28"/>
  <c r="F1075" i="28" s="1"/>
  <c r="H1075" i="28" s="1"/>
  <c r="D1072" i="28"/>
  <c r="F1072" i="28" s="1"/>
  <c r="H1072" i="28" s="1"/>
  <c r="D1057" i="28"/>
  <c r="F1057" i="28" s="1"/>
  <c r="F626" i="28"/>
  <c r="F314" i="28"/>
  <c r="F522" i="28"/>
  <c r="H522" i="28" s="1"/>
  <c r="A108" i="28"/>
  <c r="J108" i="28" s="1"/>
  <c r="E9" i="28"/>
  <c r="F9" i="28" s="1"/>
  <c r="E5" i="28"/>
  <c r="F106" i="28"/>
  <c r="E8" i="28"/>
  <c r="F8" i="28" s="1"/>
  <c r="E4" i="28"/>
  <c r="E7" i="28"/>
  <c r="E3" i="28"/>
  <c r="F3" i="28" s="1"/>
  <c r="D2" i="28"/>
  <c r="C12" i="28"/>
  <c r="J12" i="28" s="1"/>
  <c r="C13" i="28"/>
  <c r="J13" i="28" s="1"/>
  <c r="C16" i="28"/>
  <c r="J16" i="28" s="1"/>
  <c r="C10" i="28"/>
  <c r="J10" i="28" s="1"/>
  <c r="C17" i="28"/>
  <c r="J17" i="28" s="1"/>
  <c r="C15" i="28"/>
  <c r="J15" i="28" s="1"/>
  <c r="C14" i="28"/>
  <c r="J14" i="28" s="1"/>
  <c r="C11" i="28"/>
  <c r="J11" i="28" s="1"/>
  <c r="E35" i="23"/>
  <c r="B36" i="19"/>
  <c r="B37" i="19" s="1"/>
  <c r="B38" i="19" s="1"/>
  <c r="C36" i="19"/>
  <c r="C37" i="19" s="1"/>
  <c r="C38" i="19" s="1"/>
  <c r="K36" i="19"/>
  <c r="K37" i="19" s="1"/>
  <c r="K38" i="19" s="1"/>
  <c r="D36" i="19"/>
  <c r="D37" i="19" s="1"/>
  <c r="D38" i="19" s="1"/>
  <c r="E36" i="19"/>
  <c r="E37" i="19" s="1"/>
  <c r="E38" i="19" s="1"/>
  <c r="F36" i="19"/>
  <c r="F37" i="19" s="1"/>
  <c r="F38" i="19" s="1"/>
  <c r="G36" i="19"/>
  <c r="G37" i="19" s="1"/>
  <c r="G38" i="19" s="1"/>
  <c r="H36" i="19"/>
  <c r="H37" i="19" s="1"/>
  <c r="H38" i="19" s="1"/>
  <c r="I36" i="19"/>
  <c r="I37" i="19" s="1"/>
  <c r="I38" i="19" s="1"/>
  <c r="J36" i="19"/>
  <c r="J37" i="19" s="1"/>
  <c r="J38" i="19" s="1"/>
  <c r="L36" i="19"/>
  <c r="L37" i="19" s="1"/>
  <c r="L38" i="19" s="1"/>
  <c r="K4" i="24"/>
  <c r="M5" i="24"/>
  <c r="M4" i="24"/>
  <c r="M6" i="24"/>
  <c r="K6" i="24"/>
  <c r="L4" i="24"/>
  <c r="L6" i="24"/>
  <c r="K5" i="24"/>
  <c r="L5" i="24"/>
  <c r="J12" i="19"/>
  <c r="N14" i="20"/>
  <c r="M14" i="20"/>
  <c r="L14" i="20"/>
  <c r="K14" i="20"/>
  <c r="J14" i="20"/>
  <c r="I14" i="20"/>
  <c r="H14" i="20"/>
  <c r="G14" i="20"/>
  <c r="F14" i="20"/>
  <c r="E14" i="20"/>
  <c r="D14" i="20"/>
  <c r="C14" i="20"/>
  <c r="B14" i="20"/>
  <c r="P12" i="20"/>
  <c r="P11" i="20"/>
  <c r="P10" i="20"/>
  <c r="P9" i="20"/>
  <c r="P8" i="20"/>
  <c r="P7" i="20"/>
  <c r="P6" i="20"/>
  <c r="P5" i="20"/>
  <c r="L12" i="19"/>
  <c r="K12" i="19"/>
  <c r="I12" i="19"/>
  <c r="H12" i="19"/>
  <c r="G12" i="19"/>
  <c r="F12" i="19"/>
  <c r="E12" i="19"/>
  <c r="D12" i="19"/>
  <c r="C12" i="19"/>
  <c r="B12" i="19"/>
  <c r="N10" i="19"/>
  <c r="N9" i="19"/>
  <c r="N8" i="19"/>
  <c r="N7" i="19"/>
  <c r="N6" i="19"/>
  <c r="N5" i="19"/>
  <c r="N4" i="19"/>
  <c r="N3" i="19"/>
  <c r="G418" i="28" l="1"/>
  <c r="F6" i="28"/>
  <c r="H6" i="28" s="1"/>
  <c r="F7" i="28"/>
  <c r="I7" i="28" s="1"/>
  <c r="I1145" i="28"/>
  <c r="G1145" i="28"/>
  <c r="I1062" i="28"/>
  <c r="F2" i="28"/>
  <c r="H2" i="28" s="1"/>
  <c r="I1054" i="28"/>
  <c r="G1054" i="28"/>
  <c r="I418" i="28"/>
  <c r="G1062" i="28"/>
  <c r="G626" i="28"/>
  <c r="H626" i="28"/>
  <c r="I1042" i="28"/>
  <c r="H1042" i="28"/>
  <c r="G1136" i="28"/>
  <c r="H1136" i="28"/>
  <c r="G1052" i="28"/>
  <c r="H1052" i="28"/>
  <c r="I1130" i="28"/>
  <c r="H1130" i="28"/>
  <c r="G1082" i="28"/>
  <c r="H1082" i="28"/>
  <c r="I1059" i="28"/>
  <c r="H1059" i="28"/>
  <c r="G835" i="28"/>
  <c r="H835" i="28"/>
  <c r="I1057" i="28"/>
  <c r="H1057" i="28"/>
  <c r="G1120" i="28"/>
  <c r="H1120" i="28"/>
  <c r="I1045" i="28"/>
  <c r="H1045" i="28"/>
  <c r="I1093" i="28"/>
  <c r="H1093" i="28"/>
  <c r="G1142" i="28"/>
  <c r="H1142" i="28"/>
  <c r="I1085" i="28"/>
  <c r="H1085" i="28"/>
  <c r="I1134" i="28"/>
  <c r="H1134" i="28"/>
  <c r="G1101" i="28"/>
  <c r="H1101" i="28"/>
  <c r="I1115" i="28"/>
  <c r="H1115" i="28"/>
  <c r="G1053" i="28"/>
  <c r="H1053" i="28"/>
  <c r="G1111" i="28"/>
  <c r="H1111" i="28"/>
  <c r="I1126" i="28"/>
  <c r="H1126" i="28"/>
  <c r="I8" i="28"/>
  <c r="H8" i="28"/>
  <c r="I1048" i="28"/>
  <c r="H1048" i="28"/>
  <c r="I210" i="28"/>
  <c r="H210" i="28"/>
  <c r="I1143" i="28"/>
  <c r="H1143" i="28"/>
  <c r="I1137" i="28"/>
  <c r="H1137" i="28"/>
  <c r="I1104" i="28"/>
  <c r="H1104" i="28"/>
  <c r="G1074" i="28"/>
  <c r="H1074" i="28"/>
  <c r="G1116" i="28"/>
  <c r="H1116" i="28"/>
  <c r="G938" i="28"/>
  <c r="H938" i="28"/>
  <c r="I1114" i="28"/>
  <c r="H1114" i="28"/>
  <c r="I1123" i="28"/>
  <c r="H1123" i="28"/>
  <c r="G3" i="28"/>
  <c r="H3" i="28"/>
  <c r="G314" i="28"/>
  <c r="H314" i="28"/>
  <c r="G106" i="28"/>
  <c r="H106" i="28"/>
  <c r="I523" i="28"/>
  <c r="H523" i="28"/>
  <c r="G211" i="28"/>
  <c r="H211" i="28"/>
  <c r="G315" i="28"/>
  <c r="H315" i="28"/>
  <c r="I1107" i="28"/>
  <c r="H1107" i="28"/>
  <c r="G730" i="28"/>
  <c r="H730" i="28"/>
  <c r="G1070" i="28"/>
  <c r="H1070" i="28"/>
  <c r="I1094" i="28"/>
  <c r="H1094" i="28"/>
  <c r="G1110" i="28"/>
  <c r="H1110" i="28"/>
  <c r="G1060" i="28"/>
  <c r="H1060" i="28"/>
  <c r="G1139" i="28"/>
  <c r="H1139" i="28"/>
  <c r="G834" i="28"/>
  <c r="H834" i="28"/>
  <c r="I9" i="28"/>
  <c r="H9" i="28"/>
  <c r="G1043" i="28"/>
  <c r="H1043" i="28"/>
  <c r="G1050" i="28"/>
  <c r="H1050" i="28"/>
  <c r="G107" i="28"/>
  <c r="H107" i="28"/>
  <c r="I1121" i="28"/>
  <c r="H1121" i="28"/>
  <c r="G1046" i="28"/>
  <c r="H1046" i="28"/>
  <c r="I1065" i="28"/>
  <c r="H1065" i="28"/>
  <c r="G1131" i="28"/>
  <c r="H1131" i="28"/>
  <c r="I1086" i="28"/>
  <c r="H1086" i="28"/>
  <c r="G1105" i="28"/>
  <c r="H1105" i="28"/>
  <c r="F4" i="28"/>
  <c r="I4" i="28" s="1"/>
  <c r="G1107" i="28"/>
  <c r="G1085" i="28"/>
  <c r="G210" i="28"/>
  <c r="A213" i="28"/>
  <c r="J212" i="28"/>
  <c r="F5" i="28"/>
  <c r="G5" i="28" s="1"/>
  <c r="A61" i="28"/>
  <c r="I1082" i="28"/>
  <c r="I1136" i="28"/>
  <c r="I938" i="28"/>
  <c r="G1115" i="28"/>
  <c r="I314" i="28"/>
  <c r="G1061" i="28"/>
  <c r="I1061" i="28"/>
  <c r="G1104" i="28"/>
  <c r="G1069" i="28"/>
  <c r="I1069" i="28"/>
  <c r="I419" i="28"/>
  <c r="G419" i="28"/>
  <c r="I730" i="28"/>
  <c r="G1042" i="28"/>
  <c r="I1139" i="28"/>
  <c r="I626" i="28"/>
  <c r="I1043" i="28"/>
  <c r="I1105" i="28"/>
  <c r="I315" i="28"/>
  <c r="I835" i="28"/>
  <c r="I1110" i="28"/>
  <c r="G1077" i="28"/>
  <c r="I1077" i="28"/>
  <c r="I1098" i="28"/>
  <c r="G1098" i="28"/>
  <c r="G523" i="28"/>
  <c r="I1116" i="28"/>
  <c r="G1093" i="28"/>
  <c r="I1142" i="28"/>
  <c r="G1065" i="28"/>
  <c r="I106" i="28"/>
  <c r="I1111" i="28"/>
  <c r="G1130" i="28"/>
  <c r="I1120" i="28"/>
  <c r="G1083" i="28"/>
  <c r="I1083" i="28"/>
  <c r="G627" i="28"/>
  <c r="I627" i="28"/>
  <c r="G1066" i="28"/>
  <c r="I1066" i="28"/>
  <c r="I1051" i="28"/>
  <c r="G1051" i="28"/>
  <c r="G1094" i="28"/>
  <c r="G1048" i="28"/>
  <c r="I1053" i="28"/>
  <c r="G1059" i="28"/>
  <c r="G1121" i="28"/>
  <c r="G1057" i="28"/>
  <c r="I1070" i="28"/>
  <c r="I211" i="28"/>
  <c r="I1060" i="28"/>
  <c r="G1137" i="28"/>
  <c r="G1045" i="28"/>
  <c r="G1118" i="28"/>
  <c r="I1118" i="28"/>
  <c r="I1144" i="28"/>
  <c r="G1144" i="28"/>
  <c r="G1080" i="28"/>
  <c r="I1080" i="28"/>
  <c r="G1102" i="28"/>
  <c r="I1102" i="28"/>
  <c r="I1103" i="28"/>
  <c r="G1103" i="28"/>
  <c r="G1132" i="28"/>
  <c r="I1132" i="28"/>
  <c r="G1090" i="28"/>
  <c r="I1090" i="28"/>
  <c r="G1127" i="28"/>
  <c r="I1127" i="28"/>
  <c r="G1100" i="28"/>
  <c r="I1100" i="28"/>
  <c r="G212" i="28"/>
  <c r="I212" i="28"/>
  <c r="I1058" i="28"/>
  <c r="G1058" i="28"/>
  <c r="I1056" i="28"/>
  <c r="G1056" i="28"/>
  <c r="I1074" i="28"/>
  <c r="G1134" i="28"/>
  <c r="I1052" i="28"/>
  <c r="I1101" i="28"/>
  <c r="I1131" i="28"/>
  <c r="G1126" i="28"/>
  <c r="G1114" i="28"/>
  <c r="I1097" i="28"/>
  <c r="G1097" i="28"/>
  <c r="G9" i="28"/>
  <c r="G1078" i="28"/>
  <c r="I1078" i="28"/>
  <c r="I1089" i="28"/>
  <c r="G1089" i="28"/>
  <c r="I1044" i="28"/>
  <c r="G1044" i="28"/>
  <c r="G1087" i="28"/>
  <c r="I1087" i="28"/>
  <c r="G1095" i="28"/>
  <c r="I1095" i="28"/>
  <c r="I1046" i="28"/>
  <c r="I732" i="28"/>
  <c r="G732" i="28"/>
  <c r="I1073" i="28"/>
  <c r="G1073" i="28"/>
  <c r="I1113" i="28"/>
  <c r="G1113" i="28"/>
  <c r="G1063" i="28"/>
  <c r="I1063" i="28"/>
  <c r="I1050" i="28"/>
  <c r="G1079" i="28"/>
  <c r="I1079" i="28"/>
  <c r="G1071" i="28"/>
  <c r="I1071" i="28"/>
  <c r="G1119" i="28"/>
  <c r="I1119" i="28"/>
  <c r="I1106" i="28"/>
  <c r="G1106" i="28"/>
  <c r="I1122" i="28"/>
  <c r="G1122" i="28"/>
  <c r="G1129" i="28"/>
  <c r="I1129" i="28"/>
  <c r="I1081" i="28"/>
  <c r="G1081" i="28"/>
  <c r="G1055" i="28"/>
  <c r="I1055" i="28"/>
  <c r="G1135" i="28"/>
  <c r="I1135" i="28"/>
  <c r="G1084" i="28"/>
  <c r="I1084" i="28"/>
  <c r="G1068" i="28"/>
  <c r="I1068" i="28"/>
  <c r="G1140" i="28"/>
  <c r="I1140" i="28"/>
  <c r="G1092" i="28"/>
  <c r="I1092" i="28"/>
  <c r="G1047" i="28"/>
  <c r="I1047" i="28"/>
  <c r="A421" i="28"/>
  <c r="J421" i="28" s="1"/>
  <c r="D420" i="28"/>
  <c r="F420" i="28" s="1"/>
  <c r="H420" i="28" s="1"/>
  <c r="G1076" i="28"/>
  <c r="I1076" i="28"/>
  <c r="A317" i="28"/>
  <c r="J317" i="28" s="1"/>
  <c r="D316" i="28"/>
  <c r="F316" i="28" s="1"/>
  <c r="H316" i="28" s="1"/>
  <c r="A941" i="28"/>
  <c r="J941" i="28" s="1"/>
  <c r="D940" i="28"/>
  <c r="F940" i="28" s="1"/>
  <c r="H940" i="28" s="1"/>
  <c r="I1138" i="28"/>
  <c r="G1138" i="28"/>
  <c r="A734" i="28"/>
  <c r="J734" i="28" s="1"/>
  <c r="D733" i="28"/>
  <c r="F733" i="28" s="1"/>
  <c r="H733" i="28" s="1"/>
  <c r="G1108" i="28"/>
  <c r="I1108" i="28"/>
  <c r="A525" i="28"/>
  <c r="J525" i="28" s="1"/>
  <c r="D524" i="28"/>
  <c r="F524" i="28" s="1"/>
  <c r="H524" i="28" s="1"/>
  <c r="A837" i="28"/>
  <c r="J837" i="28" s="1"/>
  <c r="D836" i="28"/>
  <c r="F836" i="28" s="1"/>
  <c r="H836" i="28" s="1"/>
  <c r="A629" i="28"/>
  <c r="J629" i="28" s="1"/>
  <c r="D628" i="28"/>
  <c r="F628" i="28" s="1"/>
  <c r="H628" i="28" s="1"/>
  <c r="G1124" i="28"/>
  <c r="I1124" i="28"/>
  <c r="I1049" i="28"/>
  <c r="G1049" i="28"/>
  <c r="G731" i="28"/>
  <c r="I731" i="28"/>
  <c r="G1141" i="28"/>
  <c r="I1141" i="28"/>
  <c r="G1133" i="28"/>
  <c r="I1133" i="28"/>
  <c r="G1117" i="28"/>
  <c r="I1117" i="28"/>
  <c r="G1128" i="28"/>
  <c r="I1128" i="28"/>
  <c r="G1064" i="28"/>
  <c r="I1064" i="28"/>
  <c r="G1072" i="28"/>
  <c r="I1072" i="28"/>
  <c r="G939" i="28"/>
  <c r="I939" i="28"/>
  <c r="G1067" i="28"/>
  <c r="I1067" i="28"/>
  <c r="G1125" i="28"/>
  <c r="I1125" i="28"/>
  <c r="G1096" i="28"/>
  <c r="I1096" i="28"/>
  <c r="G1075" i="28"/>
  <c r="I1075" i="28"/>
  <c r="G1099" i="28"/>
  <c r="I1099" i="28"/>
  <c r="G1088" i="28"/>
  <c r="I1088" i="28"/>
  <c r="G1112" i="28"/>
  <c r="I1112" i="28"/>
  <c r="G522" i="28"/>
  <c r="I522" i="28"/>
  <c r="G1109" i="28"/>
  <c r="I1109" i="28"/>
  <c r="G1091" i="28"/>
  <c r="I1091" i="28"/>
  <c r="G8" i="28"/>
  <c r="D17" i="28"/>
  <c r="E17" i="28"/>
  <c r="E10" i="28"/>
  <c r="D10" i="28"/>
  <c r="D16" i="28"/>
  <c r="E16" i="28"/>
  <c r="D13" i="28"/>
  <c r="E13" i="28"/>
  <c r="D12" i="28"/>
  <c r="E12" i="28"/>
  <c r="A109" i="28"/>
  <c r="J109" i="28" s="1"/>
  <c r="D108" i="28"/>
  <c r="F108" i="28" s="1"/>
  <c r="H108" i="28" s="1"/>
  <c r="D11" i="28"/>
  <c r="E11" i="28"/>
  <c r="E14" i="28"/>
  <c r="D14" i="28"/>
  <c r="D15" i="28"/>
  <c r="E15" i="28"/>
  <c r="I3" i="28"/>
  <c r="G2" i="28"/>
  <c r="C22" i="28"/>
  <c r="J22" i="28" s="1"/>
  <c r="C23" i="28"/>
  <c r="J23" i="28" s="1"/>
  <c r="C25" i="28"/>
  <c r="J25" i="28" s="1"/>
  <c r="C24" i="28"/>
  <c r="J24" i="28" s="1"/>
  <c r="C18" i="28"/>
  <c r="J18" i="28" s="1"/>
  <c r="C21" i="28"/>
  <c r="J21" i="28" s="1"/>
  <c r="C19" i="28"/>
  <c r="J19" i="28" s="1"/>
  <c r="C20" i="28"/>
  <c r="J20" i="28" s="1"/>
  <c r="G7" i="28" l="1"/>
  <c r="G6" i="28"/>
  <c r="I6" i="28"/>
  <c r="I2" i="28"/>
  <c r="H7" i="28"/>
  <c r="G4" i="28"/>
  <c r="H4" i="28"/>
  <c r="I5" i="28"/>
  <c r="H5" i="28"/>
  <c r="A62" i="28"/>
  <c r="A214" i="28"/>
  <c r="J213" i="28"/>
  <c r="D213" i="28"/>
  <c r="F213" i="28" s="1"/>
  <c r="H213" i="28" s="1"/>
  <c r="F11" i="28"/>
  <c r="F16" i="28"/>
  <c r="I836" i="28"/>
  <c r="G836" i="28"/>
  <c r="I420" i="28"/>
  <c r="G420" i="28"/>
  <c r="A630" i="28"/>
  <c r="J630" i="28" s="1"/>
  <c r="D629" i="28"/>
  <c r="F629" i="28" s="1"/>
  <c r="H629" i="28" s="1"/>
  <c r="A838" i="28"/>
  <c r="J838" i="28" s="1"/>
  <c r="D837" i="28"/>
  <c r="F837" i="28" s="1"/>
  <c r="H837" i="28" s="1"/>
  <c r="A422" i="28"/>
  <c r="J422" i="28" s="1"/>
  <c r="D421" i="28"/>
  <c r="F421" i="28" s="1"/>
  <c r="H421" i="28" s="1"/>
  <c r="A735" i="28"/>
  <c r="J735" i="28" s="1"/>
  <c r="D734" i="28"/>
  <c r="F734" i="28" s="1"/>
  <c r="H734" i="28" s="1"/>
  <c r="I524" i="28"/>
  <c r="G524" i="28"/>
  <c r="I940" i="28"/>
  <c r="G940" i="28"/>
  <c r="A526" i="28"/>
  <c r="J526" i="28" s="1"/>
  <c r="D525" i="28"/>
  <c r="F525" i="28" s="1"/>
  <c r="H525" i="28" s="1"/>
  <c r="A942" i="28"/>
  <c r="J942" i="28" s="1"/>
  <c r="D941" i="28"/>
  <c r="F941" i="28" s="1"/>
  <c r="H941" i="28" s="1"/>
  <c r="I316" i="28"/>
  <c r="G316" i="28"/>
  <c r="A318" i="28"/>
  <c r="J318" i="28" s="1"/>
  <c r="D317" i="28"/>
  <c r="F317" i="28" s="1"/>
  <c r="H317" i="28" s="1"/>
  <c r="G628" i="28"/>
  <c r="I628" i="28"/>
  <c r="G733" i="28"/>
  <c r="I733" i="28"/>
  <c r="F10" i="28"/>
  <c r="F14" i="28"/>
  <c r="F15" i="28"/>
  <c r="F12" i="28"/>
  <c r="F17" i="28"/>
  <c r="D19" i="28"/>
  <c r="E19" i="28"/>
  <c r="F13" i="28"/>
  <c r="H13" i="28" s="1"/>
  <c r="C29" i="28"/>
  <c r="J29" i="28" s="1"/>
  <c r="D21" i="28"/>
  <c r="E21" i="28"/>
  <c r="E18" i="28"/>
  <c r="D18" i="28"/>
  <c r="C32" i="28"/>
  <c r="J32" i="28" s="1"/>
  <c r="D24" i="28"/>
  <c r="E24" i="28"/>
  <c r="C33" i="28"/>
  <c r="J33" i="28" s="1"/>
  <c r="D25" i="28"/>
  <c r="E25" i="28"/>
  <c r="G108" i="28"/>
  <c r="I108" i="28"/>
  <c r="C31" i="28"/>
  <c r="J31" i="28" s="1"/>
  <c r="D23" i="28"/>
  <c r="E23" i="28"/>
  <c r="A110" i="28"/>
  <c r="J110" i="28" s="1"/>
  <c r="D109" i="28"/>
  <c r="F109" i="28" s="1"/>
  <c r="H109" i="28" s="1"/>
  <c r="C30" i="28"/>
  <c r="J30" i="28" s="1"/>
  <c r="E22" i="28"/>
  <c r="D22" i="28"/>
  <c r="D20" i="28"/>
  <c r="E20" i="28"/>
  <c r="C28" i="28"/>
  <c r="J28" i="28" s="1"/>
  <c r="C27" i="28"/>
  <c r="J27" i="28" s="1"/>
  <c r="C26" i="28"/>
  <c r="J26" i="28" s="1"/>
  <c r="I15" i="28" l="1"/>
  <c r="H15" i="28"/>
  <c r="G11" i="28"/>
  <c r="H11" i="28"/>
  <c r="I14" i="28"/>
  <c r="H14" i="28"/>
  <c r="G10" i="28"/>
  <c r="H10" i="28"/>
  <c r="G17" i="28"/>
  <c r="H17" i="28"/>
  <c r="G12" i="28"/>
  <c r="H12" i="28"/>
  <c r="G16" i="28"/>
  <c r="H16" i="28"/>
  <c r="I17" i="28"/>
  <c r="I16" i="28"/>
  <c r="I11" i="28"/>
  <c r="A215" i="28"/>
  <c r="J214" i="28"/>
  <c r="D214" i="28"/>
  <c r="F214" i="28" s="1"/>
  <c r="H214" i="28" s="1"/>
  <c r="A63" i="28"/>
  <c r="I213" i="28"/>
  <c r="G213" i="28"/>
  <c r="I10" i="28"/>
  <c r="I12" i="28"/>
  <c r="G14" i="28"/>
  <c r="G837" i="28"/>
  <c r="I837" i="28"/>
  <c r="A839" i="28"/>
  <c r="J839" i="28" s="1"/>
  <c r="D838" i="28"/>
  <c r="F838" i="28" s="1"/>
  <c r="H838" i="28" s="1"/>
  <c r="G941" i="28"/>
  <c r="I941" i="28"/>
  <c r="G629" i="28"/>
  <c r="I629" i="28"/>
  <c r="A943" i="28"/>
  <c r="J943" i="28" s="1"/>
  <c r="D942" i="28"/>
  <c r="F942" i="28" s="1"/>
  <c r="H942" i="28" s="1"/>
  <c r="A631" i="28"/>
  <c r="J631" i="28" s="1"/>
  <c r="D630" i="28"/>
  <c r="F630" i="28" s="1"/>
  <c r="H630" i="28" s="1"/>
  <c r="I317" i="28"/>
  <c r="G317" i="28"/>
  <c r="I525" i="28"/>
  <c r="G525" i="28"/>
  <c r="I734" i="28"/>
  <c r="G734" i="28"/>
  <c r="A319" i="28"/>
  <c r="J319" i="28" s="1"/>
  <c r="D318" i="28"/>
  <c r="F318" i="28" s="1"/>
  <c r="H318" i="28" s="1"/>
  <c r="A527" i="28"/>
  <c r="J527" i="28" s="1"/>
  <c r="D526" i="28"/>
  <c r="F526" i="28" s="1"/>
  <c r="H526" i="28" s="1"/>
  <c r="A736" i="28"/>
  <c r="J736" i="28" s="1"/>
  <c r="D735" i="28"/>
  <c r="F735" i="28" s="1"/>
  <c r="H735" i="28" s="1"/>
  <c r="G421" i="28"/>
  <c r="I421" i="28"/>
  <c r="A423" i="28"/>
  <c r="J423" i="28" s="1"/>
  <c r="D422" i="28"/>
  <c r="F422" i="28" s="1"/>
  <c r="H422" i="28" s="1"/>
  <c r="F19" i="28"/>
  <c r="F20" i="28"/>
  <c r="F21" i="28"/>
  <c r="F25" i="28"/>
  <c r="G15" i="28"/>
  <c r="F22" i="28"/>
  <c r="H22" i="28" s="1"/>
  <c r="C39" i="28"/>
  <c r="J39" i="28" s="1"/>
  <c r="D31" i="28"/>
  <c r="E31" i="28"/>
  <c r="C40" i="28"/>
  <c r="J40" i="28" s="1"/>
  <c r="D32" i="28"/>
  <c r="E32" i="28"/>
  <c r="C38" i="28"/>
  <c r="J38" i="28" s="1"/>
  <c r="E30" i="28"/>
  <c r="D30" i="28"/>
  <c r="C37" i="28"/>
  <c r="J37" i="28" s="1"/>
  <c r="D29" i="28"/>
  <c r="E29" i="28"/>
  <c r="C34" i="28"/>
  <c r="J34" i="28" s="1"/>
  <c r="E26" i="28"/>
  <c r="D26" i="28"/>
  <c r="G109" i="28"/>
  <c r="I109" i="28"/>
  <c r="I13" i="28"/>
  <c r="G13" i="28"/>
  <c r="C35" i="28"/>
  <c r="J35" i="28" s="1"/>
  <c r="D27" i="28"/>
  <c r="E27" i="28"/>
  <c r="A111" i="28"/>
  <c r="J111" i="28" s="1"/>
  <c r="D110" i="28"/>
  <c r="F110" i="28" s="1"/>
  <c r="H110" i="28" s="1"/>
  <c r="C41" i="28"/>
  <c r="J41" i="28" s="1"/>
  <c r="D33" i="28"/>
  <c r="E33" i="28"/>
  <c r="C36" i="28"/>
  <c r="J36" i="28" s="1"/>
  <c r="D28" i="28"/>
  <c r="E28" i="28"/>
  <c r="F23" i="28"/>
  <c r="H23" i="28" s="1"/>
  <c r="F24" i="28"/>
  <c r="H24" i="28" s="1"/>
  <c r="F18" i="28"/>
  <c r="H18" i="28" s="1"/>
  <c r="G19" i="28" l="1"/>
  <c r="H19" i="28"/>
  <c r="G25" i="28"/>
  <c r="H25" i="28"/>
  <c r="I21" i="28"/>
  <c r="H21" i="28"/>
  <c r="G20" i="28"/>
  <c r="H20" i="28"/>
  <c r="A64" i="28"/>
  <c r="A216" i="28"/>
  <c r="J215" i="28"/>
  <c r="D215" i="28"/>
  <c r="F215" i="28" s="1"/>
  <c r="H215" i="28" s="1"/>
  <c r="I214" i="28"/>
  <c r="G214" i="28"/>
  <c r="F27" i="28"/>
  <c r="I19" i="28"/>
  <c r="I25" i="28"/>
  <c r="G21" i="28"/>
  <c r="I318" i="28"/>
  <c r="G318" i="28"/>
  <c r="A424" i="28"/>
  <c r="J424" i="28" s="1"/>
  <c r="D423" i="28"/>
  <c r="F423" i="28" s="1"/>
  <c r="H423" i="28" s="1"/>
  <c r="A320" i="28"/>
  <c r="J320" i="28" s="1"/>
  <c r="D319" i="28"/>
  <c r="F319" i="28" s="1"/>
  <c r="H319" i="28" s="1"/>
  <c r="A632" i="28"/>
  <c r="J632" i="28" s="1"/>
  <c r="D631" i="28"/>
  <c r="F631" i="28" s="1"/>
  <c r="H631" i="28" s="1"/>
  <c r="A737" i="28"/>
  <c r="J737" i="28" s="1"/>
  <c r="D736" i="28"/>
  <c r="F736" i="28" s="1"/>
  <c r="H736" i="28" s="1"/>
  <c r="G630" i="28"/>
  <c r="I630" i="28"/>
  <c r="G942" i="28"/>
  <c r="I942" i="28"/>
  <c r="G838" i="28"/>
  <c r="I838" i="28"/>
  <c r="I422" i="28"/>
  <c r="G422" i="28"/>
  <c r="I20" i="28"/>
  <c r="A944" i="28"/>
  <c r="J944" i="28" s="1"/>
  <c r="D943" i="28"/>
  <c r="F943" i="28" s="1"/>
  <c r="H943" i="28" s="1"/>
  <c r="A840" i="28"/>
  <c r="J840" i="28" s="1"/>
  <c r="D839" i="28"/>
  <c r="F839" i="28" s="1"/>
  <c r="H839" i="28" s="1"/>
  <c r="G735" i="28"/>
  <c r="I735" i="28"/>
  <c r="G526" i="28"/>
  <c r="I526" i="28"/>
  <c r="F31" i="28"/>
  <c r="A528" i="28"/>
  <c r="J528" i="28" s="1"/>
  <c r="D527" i="28"/>
  <c r="F527" i="28" s="1"/>
  <c r="H527" i="28" s="1"/>
  <c r="F28" i="28"/>
  <c r="F32" i="28"/>
  <c r="F33" i="28"/>
  <c r="G23" i="28"/>
  <c r="I23" i="28"/>
  <c r="C49" i="28"/>
  <c r="J49" i="28" s="1"/>
  <c r="D41" i="28"/>
  <c r="E41" i="28"/>
  <c r="C46" i="28"/>
  <c r="J46" i="28" s="1"/>
  <c r="E38" i="28"/>
  <c r="D38" i="28"/>
  <c r="C45" i="28"/>
  <c r="J45" i="28" s="1"/>
  <c r="D37" i="28"/>
  <c r="E37" i="28"/>
  <c r="A112" i="28"/>
  <c r="J112" i="28" s="1"/>
  <c r="D111" i="28"/>
  <c r="F111" i="28" s="1"/>
  <c r="H111" i="28" s="1"/>
  <c r="C48" i="28"/>
  <c r="J48" i="28" s="1"/>
  <c r="D40" i="28"/>
  <c r="E40" i="28"/>
  <c r="C43" i="28"/>
  <c r="J43" i="28" s="1"/>
  <c r="D35" i="28"/>
  <c r="E35" i="28"/>
  <c r="F26" i="28"/>
  <c r="H26" i="28" s="1"/>
  <c r="I110" i="28"/>
  <c r="G110" i="28"/>
  <c r="C42" i="28"/>
  <c r="J42" i="28" s="1"/>
  <c r="E34" i="28"/>
  <c r="D34" i="28"/>
  <c r="C47" i="28"/>
  <c r="J47" i="28" s="1"/>
  <c r="D39" i="28"/>
  <c r="E39" i="28"/>
  <c r="C44" i="28"/>
  <c r="J44" i="28" s="1"/>
  <c r="D36" i="28"/>
  <c r="E36" i="28"/>
  <c r="G18" i="28"/>
  <c r="I18" i="28"/>
  <c r="G24" i="28"/>
  <c r="I24" i="28"/>
  <c r="F29" i="28"/>
  <c r="H29" i="28" s="1"/>
  <c r="F30" i="28"/>
  <c r="H30" i="28" s="1"/>
  <c r="I22" i="28"/>
  <c r="G22" i="28"/>
  <c r="G33" i="28" l="1"/>
  <c r="H33" i="28"/>
  <c r="G31" i="28"/>
  <c r="H31" i="28"/>
  <c r="I32" i="28"/>
  <c r="H32" i="28"/>
  <c r="G28" i="28"/>
  <c r="H28" i="28"/>
  <c r="G27" i="28"/>
  <c r="H27" i="28"/>
  <c r="I27" i="28"/>
  <c r="I215" i="28"/>
  <c r="G215" i="28"/>
  <c r="A217" i="28"/>
  <c r="J216" i="28"/>
  <c r="D216" i="28"/>
  <c r="F216" i="28" s="1"/>
  <c r="H216" i="28" s="1"/>
  <c r="A65" i="28"/>
  <c r="I31" i="28"/>
  <c r="I33" i="28"/>
  <c r="A945" i="28"/>
  <c r="J945" i="28" s="1"/>
  <c r="D944" i="28"/>
  <c r="F944" i="28" s="1"/>
  <c r="H944" i="28" s="1"/>
  <c r="I319" i="28"/>
  <c r="G319" i="28"/>
  <c r="F35" i="28"/>
  <c r="A321" i="28"/>
  <c r="J321" i="28" s="1"/>
  <c r="D320" i="28"/>
  <c r="F320" i="28" s="1"/>
  <c r="H320" i="28" s="1"/>
  <c r="A633" i="28"/>
  <c r="J633" i="28" s="1"/>
  <c r="D632" i="28"/>
  <c r="F632" i="28" s="1"/>
  <c r="H632" i="28" s="1"/>
  <c r="G423" i="28"/>
  <c r="I423" i="28"/>
  <c r="A425" i="28"/>
  <c r="J425" i="28" s="1"/>
  <c r="D424" i="28"/>
  <c r="F424" i="28" s="1"/>
  <c r="H424" i="28" s="1"/>
  <c r="G943" i="28"/>
  <c r="I943" i="28"/>
  <c r="G527" i="28"/>
  <c r="I527" i="28"/>
  <c r="G736" i="28"/>
  <c r="I736" i="28"/>
  <c r="G32" i="28"/>
  <c r="A529" i="28"/>
  <c r="J529" i="28" s="1"/>
  <c r="D528" i="28"/>
  <c r="F528" i="28" s="1"/>
  <c r="H528" i="28" s="1"/>
  <c r="G839" i="28"/>
  <c r="I839" i="28"/>
  <c r="A738" i="28"/>
  <c r="J738" i="28" s="1"/>
  <c r="D737" i="28"/>
  <c r="F737" i="28" s="1"/>
  <c r="H737" i="28" s="1"/>
  <c r="A841" i="28"/>
  <c r="J841" i="28" s="1"/>
  <c r="D840" i="28"/>
  <c r="F840" i="28" s="1"/>
  <c r="H840" i="28" s="1"/>
  <c r="I631" i="28"/>
  <c r="G631" i="28"/>
  <c r="F40" i="28"/>
  <c r="I28" i="28"/>
  <c r="F38" i="28"/>
  <c r="F37" i="28"/>
  <c r="A113" i="28"/>
  <c r="J113" i="28" s="1"/>
  <c r="D112" i="28"/>
  <c r="F112" i="28" s="1"/>
  <c r="H112" i="28" s="1"/>
  <c r="F39" i="28"/>
  <c r="H39" i="28" s="1"/>
  <c r="C54" i="28"/>
  <c r="J54" i="28" s="1"/>
  <c r="D46" i="28"/>
  <c r="E46" i="28"/>
  <c r="F41" i="28"/>
  <c r="H41" i="28" s="1"/>
  <c r="G30" i="28"/>
  <c r="I30" i="28"/>
  <c r="G29" i="28"/>
  <c r="I29" i="28"/>
  <c r="C53" i="28"/>
  <c r="J53" i="28" s="1"/>
  <c r="E45" i="28"/>
  <c r="D45" i="28"/>
  <c r="C57" i="28"/>
  <c r="J57" i="28" s="1"/>
  <c r="E49" i="28"/>
  <c r="D49" i="28"/>
  <c r="C52" i="28"/>
  <c r="J52" i="28" s="1"/>
  <c r="D44" i="28"/>
  <c r="E44" i="28"/>
  <c r="G26" i="28"/>
  <c r="I26" i="28"/>
  <c r="F34" i="28"/>
  <c r="H34" i="28" s="1"/>
  <c r="C56" i="28"/>
  <c r="J56" i="28" s="1"/>
  <c r="D48" i="28"/>
  <c r="E48" i="28"/>
  <c r="C55" i="28"/>
  <c r="J55" i="28" s="1"/>
  <c r="D47" i="28"/>
  <c r="E47" i="28"/>
  <c r="F36" i="28"/>
  <c r="H36" i="28" s="1"/>
  <c r="C50" i="28"/>
  <c r="J50" i="28" s="1"/>
  <c r="E42" i="28"/>
  <c r="D42" i="28"/>
  <c r="C51" i="28"/>
  <c r="J51" i="28" s="1"/>
  <c r="D43" i="28"/>
  <c r="E43" i="28"/>
  <c r="G111" i="28"/>
  <c r="I111" i="28"/>
  <c r="I37" i="28" l="1"/>
  <c r="H37" i="28"/>
  <c r="G38" i="28"/>
  <c r="H38" i="28"/>
  <c r="G40" i="28"/>
  <c r="H40" i="28"/>
  <c r="G35" i="28"/>
  <c r="H35" i="28"/>
  <c r="I216" i="28"/>
  <c r="G216" i="28"/>
  <c r="A218" i="28"/>
  <c r="J217" i="28"/>
  <c r="D217" i="28"/>
  <c r="F217" i="28" s="1"/>
  <c r="H217" i="28" s="1"/>
  <c r="I35" i="28"/>
  <c r="G528" i="28"/>
  <c r="I528" i="28"/>
  <c r="A634" i="28"/>
  <c r="J634" i="28" s="1"/>
  <c r="D633" i="28"/>
  <c r="F633" i="28" s="1"/>
  <c r="H633" i="28" s="1"/>
  <c r="F43" i="28"/>
  <c r="G37" i="28"/>
  <c r="A842" i="28"/>
  <c r="J842" i="28" s="1"/>
  <c r="D841" i="28"/>
  <c r="F841" i="28" s="1"/>
  <c r="H841" i="28" s="1"/>
  <c r="A530" i="28"/>
  <c r="J530" i="28" s="1"/>
  <c r="D529" i="28"/>
  <c r="F529" i="28" s="1"/>
  <c r="H529" i="28" s="1"/>
  <c r="G320" i="28"/>
  <c r="I320" i="28"/>
  <c r="I737" i="28"/>
  <c r="G737" i="28"/>
  <c r="A322" i="28"/>
  <c r="J322" i="28" s="1"/>
  <c r="D321" i="28"/>
  <c r="F321" i="28" s="1"/>
  <c r="H321" i="28" s="1"/>
  <c r="A739" i="28"/>
  <c r="J739" i="28" s="1"/>
  <c r="D738" i="28"/>
  <c r="F738" i="28" s="1"/>
  <c r="H738" i="28" s="1"/>
  <c r="G424" i="28"/>
  <c r="I424" i="28"/>
  <c r="A426" i="28"/>
  <c r="J426" i="28" s="1"/>
  <c r="D425" i="28"/>
  <c r="F425" i="28" s="1"/>
  <c r="H425" i="28" s="1"/>
  <c r="I840" i="28"/>
  <c r="G840" i="28"/>
  <c r="I38" i="28"/>
  <c r="G944" i="28"/>
  <c r="I944" i="28"/>
  <c r="I632" i="28"/>
  <c r="G632" i="28"/>
  <c r="A946" i="28"/>
  <c r="J946" i="28" s="1"/>
  <c r="D945" i="28"/>
  <c r="F945" i="28" s="1"/>
  <c r="H945" i="28" s="1"/>
  <c r="F44" i="28"/>
  <c r="I40" i="28"/>
  <c r="F42" i="28"/>
  <c r="F49" i="28"/>
  <c r="F48" i="28"/>
  <c r="C64" i="28"/>
  <c r="J64" i="28" s="1"/>
  <c r="E56" i="28"/>
  <c r="D56" i="28"/>
  <c r="F46" i="28"/>
  <c r="H46" i="28" s="1"/>
  <c r="G34" i="28"/>
  <c r="I34" i="28"/>
  <c r="C65" i="28"/>
  <c r="J65" i="28" s="1"/>
  <c r="D57" i="28"/>
  <c r="E57" i="28"/>
  <c r="C62" i="28"/>
  <c r="J62" i="28" s="1"/>
  <c r="D54" i="28"/>
  <c r="E54" i="28"/>
  <c r="F47" i="28"/>
  <c r="H47" i="28" s="1"/>
  <c r="F45" i="28"/>
  <c r="H45" i="28" s="1"/>
  <c r="I39" i="28"/>
  <c r="G39" i="28"/>
  <c r="C58" i="28"/>
  <c r="J58" i="28" s="1"/>
  <c r="D50" i="28"/>
  <c r="E50" i="28"/>
  <c r="G36" i="28"/>
  <c r="I36" i="28"/>
  <c r="C61" i="28"/>
  <c r="J61" i="28" s="1"/>
  <c r="D53" i="28"/>
  <c r="E53" i="28"/>
  <c r="C63" i="28"/>
  <c r="J63" i="28" s="1"/>
  <c r="D55" i="28"/>
  <c r="E55" i="28"/>
  <c r="I41" i="28"/>
  <c r="G41" i="28"/>
  <c r="C59" i="28"/>
  <c r="J59" i="28" s="1"/>
  <c r="D51" i="28"/>
  <c r="E51" i="28"/>
  <c r="C60" i="28"/>
  <c r="J60" i="28" s="1"/>
  <c r="D52" i="28"/>
  <c r="E52" i="28"/>
  <c r="G112" i="28"/>
  <c r="I112" i="28"/>
  <c r="A114" i="28"/>
  <c r="J114" i="28" s="1"/>
  <c r="D113" i="28"/>
  <c r="F113" i="28" s="1"/>
  <c r="H113" i="28" s="1"/>
  <c r="G43" i="28" l="1"/>
  <c r="H43" i="28"/>
  <c r="I48" i="28"/>
  <c r="H48" i="28"/>
  <c r="G44" i="28"/>
  <c r="H44" i="28"/>
  <c r="G42" i="28"/>
  <c r="H42" i="28"/>
  <c r="G49" i="28"/>
  <c r="H49" i="28"/>
  <c r="I217" i="28"/>
  <c r="G217" i="28"/>
  <c r="J218" i="28"/>
  <c r="A219" i="28"/>
  <c r="D218" i="28"/>
  <c r="F218" i="28" s="1"/>
  <c r="H218" i="28" s="1"/>
  <c r="F52" i="28"/>
  <c r="I43" i="28"/>
  <c r="G48" i="28"/>
  <c r="G425" i="28"/>
  <c r="I425" i="28"/>
  <c r="A427" i="28"/>
  <c r="J427" i="28" s="1"/>
  <c r="D426" i="28"/>
  <c r="F426" i="28" s="1"/>
  <c r="H426" i="28" s="1"/>
  <c r="A323" i="28"/>
  <c r="J323" i="28" s="1"/>
  <c r="D322" i="28"/>
  <c r="F322" i="28" s="1"/>
  <c r="H322" i="28" s="1"/>
  <c r="A843" i="28"/>
  <c r="J843" i="28" s="1"/>
  <c r="D842" i="28"/>
  <c r="F842" i="28" s="1"/>
  <c r="H842" i="28" s="1"/>
  <c r="G321" i="28"/>
  <c r="I321" i="28"/>
  <c r="G841" i="28"/>
  <c r="I841" i="28"/>
  <c r="F54" i="28"/>
  <c r="I54" i="28" s="1"/>
  <c r="G633" i="28"/>
  <c r="I633" i="28"/>
  <c r="I945" i="28"/>
  <c r="G945" i="28"/>
  <c r="A635" i="28"/>
  <c r="J635" i="28" s="1"/>
  <c r="D634" i="28"/>
  <c r="F634" i="28" s="1"/>
  <c r="H634" i="28" s="1"/>
  <c r="A947" i="28"/>
  <c r="J947" i="28" s="1"/>
  <c r="D946" i="28"/>
  <c r="F946" i="28" s="1"/>
  <c r="H946" i="28" s="1"/>
  <c r="I738" i="28"/>
  <c r="G738" i="28"/>
  <c r="G529" i="28"/>
  <c r="I529" i="28"/>
  <c r="F57" i="28"/>
  <c r="A740" i="28"/>
  <c r="J740" i="28" s="1"/>
  <c r="D739" i="28"/>
  <c r="F739" i="28" s="1"/>
  <c r="H739" i="28" s="1"/>
  <c r="A531" i="28"/>
  <c r="J531" i="28" s="1"/>
  <c r="D530" i="28"/>
  <c r="F530" i="28" s="1"/>
  <c r="H530" i="28" s="1"/>
  <c r="F51" i="28"/>
  <c r="I44" i="28"/>
  <c r="I42" i="28"/>
  <c r="I49" i="28"/>
  <c r="F53" i="28"/>
  <c r="A115" i="28"/>
  <c r="J115" i="28" s="1"/>
  <c r="D114" i="28"/>
  <c r="F114" i="28" s="1"/>
  <c r="H114" i="28" s="1"/>
  <c r="I45" i="28"/>
  <c r="G45" i="28"/>
  <c r="C71" i="28"/>
  <c r="J71" i="28" s="1"/>
  <c r="E63" i="28"/>
  <c r="D63" i="28"/>
  <c r="G47" i="28"/>
  <c r="I47" i="28"/>
  <c r="C67" i="28"/>
  <c r="J67" i="28" s="1"/>
  <c r="D59" i="28"/>
  <c r="E59" i="28"/>
  <c r="G46" i="28"/>
  <c r="I46" i="28"/>
  <c r="F50" i="28"/>
  <c r="H50" i="28" s="1"/>
  <c r="C70" i="28"/>
  <c r="J70" i="28" s="1"/>
  <c r="D62" i="28"/>
  <c r="E62" i="28"/>
  <c r="C66" i="28"/>
  <c r="J66" i="28" s="1"/>
  <c r="D58" i="28"/>
  <c r="E58" i="28"/>
  <c r="C69" i="28"/>
  <c r="J69" i="28" s="1"/>
  <c r="D61" i="28"/>
  <c r="E61" i="28"/>
  <c r="F56" i="28"/>
  <c r="H56" i="28" s="1"/>
  <c r="C68" i="28"/>
  <c r="J68" i="28" s="1"/>
  <c r="E60" i="28"/>
  <c r="D60" i="28"/>
  <c r="G113" i="28"/>
  <c r="I113" i="28"/>
  <c r="F55" i="28"/>
  <c r="H55" i="28" s="1"/>
  <c r="C73" i="28"/>
  <c r="J73" i="28" s="1"/>
  <c r="D65" i="28"/>
  <c r="E65" i="28"/>
  <c r="C72" i="28"/>
  <c r="J72" i="28" s="1"/>
  <c r="D64" i="28"/>
  <c r="E64" i="28"/>
  <c r="G53" i="28" l="1"/>
  <c r="H53" i="28"/>
  <c r="I57" i="28"/>
  <c r="H57" i="28"/>
  <c r="G52" i="28"/>
  <c r="H52" i="28"/>
  <c r="I51" i="28"/>
  <c r="H51" i="28"/>
  <c r="G54" i="28"/>
  <c r="H54" i="28"/>
  <c r="I52" i="28"/>
  <c r="F59" i="28"/>
  <c r="H59" i="28" s="1"/>
  <c r="G57" i="28"/>
  <c r="I218" i="28"/>
  <c r="G218" i="28"/>
  <c r="J219" i="28"/>
  <c r="A220" i="28"/>
  <c r="D219" i="28"/>
  <c r="F219" i="28" s="1"/>
  <c r="H219" i="28" s="1"/>
  <c r="F61" i="28"/>
  <c r="A948" i="28"/>
  <c r="J948" i="28" s="1"/>
  <c r="D947" i="28"/>
  <c r="F947" i="28" s="1"/>
  <c r="H947" i="28" s="1"/>
  <c r="F65" i="28"/>
  <c r="A741" i="28"/>
  <c r="J741" i="28" s="1"/>
  <c r="D740" i="28"/>
  <c r="F740" i="28" s="1"/>
  <c r="H740" i="28" s="1"/>
  <c r="G634" i="28"/>
  <c r="I634" i="28"/>
  <c r="A844" i="28"/>
  <c r="J844" i="28" s="1"/>
  <c r="D843" i="28"/>
  <c r="F843" i="28" s="1"/>
  <c r="H843" i="28" s="1"/>
  <c r="A428" i="28"/>
  <c r="J428" i="28" s="1"/>
  <c r="D427" i="28"/>
  <c r="F427" i="28" s="1"/>
  <c r="H427" i="28" s="1"/>
  <c r="A636" i="28"/>
  <c r="J636" i="28" s="1"/>
  <c r="D635" i="28"/>
  <c r="F635" i="28" s="1"/>
  <c r="H635" i="28" s="1"/>
  <c r="G322" i="28"/>
  <c r="I322" i="28"/>
  <c r="G842" i="28"/>
  <c r="I842" i="28"/>
  <c r="A324" i="28"/>
  <c r="J324" i="28" s="1"/>
  <c r="D323" i="28"/>
  <c r="F323" i="28" s="1"/>
  <c r="H323" i="28" s="1"/>
  <c r="G739" i="28"/>
  <c r="I739" i="28"/>
  <c r="I426" i="28"/>
  <c r="G426" i="28"/>
  <c r="G530" i="28"/>
  <c r="I530" i="28"/>
  <c r="A532" i="28"/>
  <c r="J532" i="28" s="1"/>
  <c r="D531" i="28"/>
  <c r="F531" i="28" s="1"/>
  <c r="H531" i="28" s="1"/>
  <c r="G946" i="28"/>
  <c r="I946" i="28"/>
  <c r="F58" i="28"/>
  <c r="G51" i="28"/>
  <c r="F64" i="28"/>
  <c r="I53" i="28"/>
  <c r="F63" i="28"/>
  <c r="F62" i="28"/>
  <c r="H62" i="28" s="1"/>
  <c r="C79" i="28"/>
  <c r="J79" i="28" s="1"/>
  <c r="E71" i="28"/>
  <c r="D71" i="28"/>
  <c r="C78" i="28"/>
  <c r="J78" i="28" s="1"/>
  <c r="D70" i="28"/>
  <c r="E70" i="28"/>
  <c r="F60" i="28"/>
  <c r="H60" i="28" s="1"/>
  <c r="C75" i="28"/>
  <c r="J75" i="28" s="1"/>
  <c r="E67" i="28"/>
  <c r="D67" i="28"/>
  <c r="C80" i="28"/>
  <c r="J80" i="28" s="1"/>
  <c r="D72" i="28"/>
  <c r="E72" i="28"/>
  <c r="C76" i="28"/>
  <c r="J76" i="28" s="1"/>
  <c r="D68" i="28"/>
  <c r="E68" i="28"/>
  <c r="G50" i="28"/>
  <c r="I50" i="28"/>
  <c r="C81" i="28"/>
  <c r="J81" i="28" s="1"/>
  <c r="D73" i="28"/>
  <c r="E73" i="28"/>
  <c r="G114" i="28"/>
  <c r="I114" i="28"/>
  <c r="C77" i="28"/>
  <c r="J77" i="28" s="1"/>
  <c r="D69" i="28"/>
  <c r="E69" i="28"/>
  <c r="G55" i="28"/>
  <c r="I55" i="28"/>
  <c r="G56" i="28"/>
  <c r="I56" i="28"/>
  <c r="C74" i="28"/>
  <c r="J74" i="28" s="1"/>
  <c r="D66" i="28"/>
  <c r="E66" i="28"/>
  <c r="A116" i="28"/>
  <c r="J116" i="28" s="1"/>
  <c r="D115" i="28"/>
  <c r="F115" i="28" s="1"/>
  <c r="H115" i="28" s="1"/>
  <c r="I59" i="28" l="1"/>
  <c r="G59" i="28"/>
  <c r="I58" i="28"/>
  <c r="H58" i="28"/>
  <c r="I61" i="28"/>
  <c r="H61" i="28"/>
  <c r="G65" i="28"/>
  <c r="H65" i="28"/>
  <c r="G63" i="28"/>
  <c r="H63" i="28"/>
  <c r="G64" i="28"/>
  <c r="H64" i="28"/>
  <c r="G61" i="28"/>
  <c r="I219" i="28"/>
  <c r="G219" i="28"/>
  <c r="J220" i="28"/>
  <c r="A221" i="28"/>
  <c r="D220" i="28"/>
  <c r="F220" i="28" s="1"/>
  <c r="H220" i="28" s="1"/>
  <c r="F68" i="28"/>
  <c r="I64" i="28"/>
  <c r="F66" i="28"/>
  <c r="A845" i="28"/>
  <c r="J845" i="28" s="1"/>
  <c r="D844" i="28"/>
  <c r="F844" i="28" s="1"/>
  <c r="H844" i="28" s="1"/>
  <c r="I531" i="28"/>
  <c r="G531" i="28"/>
  <c r="A533" i="28"/>
  <c r="J533" i="28" s="1"/>
  <c r="D532" i="28"/>
  <c r="F532" i="28" s="1"/>
  <c r="H532" i="28" s="1"/>
  <c r="G427" i="28"/>
  <c r="I427" i="28"/>
  <c r="I65" i="28"/>
  <c r="G323" i="28"/>
  <c r="I323" i="28"/>
  <c r="G635" i="28"/>
  <c r="I635" i="28"/>
  <c r="G740" i="28"/>
  <c r="I740" i="28"/>
  <c r="F73" i="28"/>
  <c r="A325" i="28"/>
  <c r="J325" i="28" s="1"/>
  <c r="D324" i="28"/>
  <c r="F324" i="28" s="1"/>
  <c r="H324" i="28" s="1"/>
  <c r="A637" i="28"/>
  <c r="J637" i="28" s="1"/>
  <c r="D636" i="28"/>
  <c r="F636" i="28" s="1"/>
  <c r="H636" i="28" s="1"/>
  <c r="A742" i="28"/>
  <c r="J742" i="28" s="1"/>
  <c r="D741" i="28"/>
  <c r="F741" i="28" s="1"/>
  <c r="H741" i="28" s="1"/>
  <c r="A429" i="28"/>
  <c r="J429" i="28" s="1"/>
  <c r="D428" i="28"/>
  <c r="F428" i="28" s="1"/>
  <c r="H428" i="28" s="1"/>
  <c r="G947" i="28"/>
  <c r="I947" i="28"/>
  <c r="F69" i="28"/>
  <c r="G843" i="28"/>
  <c r="I843" i="28"/>
  <c r="A949" i="28"/>
  <c r="J949" i="28" s="1"/>
  <c r="D948" i="28"/>
  <c r="F948" i="28" s="1"/>
  <c r="H948" i="28" s="1"/>
  <c r="F72" i="28"/>
  <c r="G58" i="28"/>
  <c r="F67" i="28"/>
  <c r="F71" i="28"/>
  <c r="I63" i="28"/>
  <c r="F70" i="28"/>
  <c r="G115" i="28"/>
  <c r="I115" i="28"/>
  <c r="C89" i="28"/>
  <c r="J89" i="28" s="1"/>
  <c r="D81" i="28"/>
  <c r="E81" i="28"/>
  <c r="C83" i="28"/>
  <c r="J83" i="28" s="1"/>
  <c r="E75" i="28"/>
  <c r="D75" i="28"/>
  <c r="G60" i="28"/>
  <c r="I60" i="28"/>
  <c r="C87" i="28"/>
  <c r="J87" i="28" s="1"/>
  <c r="E79" i="28"/>
  <c r="D79" i="28"/>
  <c r="C82" i="28"/>
  <c r="J82" i="28" s="1"/>
  <c r="D74" i="28"/>
  <c r="E74" i="28"/>
  <c r="A117" i="28"/>
  <c r="J117" i="28" s="1"/>
  <c r="D116" i="28"/>
  <c r="F116" i="28" s="1"/>
  <c r="H116" i="28" s="1"/>
  <c r="C85" i="28"/>
  <c r="J85" i="28" s="1"/>
  <c r="D77" i="28"/>
  <c r="E77" i="28"/>
  <c r="C84" i="28"/>
  <c r="J84" i="28" s="1"/>
  <c r="D76" i="28"/>
  <c r="E76" i="28"/>
  <c r="G62" i="28"/>
  <c r="I62" i="28"/>
  <c r="C88" i="28"/>
  <c r="J88" i="28" s="1"/>
  <c r="D80" i="28"/>
  <c r="E80" i="28"/>
  <c r="C86" i="28"/>
  <c r="J86" i="28" s="1"/>
  <c r="D78" i="28"/>
  <c r="E78" i="28"/>
  <c r="G71" i="28" l="1"/>
  <c r="H71" i="28"/>
  <c r="I69" i="28"/>
  <c r="H69" i="28"/>
  <c r="G68" i="28"/>
  <c r="H68" i="28"/>
  <c r="G67" i="28"/>
  <c r="H67" i="28"/>
  <c r="G70" i="28"/>
  <c r="H70" i="28"/>
  <c r="I73" i="28"/>
  <c r="H73" i="28"/>
  <c r="I66" i="28"/>
  <c r="H66" i="28"/>
  <c r="G72" i="28"/>
  <c r="H72" i="28"/>
  <c r="I68" i="28"/>
  <c r="G220" i="28"/>
  <c r="I220" i="28"/>
  <c r="J221" i="28"/>
  <c r="A222" i="28"/>
  <c r="D221" i="28"/>
  <c r="F221" i="28" s="1"/>
  <c r="H221" i="28" s="1"/>
  <c r="G66" i="28"/>
  <c r="I71" i="28"/>
  <c r="G69" i="28"/>
  <c r="G73" i="28"/>
  <c r="I67" i="28"/>
  <c r="I532" i="28"/>
  <c r="G532" i="28"/>
  <c r="A743" i="28"/>
  <c r="J743" i="28" s="1"/>
  <c r="D742" i="28"/>
  <c r="F742" i="28" s="1"/>
  <c r="H742" i="28" s="1"/>
  <c r="A534" i="28"/>
  <c r="J534" i="28" s="1"/>
  <c r="D533" i="28"/>
  <c r="F533" i="28" s="1"/>
  <c r="H533" i="28" s="1"/>
  <c r="I636" i="28"/>
  <c r="G636" i="28"/>
  <c r="I741" i="28"/>
  <c r="G741" i="28"/>
  <c r="A638" i="28"/>
  <c r="J638" i="28" s="1"/>
  <c r="D637" i="28"/>
  <c r="F637" i="28" s="1"/>
  <c r="H637" i="28" s="1"/>
  <c r="I324" i="28"/>
  <c r="G324" i="28"/>
  <c r="I844" i="28"/>
  <c r="G844" i="28"/>
  <c r="I948" i="28"/>
  <c r="G948" i="28"/>
  <c r="A326" i="28"/>
  <c r="J326" i="28" s="1"/>
  <c r="D325" i="28"/>
  <c r="F325" i="28" s="1"/>
  <c r="H325" i="28" s="1"/>
  <c r="A846" i="28"/>
  <c r="J846" i="28" s="1"/>
  <c r="D845" i="28"/>
  <c r="F845" i="28" s="1"/>
  <c r="H845" i="28" s="1"/>
  <c r="A950" i="28"/>
  <c r="J950" i="28" s="1"/>
  <c r="D949" i="28"/>
  <c r="F949" i="28" s="1"/>
  <c r="H949" i="28" s="1"/>
  <c r="I428" i="28"/>
  <c r="G428" i="28"/>
  <c r="A430" i="28"/>
  <c r="J430" i="28" s="1"/>
  <c r="D429" i="28"/>
  <c r="F429" i="28" s="1"/>
  <c r="H429" i="28" s="1"/>
  <c r="I72" i="28"/>
  <c r="I70" i="28"/>
  <c r="F76" i="28"/>
  <c r="F74" i="28"/>
  <c r="G116" i="28"/>
  <c r="I116" i="28"/>
  <c r="C91" i="28"/>
  <c r="J91" i="28" s="1"/>
  <c r="E83" i="28"/>
  <c r="D83" i="28"/>
  <c r="F78" i="28"/>
  <c r="H78" i="28" s="1"/>
  <c r="C90" i="28"/>
  <c r="J90" i="28" s="1"/>
  <c r="D82" i="28"/>
  <c r="E82" i="28"/>
  <c r="C93" i="28"/>
  <c r="J93" i="28" s="1"/>
  <c r="D85" i="28"/>
  <c r="E85" i="28"/>
  <c r="C94" i="28"/>
  <c r="J94" i="28" s="1"/>
  <c r="D86" i="28"/>
  <c r="E86" i="28"/>
  <c r="F79" i="28"/>
  <c r="H79" i="28" s="1"/>
  <c r="F80" i="28"/>
  <c r="H80" i="28" s="1"/>
  <c r="C95" i="28"/>
  <c r="J95" i="28" s="1"/>
  <c r="E87" i="28"/>
  <c r="D87" i="28"/>
  <c r="F75" i="28"/>
  <c r="H75" i="28" s="1"/>
  <c r="F81" i="28"/>
  <c r="H81" i="28" s="1"/>
  <c r="A118" i="28"/>
  <c r="J118" i="28" s="1"/>
  <c r="D117" i="28"/>
  <c r="F117" i="28" s="1"/>
  <c r="H117" i="28" s="1"/>
  <c r="C92" i="28"/>
  <c r="J92" i="28" s="1"/>
  <c r="D84" i="28"/>
  <c r="E84" i="28"/>
  <c r="C96" i="28"/>
  <c r="J96" i="28" s="1"/>
  <c r="D88" i="28"/>
  <c r="E88" i="28"/>
  <c r="C97" i="28"/>
  <c r="J97" i="28" s="1"/>
  <c r="D89" i="28"/>
  <c r="E89" i="28"/>
  <c r="F77" i="28"/>
  <c r="H77" i="28" s="1"/>
  <c r="G74" i="28" l="1"/>
  <c r="H74" i="28"/>
  <c r="G76" i="28"/>
  <c r="H76" i="28"/>
  <c r="I221" i="28"/>
  <c r="G221" i="28"/>
  <c r="J222" i="28"/>
  <c r="A223" i="28"/>
  <c r="D222" i="28"/>
  <c r="F222" i="28" s="1"/>
  <c r="H222" i="28" s="1"/>
  <c r="I74" i="28"/>
  <c r="I76" i="28"/>
  <c r="F88" i="28"/>
  <c r="F85" i="28"/>
  <c r="I429" i="28"/>
  <c r="G429" i="28"/>
  <c r="I845" i="28"/>
  <c r="G845" i="28"/>
  <c r="G533" i="28"/>
  <c r="I533" i="28"/>
  <c r="A431" i="28"/>
  <c r="J431" i="28" s="1"/>
  <c r="D430" i="28"/>
  <c r="F430" i="28" s="1"/>
  <c r="H430" i="28" s="1"/>
  <c r="A847" i="28"/>
  <c r="J847" i="28" s="1"/>
  <c r="D846" i="28"/>
  <c r="F846" i="28" s="1"/>
  <c r="H846" i="28" s="1"/>
  <c r="A535" i="28"/>
  <c r="J535" i="28" s="1"/>
  <c r="D534" i="28"/>
  <c r="F534" i="28" s="1"/>
  <c r="H534" i="28" s="1"/>
  <c r="I325" i="28"/>
  <c r="G325" i="28"/>
  <c r="G637" i="28"/>
  <c r="I637" i="28"/>
  <c r="G742" i="28"/>
  <c r="I742" i="28"/>
  <c r="A327" i="28"/>
  <c r="J327" i="28" s="1"/>
  <c r="D326" i="28"/>
  <c r="F326" i="28" s="1"/>
  <c r="H326" i="28" s="1"/>
  <c r="A639" i="28"/>
  <c r="J639" i="28" s="1"/>
  <c r="D638" i="28"/>
  <c r="F638" i="28" s="1"/>
  <c r="H638" i="28" s="1"/>
  <c r="A744" i="28"/>
  <c r="J744" i="28" s="1"/>
  <c r="D743" i="28"/>
  <c r="F743" i="28" s="1"/>
  <c r="H743" i="28" s="1"/>
  <c r="G949" i="28"/>
  <c r="I949" i="28"/>
  <c r="A951" i="28"/>
  <c r="J951" i="28" s="1"/>
  <c r="D950" i="28"/>
  <c r="F950" i="28" s="1"/>
  <c r="H950" i="28" s="1"/>
  <c r="F83" i="28"/>
  <c r="F87" i="28"/>
  <c r="F86" i="28"/>
  <c r="C100" i="28"/>
  <c r="J100" i="28" s="1"/>
  <c r="D92" i="28"/>
  <c r="E92" i="28"/>
  <c r="C104" i="28"/>
  <c r="J104" i="28" s="1"/>
  <c r="D96" i="28"/>
  <c r="E96" i="28"/>
  <c r="G81" i="28"/>
  <c r="B63" i="27" s="1"/>
  <c r="I81" i="28"/>
  <c r="G79" i="28"/>
  <c r="I79" i="28"/>
  <c r="C98" i="28"/>
  <c r="J98" i="28" s="1"/>
  <c r="D90" i="28"/>
  <c r="E90" i="28"/>
  <c r="G77" i="28"/>
  <c r="I77" i="28"/>
  <c r="I78" i="28"/>
  <c r="G78" i="28"/>
  <c r="F89" i="28"/>
  <c r="H89" i="28" s="1"/>
  <c r="F84" i="28"/>
  <c r="H84" i="28" s="1"/>
  <c r="C102" i="28"/>
  <c r="J102" i="28" s="1"/>
  <c r="D94" i="28"/>
  <c r="E94" i="28"/>
  <c r="C103" i="28"/>
  <c r="J103" i="28" s="1"/>
  <c r="E95" i="28"/>
  <c r="D95" i="28"/>
  <c r="C105" i="28"/>
  <c r="J105" i="28" s="1"/>
  <c r="D97" i="28"/>
  <c r="E97" i="28"/>
  <c r="I80" i="28"/>
  <c r="G80" i="28"/>
  <c r="G117" i="28"/>
  <c r="I117" i="28"/>
  <c r="C101" i="28"/>
  <c r="J101" i="28" s="1"/>
  <c r="D93" i="28"/>
  <c r="E93" i="28"/>
  <c r="G75" i="28"/>
  <c r="I75" i="28"/>
  <c r="C99" i="28"/>
  <c r="J99" i="28" s="1"/>
  <c r="E91" i="28"/>
  <c r="D91" i="28"/>
  <c r="A119" i="28"/>
  <c r="J119" i="28" s="1"/>
  <c r="D118" i="28"/>
  <c r="F118" i="28" s="1"/>
  <c r="H118" i="28" s="1"/>
  <c r="F82" i="28"/>
  <c r="H82" i="28" s="1"/>
  <c r="C16" i="27" l="1"/>
  <c r="B16" i="27"/>
  <c r="B31" i="27"/>
  <c r="C31" i="27"/>
  <c r="C15" i="27"/>
  <c r="B15" i="27"/>
  <c r="C30" i="27"/>
  <c r="B62" i="27"/>
  <c r="B30" i="27"/>
  <c r="B61" i="27"/>
  <c r="C14" i="27"/>
  <c r="B14" i="27"/>
  <c r="C29" i="27"/>
  <c r="B29" i="27"/>
  <c r="C13" i="27"/>
  <c r="B13" i="27"/>
  <c r="C28" i="27"/>
  <c r="B60" i="27"/>
  <c r="B59" i="27"/>
  <c r="B28" i="27"/>
  <c r="B12" i="27"/>
  <c r="C12" i="27"/>
  <c r="C27" i="27"/>
  <c r="B27" i="27"/>
  <c r="C11" i="27"/>
  <c r="B11" i="27"/>
  <c r="B26" i="27"/>
  <c r="B58" i="27"/>
  <c r="C26" i="27"/>
  <c r="B10" i="27"/>
  <c r="C10" i="27"/>
  <c r="B25" i="27"/>
  <c r="B57" i="27"/>
  <c r="C25" i="27"/>
  <c r="B9" i="27"/>
  <c r="C9" i="27"/>
  <c r="B56" i="27"/>
  <c r="C24" i="27"/>
  <c r="B24" i="27"/>
  <c r="G88" i="28"/>
  <c r="H88" i="28"/>
  <c r="K61" i="27"/>
  <c r="C61" i="27"/>
  <c r="I85" i="28"/>
  <c r="H85" i="28"/>
  <c r="K63" i="27"/>
  <c r="C63" i="27"/>
  <c r="D63" i="27" s="1"/>
  <c r="C59" i="27"/>
  <c r="K59" i="27"/>
  <c r="I87" i="28"/>
  <c r="H87" i="28"/>
  <c r="C58" i="27"/>
  <c r="D58" i="27" s="1"/>
  <c r="K58" i="27"/>
  <c r="K60" i="27"/>
  <c r="C60" i="27"/>
  <c r="I86" i="28"/>
  <c r="H86" i="28"/>
  <c r="I83" i="28"/>
  <c r="H83" i="28"/>
  <c r="K56" i="27"/>
  <c r="C56" i="27"/>
  <c r="C57" i="27"/>
  <c r="K57" i="27"/>
  <c r="K62" i="27"/>
  <c r="C62" i="27"/>
  <c r="I88" i="28"/>
  <c r="G222" i="28"/>
  <c r="I222" i="28"/>
  <c r="J223" i="28"/>
  <c r="A224" i="28"/>
  <c r="D223" i="28"/>
  <c r="F223" i="28" s="1"/>
  <c r="H223" i="28" s="1"/>
  <c r="G85" i="28"/>
  <c r="G87" i="28"/>
  <c r="G83" i="28"/>
  <c r="G86" i="28"/>
  <c r="F97" i="28"/>
  <c r="G97" i="28" s="1"/>
  <c r="G950" i="28"/>
  <c r="I950" i="28"/>
  <c r="I326" i="28"/>
  <c r="G326" i="28"/>
  <c r="I430" i="28"/>
  <c r="G430" i="28"/>
  <c r="A952" i="28"/>
  <c r="J952" i="28" s="1"/>
  <c r="D951" i="28"/>
  <c r="F951" i="28" s="1"/>
  <c r="H951" i="28" s="1"/>
  <c r="A328" i="28"/>
  <c r="J328" i="28" s="1"/>
  <c r="D327" i="28"/>
  <c r="F327" i="28" s="1"/>
  <c r="H327" i="28" s="1"/>
  <c r="A432" i="28"/>
  <c r="J432" i="28" s="1"/>
  <c r="D431" i="28"/>
  <c r="F431" i="28" s="1"/>
  <c r="H431" i="28" s="1"/>
  <c r="G743" i="28"/>
  <c r="I743" i="28"/>
  <c r="G534" i="28"/>
  <c r="I534" i="28"/>
  <c r="A745" i="28"/>
  <c r="J745" i="28" s="1"/>
  <c r="D744" i="28"/>
  <c r="F744" i="28" s="1"/>
  <c r="H744" i="28" s="1"/>
  <c r="A536" i="28"/>
  <c r="J536" i="28" s="1"/>
  <c r="D535" i="28"/>
  <c r="F535" i="28" s="1"/>
  <c r="H535" i="28" s="1"/>
  <c r="I638" i="28"/>
  <c r="G638" i="28"/>
  <c r="G846" i="28"/>
  <c r="I846" i="28"/>
  <c r="A640" i="28"/>
  <c r="J640" i="28" s="1"/>
  <c r="D639" i="28"/>
  <c r="F639" i="28" s="1"/>
  <c r="H639" i="28" s="1"/>
  <c r="A848" i="28"/>
  <c r="J848" i="28" s="1"/>
  <c r="D847" i="28"/>
  <c r="F847" i="28" s="1"/>
  <c r="H847" i="28" s="1"/>
  <c r="F90" i="28"/>
  <c r="F95" i="28"/>
  <c r="D105" i="28"/>
  <c r="E105" i="28"/>
  <c r="E103" i="28"/>
  <c r="D103" i="28"/>
  <c r="G89" i="28"/>
  <c r="I89" i="28"/>
  <c r="D104" i="28"/>
  <c r="E104" i="28"/>
  <c r="F94" i="28"/>
  <c r="H94" i="28" s="1"/>
  <c r="F91" i="28"/>
  <c r="H91" i="28" s="1"/>
  <c r="E99" i="28"/>
  <c r="D99" i="28"/>
  <c r="G82" i="28"/>
  <c r="I82" i="28"/>
  <c r="F92" i="28"/>
  <c r="H92" i="28" s="1"/>
  <c r="D102" i="28"/>
  <c r="E102" i="28"/>
  <c r="I118" i="28"/>
  <c r="G118" i="28"/>
  <c r="A120" i="28"/>
  <c r="J120" i="28" s="1"/>
  <c r="D119" i="28"/>
  <c r="F119" i="28" s="1"/>
  <c r="H119" i="28" s="1"/>
  <c r="F93" i="28"/>
  <c r="H93" i="28" s="1"/>
  <c r="D100" i="28"/>
  <c r="E100" i="28"/>
  <c r="F96" i="28"/>
  <c r="H96" i="28" s="1"/>
  <c r="D101" i="28"/>
  <c r="E101" i="28"/>
  <c r="G84" i="28"/>
  <c r="I84" i="28"/>
  <c r="D98" i="28"/>
  <c r="E98" i="28"/>
  <c r="D56" i="27" l="1"/>
  <c r="D59" i="27"/>
  <c r="D57" i="27"/>
  <c r="D31" i="27"/>
  <c r="D60" i="27"/>
  <c r="D28" i="27"/>
  <c r="D61" i="27"/>
  <c r="D16" i="27"/>
  <c r="D10" i="27"/>
  <c r="D15" i="27"/>
  <c r="D62" i="27"/>
  <c r="D14" i="27"/>
  <c r="D30" i="27"/>
  <c r="D13" i="27"/>
  <c r="D29" i="27"/>
  <c r="D26" i="27"/>
  <c r="D11" i="27"/>
  <c r="D25" i="27"/>
  <c r="D27" i="27"/>
  <c r="D12" i="27"/>
  <c r="D24" i="27"/>
  <c r="D9" i="27"/>
  <c r="I97" i="28"/>
  <c r="H97" i="28"/>
  <c r="G95" i="28"/>
  <c r="H95" i="28"/>
  <c r="I90" i="28"/>
  <c r="H90" i="28"/>
  <c r="G223" i="28"/>
  <c r="I223" i="28"/>
  <c r="J224" i="28"/>
  <c r="A225" i="28"/>
  <c r="D224" i="28"/>
  <c r="F224" i="28" s="1"/>
  <c r="H224" i="28" s="1"/>
  <c r="F98" i="28"/>
  <c r="H98" i="28" s="1"/>
  <c r="F100" i="28"/>
  <c r="H100" i="28" s="1"/>
  <c r="F105" i="28"/>
  <c r="G105" i="28" s="1"/>
  <c r="F104" i="28"/>
  <c r="I95" i="28"/>
  <c r="G951" i="28"/>
  <c r="I951" i="28"/>
  <c r="A849" i="28"/>
  <c r="J849" i="28" s="1"/>
  <c r="D848" i="28"/>
  <c r="F848" i="28" s="1"/>
  <c r="H848" i="28" s="1"/>
  <c r="A537" i="28"/>
  <c r="J537" i="28" s="1"/>
  <c r="D536" i="28"/>
  <c r="F536" i="28" s="1"/>
  <c r="H536" i="28" s="1"/>
  <c r="A953" i="28"/>
  <c r="J953" i="28" s="1"/>
  <c r="D952" i="28"/>
  <c r="F952" i="28" s="1"/>
  <c r="H952" i="28" s="1"/>
  <c r="G535" i="28"/>
  <c r="I535" i="28"/>
  <c r="G639" i="28"/>
  <c r="I639" i="28"/>
  <c r="G744" i="28"/>
  <c r="I744" i="28"/>
  <c r="A641" i="28"/>
  <c r="J641" i="28" s="1"/>
  <c r="D640" i="28"/>
  <c r="F640" i="28" s="1"/>
  <c r="H640" i="28" s="1"/>
  <c r="A746" i="28"/>
  <c r="J746" i="28" s="1"/>
  <c r="D745" i="28"/>
  <c r="F745" i="28" s="1"/>
  <c r="H745" i="28" s="1"/>
  <c r="G847" i="28"/>
  <c r="I847" i="28"/>
  <c r="I431" i="28"/>
  <c r="G431" i="28"/>
  <c r="A433" i="28"/>
  <c r="J433" i="28" s="1"/>
  <c r="D432" i="28"/>
  <c r="F432" i="28" s="1"/>
  <c r="H432" i="28" s="1"/>
  <c r="G327" i="28"/>
  <c r="I327" i="28"/>
  <c r="A329" i="28"/>
  <c r="J329" i="28" s="1"/>
  <c r="D328" i="28"/>
  <c r="F328" i="28" s="1"/>
  <c r="H328" i="28" s="1"/>
  <c r="G90" i="28"/>
  <c r="F102" i="28"/>
  <c r="F103" i="28"/>
  <c r="A121" i="28"/>
  <c r="J121" i="28" s="1"/>
  <c r="D120" i="28"/>
  <c r="F120" i="28" s="1"/>
  <c r="H120" i="28" s="1"/>
  <c r="F99" i="28"/>
  <c r="H99" i="28" s="1"/>
  <c r="G91" i="28"/>
  <c r="I91" i="28"/>
  <c r="G96" i="28"/>
  <c r="I96" i="28"/>
  <c r="G93" i="28"/>
  <c r="I93" i="28"/>
  <c r="G94" i="28"/>
  <c r="I94" i="28"/>
  <c r="F101" i="28"/>
  <c r="H101" i="28" s="1"/>
  <c r="G119" i="28"/>
  <c r="I119" i="28"/>
  <c r="G92" i="28"/>
  <c r="I92" i="28"/>
  <c r="D65" i="27" l="1"/>
  <c r="I98" i="28"/>
  <c r="G98" i="28"/>
  <c r="D18" i="27"/>
  <c r="D33" i="27"/>
  <c r="G100" i="28"/>
  <c r="I103" i="28"/>
  <c r="H103" i="28"/>
  <c r="I104" i="28"/>
  <c r="H104" i="28"/>
  <c r="G102" i="28"/>
  <c r="H102" i="28"/>
  <c r="I105" i="28"/>
  <c r="H105" i="28"/>
  <c r="G104" i="28"/>
  <c r="I100" i="28"/>
  <c r="G224" i="28"/>
  <c r="I224" i="28"/>
  <c r="J225" i="28"/>
  <c r="A226" i="28"/>
  <c r="D225" i="28"/>
  <c r="F225" i="28" s="1"/>
  <c r="H225" i="28" s="1"/>
  <c r="G103" i="28"/>
  <c r="A330" i="28"/>
  <c r="J330" i="28" s="1"/>
  <c r="D329" i="28"/>
  <c r="F329" i="28" s="1"/>
  <c r="H329" i="28" s="1"/>
  <c r="G536" i="28"/>
  <c r="I536" i="28"/>
  <c r="A538" i="28"/>
  <c r="J538" i="28" s="1"/>
  <c r="D537" i="28"/>
  <c r="F537" i="28" s="1"/>
  <c r="H537" i="28" s="1"/>
  <c r="G745" i="28"/>
  <c r="I745" i="28"/>
  <c r="I848" i="28"/>
  <c r="G848" i="28"/>
  <c r="A747" i="28"/>
  <c r="J747" i="28" s="1"/>
  <c r="D746" i="28"/>
  <c r="F746" i="28" s="1"/>
  <c r="H746" i="28" s="1"/>
  <c r="A850" i="28"/>
  <c r="J850" i="28" s="1"/>
  <c r="D849" i="28"/>
  <c r="F849" i="28" s="1"/>
  <c r="H849" i="28" s="1"/>
  <c r="G328" i="28"/>
  <c r="I328" i="28"/>
  <c r="I432" i="28"/>
  <c r="G432" i="28"/>
  <c r="G952" i="28"/>
  <c r="I952" i="28"/>
  <c r="I640" i="28"/>
  <c r="G640" i="28"/>
  <c r="A434" i="28"/>
  <c r="J434" i="28" s="1"/>
  <c r="D433" i="28"/>
  <c r="F433" i="28" s="1"/>
  <c r="H433" i="28" s="1"/>
  <c r="A642" i="28"/>
  <c r="J642" i="28" s="1"/>
  <c r="D641" i="28"/>
  <c r="F641" i="28" s="1"/>
  <c r="H641" i="28" s="1"/>
  <c r="A954" i="28"/>
  <c r="J954" i="28" s="1"/>
  <c r="D953" i="28"/>
  <c r="F953" i="28" s="1"/>
  <c r="H953" i="28" s="1"/>
  <c r="I102" i="28"/>
  <c r="G101" i="28"/>
  <c r="I101" i="28"/>
  <c r="G99" i="28"/>
  <c r="I99" i="28"/>
  <c r="G120" i="28"/>
  <c r="I120" i="28"/>
  <c r="A122" i="28"/>
  <c r="J122" i="28" s="1"/>
  <c r="D121" i="28"/>
  <c r="F121" i="28" s="1"/>
  <c r="H121" i="28" s="1"/>
  <c r="G225" i="28" l="1"/>
  <c r="I225" i="28"/>
  <c r="J226" i="28"/>
  <c r="A227" i="28"/>
  <c r="D226" i="28"/>
  <c r="F226" i="28" s="1"/>
  <c r="H226" i="28" s="1"/>
  <c r="I953" i="28"/>
  <c r="G953" i="28"/>
  <c r="A955" i="28"/>
  <c r="J955" i="28" s="1"/>
  <c r="D954" i="28"/>
  <c r="F954" i="28" s="1"/>
  <c r="H954" i="28" s="1"/>
  <c r="A748" i="28"/>
  <c r="J748" i="28" s="1"/>
  <c r="D747" i="28"/>
  <c r="F747" i="28" s="1"/>
  <c r="H747" i="28" s="1"/>
  <c r="G641" i="28"/>
  <c r="I641" i="28"/>
  <c r="G746" i="28"/>
  <c r="I746" i="28"/>
  <c r="A643" i="28"/>
  <c r="J643" i="28" s="1"/>
  <c r="D642" i="28"/>
  <c r="F642" i="28" s="1"/>
  <c r="H642" i="28" s="1"/>
  <c r="G329" i="28"/>
  <c r="I329" i="28"/>
  <c r="G433" i="28"/>
  <c r="I433" i="28"/>
  <c r="A435" i="28"/>
  <c r="J435" i="28" s="1"/>
  <c r="D434" i="28"/>
  <c r="F434" i="28" s="1"/>
  <c r="H434" i="28" s="1"/>
  <c r="A331" i="28"/>
  <c r="J331" i="28" s="1"/>
  <c r="D330" i="28"/>
  <c r="F330" i="28" s="1"/>
  <c r="H330" i="28" s="1"/>
  <c r="G849" i="28"/>
  <c r="I849" i="28"/>
  <c r="G537" i="28"/>
  <c r="I537" i="28"/>
  <c r="A851" i="28"/>
  <c r="J851" i="28" s="1"/>
  <c r="D850" i="28"/>
  <c r="F850" i="28" s="1"/>
  <c r="H850" i="28" s="1"/>
  <c r="A539" i="28"/>
  <c r="J539" i="28" s="1"/>
  <c r="D538" i="28"/>
  <c r="F538" i="28" s="1"/>
  <c r="H538" i="28" s="1"/>
  <c r="A123" i="28"/>
  <c r="J123" i="28" s="1"/>
  <c r="D122" i="28"/>
  <c r="F122" i="28" s="1"/>
  <c r="H122" i="28" s="1"/>
  <c r="G121" i="28"/>
  <c r="I121" i="28"/>
  <c r="G226" i="28" l="1"/>
  <c r="I226" i="28"/>
  <c r="J227" i="28"/>
  <c r="A228" i="28"/>
  <c r="D227" i="28"/>
  <c r="F227" i="28" s="1"/>
  <c r="H227" i="28" s="1"/>
  <c r="G538" i="28"/>
  <c r="I538" i="28"/>
  <c r="A540" i="28"/>
  <c r="J540" i="28" s="1"/>
  <c r="D539" i="28"/>
  <c r="F539" i="28" s="1"/>
  <c r="H539" i="28" s="1"/>
  <c r="A332" i="28"/>
  <c r="J332" i="28" s="1"/>
  <c r="D331" i="28"/>
  <c r="F331" i="28" s="1"/>
  <c r="H331" i="28" s="1"/>
  <c r="G434" i="28"/>
  <c r="I434" i="28"/>
  <c r="G747" i="28"/>
  <c r="I747" i="28"/>
  <c r="I642" i="28"/>
  <c r="G642" i="28"/>
  <c r="A852" i="28"/>
  <c r="J852" i="28" s="1"/>
  <c r="D851" i="28"/>
  <c r="F851" i="28" s="1"/>
  <c r="H851" i="28" s="1"/>
  <c r="A436" i="28"/>
  <c r="J436" i="28" s="1"/>
  <c r="D435" i="28"/>
  <c r="F435" i="28" s="1"/>
  <c r="H435" i="28" s="1"/>
  <c r="A644" i="28"/>
  <c r="J644" i="28" s="1"/>
  <c r="D643" i="28"/>
  <c r="F643" i="28" s="1"/>
  <c r="H643" i="28" s="1"/>
  <c r="A749" i="28"/>
  <c r="J749" i="28" s="1"/>
  <c r="D748" i="28"/>
  <c r="F748" i="28" s="1"/>
  <c r="H748" i="28" s="1"/>
  <c r="I954" i="28"/>
  <c r="G954" i="28"/>
  <c r="I330" i="28"/>
  <c r="G330" i="28"/>
  <c r="A956" i="28"/>
  <c r="J956" i="28" s="1"/>
  <c r="D955" i="28"/>
  <c r="F955" i="28" s="1"/>
  <c r="H955" i="28" s="1"/>
  <c r="G850" i="28"/>
  <c r="I850" i="28"/>
  <c r="G122" i="28"/>
  <c r="I122" i="28"/>
  <c r="A124" i="28"/>
  <c r="J124" i="28" s="1"/>
  <c r="D123" i="28"/>
  <c r="F123" i="28" s="1"/>
  <c r="H123" i="28" s="1"/>
  <c r="J228" i="28" l="1"/>
  <c r="A229" i="28"/>
  <c r="D228" i="28"/>
  <c r="F228" i="28" s="1"/>
  <c r="H228" i="28" s="1"/>
  <c r="G227" i="28"/>
  <c r="I227" i="28"/>
  <c r="A853" i="28"/>
  <c r="J853" i="28" s="1"/>
  <c r="D852" i="28"/>
  <c r="F852" i="28" s="1"/>
  <c r="H852" i="28" s="1"/>
  <c r="G748" i="28"/>
  <c r="I748" i="28"/>
  <c r="I331" i="28"/>
  <c r="G331" i="28"/>
  <c r="A750" i="28"/>
  <c r="J750" i="28" s="1"/>
  <c r="D749" i="28"/>
  <c r="F749" i="28" s="1"/>
  <c r="H749" i="28" s="1"/>
  <c r="A333" i="28"/>
  <c r="J333" i="28" s="1"/>
  <c r="D332" i="28"/>
  <c r="F332" i="28" s="1"/>
  <c r="H332" i="28" s="1"/>
  <c r="G643" i="28"/>
  <c r="I643" i="28"/>
  <c r="I539" i="28"/>
  <c r="G539" i="28"/>
  <c r="A957" i="28"/>
  <c r="J957" i="28" s="1"/>
  <c r="D956" i="28"/>
  <c r="F956" i="28" s="1"/>
  <c r="H956" i="28" s="1"/>
  <c r="A645" i="28"/>
  <c r="J645" i="28" s="1"/>
  <c r="D644" i="28"/>
  <c r="F644" i="28" s="1"/>
  <c r="H644" i="28" s="1"/>
  <c r="A541" i="28"/>
  <c r="J541" i="28" s="1"/>
  <c r="D540" i="28"/>
  <c r="F540" i="28" s="1"/>
  <c r="H540" i="28" s="1"/>
  <c r="I851" i="28"/>
  <c r="G851" i="28"/>
  <c r="G435" i="28"/>
  <c r="I435" i="28"/>
  <c r="I955" i="28"/>
  <c r="G955" i="28"/>
  <c r="A437" i="28"/>
  <c r="J437" i="28" s="1"/>
  <c r="D436" i="28"/>
  <c r="F436" i="28" s="1"/>
  <c r="H436" i="28" s="1"/>
  <c r="A125" i="28"/>
  <c r="J125" i="28" s="1"/>
  <c r="D124" i="28"/>
  <c r="F124" i="28" s="1"/>
  <c r="H124" i="28" s="1"/>
  <c r="G123" i="28"/>
  <c r="I123" i="28"/>
  <c r="G228" i="28" l="1"/>
  <c r="I228" i="28"/>
  <c r="J229" i="28"/>
  <c r="A230" i="28"/>
  <c r="D229" i="28"/>
  <c r="F229" i="28" s="1"/>
  <c r="H229" i="28" s="1"/>
  <c r="A438" i="28"/>
  <c r="J438" i="28" s="1"/>
  <c r="D437" i="28"/>
  <c r="F437" i="28" s="1"/>
  <c r="H437" i="28" s="1"/>
  <c r="A542" i="28"/>
  <c r="J542" i="28" s="1"/>
  <c r="D541" i="28"/>
  <c r="F541" i="28" s="1"/>
  <c r="H541" i="28" s="1"/>
  <c r="I332" i="28"/>
  <c r="G332" i="28"/>
  <c r="G644" i="28"/>
  <c r="I644" i="28"/>
  <c r="A646" i="28"/>
  <c r="J646" i="28" s="1"/>
  <c r="D645" i="28"/>
  <c r="F645" i="28" s="1"/>
  <c r="H645" i="28" s="1"/>
  <c r="A334" i="28"/>
  <c r="J334" i="28" s="1"/>
  <c r="D333" i="28"/>
  <c r="F333" i="28" s="1"/>
  <c r="H333" i="28" s="1"/>
  <c r="I436" i="28"/>
  <c r="G436" i="28"/>
  <c r="I852" i="28"/>
  <c r="G852" i="28"/>
  <c r="G956" i="28"/>
  <c r="I956" i="28"/>
  <c r="A958" i="28"/>
  <c r="J958" i="28" s="1"/>
  <c r="D957" i="28"/>
  <c r="F957" i="28" s="1"/>
  <c r="H957" i="28" s="1"/>
  <c r="A751" i="28"/>
  <c r="J751" i="28" s="1"/>
  <c r="D750" i="28"/>
  <c r="F750" i="28" s="1"/>
  <c r="H750" i="28" s="1"/>
  <c r="A854" i="28"/>
  <c r="J854" i="28" s="1"/>
  <c r="D853" i="28"/>
  <c r="F853" i="28" s="1"/>
  <c r="H853" i="28" s="1"/>
  <c r="I749" i="28"/>
  <c r="G749" i="28"/>
  <c r="I540" i="28"/>
  <c r="G540" i="28"/>
  <c r="G124" i="28"/>
  <c r="I124" i="28"/>
  <c r="A126" i="28"/>
  <c r="J126" i="28" s="1"/>
  <c r="D125" i="28"/>
  <c r="F125" i="28" s="1"/>
  <c r="H125" i="28" s="1"/>
  <c r="G229" i="28" l="1"/>
  <c r="I229" i="28"/>
  <c r="J230" i="28"/>
  <c r="A231" i="28"/>
  <c r="D230" i="28"/>
  <c r="F230" i="28" s="1"/>
  <c r="H230" i="28" s="1"/>
  <c r="G957" i="28"/>
  <c r="I957" i="28"/>
  <c r="A959" i="28"/>
  <c r="J959" i="28" s="1"/>
  <c r="D958" i="28"/>
  <c r="F958" i="28" s="1"/>
  <c r="H958" i="28" s="1"/>
  <c r="G333" i="28"/>
  <c r="I333" i="28"/>
  <c r="A335" i="28"/>
  <c r="J335" i="28" s="1"/>
  <c r="D334" i="28"/>
  <c r="F334" i="28" s="1"/>
  <c r="H334" i="28" s="1"/>
  <c r="I853" i="28"/>
  <c r="G853" i="28"/>
  <c r="I541" i="28"/>
  <c r="G541" i="28"/>
  <c r="G645" i="28"/>
  <c r="I645" i="28"/>
  <c r="A855" i="28"/>
  <c r="J855" i="28" s="1"/>
  <c r="D854" i="28"/>
  <c r="F854" i="28" s="1"/>
  <c r="H854" i="28" s="1"/>
  <c r="A647" i="28"/>
  <c r="J647" i="28" s="1"/>
  <c r="D646" i="28"/>
  <c r="F646" i="28" s="1"/>
  <c r="H646" i="28" s="1"/>
  <c r="A543" i="28"/>
  <c r="J543" i="28" s="1"/>
  <c r="D542" i="28"/>
  <c r="F542" i="28" s="1"/>
  <c r="H542" i="28" s="1"/>
  <c r="I437" i="28"/>
  <c r="G437" i="28"/>
  <c r="G750" i="28"/>
  <c r="I750" i="28"/>
  <c r="A752" i="28"/>
  <c r="J752" i="28" s="1"/>
  <c r="D751" i="28"/>
  <c r="F751" i="28" s="1"/>
  <c r="H751" i="28" s="1"/>
  <c r="A439" i="28"/>
  <c r="J439" i="28" s="1"/>
  <c r="D438" i="28"/>
  <c r="F438" i="28" s="1"/>
  <c r="H438" i="28" s="1"/>
  <c r="G125" i="28"/>
  <c r="I125" i="28"/>
  <c r="A127" i="28"/>
  <c r="J127" i="28" s="1"/>
  <c r="D126" i="28"/>
  <c r="F126" i="28" s="1"/>
  <c r="H126" i="28" s="1"/>
  <c r="G230" i="28" l="1"/>
  <c r="I230" i="28"/>
  <c r="J231" i="28"/>
  <c r="D231" i="28"/>
  <c r="F231" i="28" s="1"/>
  <c r="H231" i="28" s="1"/>
  <c r="A232" i="28"/>
  <c r="G438" i="28"/>
  <c r="I438" i="28"/>
  <c r="G751" i="28"/>
  <c r="I751" i="28"/>
  <c r="G646" i="28"/>
  <c r="I646" i="28"/>
  <c r="A440" i="28"/>
  <c r="J440" i="28" s="1"/>
  <c r="D439" i="28"/>
  <c r="F439" i="28" s="1"/>
  <c r="H439" i="28" s="1"/>
  <c r="A544" i="28"/>
  <c r="J544" i="28" s="1"/>
  <c r="D543" i="28"/>
  <c r="F543" i="28" s="1"/>
  <c r="H543" i="28" s="1"/>
  <c r="G958" i="28"/>
  <c r="I958" i="28"/>
  <c r="A753" i="28"/>
  <c r="J753" i="28" s="1"/>
  <c r="D752" i="28"/>
  <c r="F752" i="28" s="1"/>
  <c r="H752" i="28" s="1"/>
  <c r="A856" i="28"/>
  <c r="J856" i="28" s="1"/>
  <c r="D855" i="28"/>
  <c r="F855" i="28" s="1"/>
  <c r="H855" i="28" s="1"/>
  <c r="A960" i="28"/>
  <c r="J960" i="28" s="1"/>
  <c r="D959" i="28"/>
  <c r="F959" i="28" s="1"/>
  <c r="H959" i="28" s="1"/>
  <c r="I542" i="28"/>
  <c r="G542" i="28"/>
  <c r="A648" i="28"/>
  <c r="J648" i="28" s="1"/>
  <c r="D647" i="28"/>
  <c r="F647" i="28" s="1"/>
  <c r="H647" i="28" s="1"/>
  <c r="I334" i="28"/>
  <c r="G334" i="28"/>
  <c r="G854" i="28"/>
  <c r="I854" i="28"/>
  <c r="A336" i="28"/>
  <c r="J336" i="28" s="1"/>
  <c r="D335" i="28"/>
  <c r="F335" i="28" s="1"/>
  <c r="H335" i="28" s="1"/>
  <c r="I126" i="28"/>
  <c r="G126" i="28"/>
  <c r="A128" i="28"/>
  <c r="J128" i="28" s="1"/>
  <c r="D127" i="28"/>
  <c r="F127" i="28" s="1"/>
  <c r="H127" i="28" s="1"/>
  <c r="J232" i="28" l="1"/>
  <c r="A233" i="28"/>
  <c r="D232" i="28"/>
  <c r="F232" i="28" s="1"/>
  <c r="H232" i="28" s="1"/>
  <c r="G231" i="28"/>
  <c r="I231" i="28"/>
  <c r="I335" i="28"/>
  <c r="G335" i="28"/>
  <c r="G959" i="28"/>
  <c r="I959" i="28"/>
  <c r="G543" i="28"/>
  <c r="I543" i="28"/>
  <c r="A337" i="28"/>
  <c r="J337" i="28" s="1"/>
  <c r="D336" i="28"/>
  <c r="F336" i="28" s="1"/>
  <c r="H336" i="28" s="1"/>
  <c r="G855" i="28"/>
  <c r="I855" i="28"/>
  <c r="A857" i="28"/>
  <c r="J857" i="28" s="1"/>
  <c r="D856" i="28"/>
  <c r="F856" i="28" s="1"/>
  <c r="H856" i="28" s="1"/>
  <c r="A545" i="28"/>
  <c r="J545" i="28" s="1"/>
  <c r="D544" i="28"/>
  <c r="F544" i="28" s="1"/>
  <c r="H544" i="28" s="1"/>
  <c r="G752" i="28"/>
  <c r="I752" i="28"/>
  <c r="G439" i="28"/>
  <c r="I439" i="28"/>
  <c r="A961" i="28"/>
  <c r="J961" i="28" s="1"/>
  <c r="D960" i="28"/>
  <c r="F960" i="28" s="1"/>
  <c r="H960" i="28" s="1"/>
  <c r="I647" i="28"/>
  <c r="G647" i="28"/>
  <c r="A649" i="28"/>
  <c r="J649" i="28" s="1"/>
  <c r="D648" i="28"/>
  <c r="F648" i="28" s="1"/>
  <c r="H648" i="28" s="1"/>
  <c r="A754" i="28"/>
  <c r="J754" i="28" s="1"/>
  <c r="D753" i="28"/>
  <c r="F753" i="28" s="1"/>
  <c r="H753" i="28" s="1"/>
  <c r="A441" i="28"/>
  <c r="J441" i="28" s="1"/>
  <c r="D440" i="28"/>
  <c r="F440" i="28" s="1"/>
  <c r="H440" i="28" s="1"/>
  <c r="G127" i="28"/>
  <c r="I127" i="28"/>
  <c r="A129" i="28"/>
  <c r="J129" i="28" s="1"/>
  <c r="D128" i="28"/>
  <c r="F128" i="28" s="1"/>
  <c r="H128" i="28" s="1"/>
  <c r="G232" i="28" l="1"/>
  <c r="I232" i="28"/>
  <c r="J233" i="28"/>
  <c r="A234" i="28"/>
  <c r="D233" i="28"/>
  <c r="F233" i="28" s="1"/>
  <c r="H233" i="28" s="1"/>
  <c r="A442" i="28"/>
  <c r="J442" i="28" s="1"/>
  <c r="D441" i="28"/>
  <c r="F441" i="28" s="1"/>
  <c r="H441" i="28" s="1"/>
  <c r="A962" i="28"/>
  <c r="J962" i="28" s="1"/>
  <c r="D961" i="28"/>
  <c r="F961" i="28" s="1"/>
  <c r="H961" i="28" s="1"/>
  <c r="G856" i="28"/>
  <c r="I856" i="28"/>
  <c r="G753" i="28"/>
  <c r="I753" i="28"/>
  <c r="A755" i="28"/>
  <c r="J755" i="28" s="1"/>
  <c r="D754" i="28"/>
  <c r="F754" i="28" s="1"/>
  <c r="H754" i="28" s="1"/>
  <c r="A858" i="28"/>
  <c r="J858" i="28" s="1"/>
  <c r="D857" i="28"/>
  <c r="F857" i="28" s="1"/>
  <c r="H857" i="28" s="1"/>
  <c r="I648" i="28"/>
  <c r="G648" i="28"/>
  <c r="I440" i="28"/>
  <c r="G440" i="28"/>
  <c r="A650" i="28"/>
  <c r="J650" i="28" s="1"/>
  <c r="D649" i="28"/>
  <c r="F649" i="28" s="1"/>
  <c r="H649" i="28" s="1"/>
  <c r="G960" i="28"/>
  <c r="I960" i="28"/>
  <c r="I336" i="28"/>
  <c r="G336" i="28"/>
  <c r="G544" i="28"/>
  <c r="I544" i="28"/>
  <c r="A546" i="28"/>
  <c r="J546" i="28" s="1"/>
  <c r="D545" i="28"/>
  <c r="F545" i="28" s="1"/>
  <c r="H545" i="28" s="1"/>
  <c r="A338" i="28"/>
  <c r="J338" i="28" s="1"/>
  <c r="D337" i="28"/>
  <c r="F337" i="28" s="1"/>
  <c r="H337" i="28" s="1"/>
  <c r="G128" i="28"/>
  <c r="I128" i="28"/>
  <c r="A130" i="28"/>
  <c r="J130" i="28" s="1"/>
  <c r="D129" i="28"/>
  <c r="F129" i="28" s="1"/>
  <c r="H129" i="28" s="1"/>
  <c r="G233" i="28" l="1"/>
  <c r="I233" i="28"/>
  <c r="J234" i="28"/>
  <c r="A235" i="28"/>
  <c r="D234" i="28"/>
  <c r="F234" i="28" s="1"/>
  <c r="H234" i="28" s="1"/>
  <c r="I857" i="28"/>
  <c r="G857" i="28"/>
  <c r="A859" i="28"/>
  <c r="J859" i="28" s="1"/>
  <c r="D858" i="28"/>
  <c r="F858" i="28" s="1"/>
  <c r="H858" i="28" s="1"/>
  <c r="A339" i="28"/>
  <c r="J339" i="28" s="1"/>
  <c r="D338" i="28"/>
  <c r="F338" i="28" s="1"/>
  <c r="H338" i="28" s="1"/>
  <c r="I961" i="28"/>
  <c r="G961" i="28"/>
  <c r="I441" i="28"/>
  <c r="G441" i="28"/>
  <c r="G337" i="28"/>
  <c r="I337" i="28"/>
  <c r="I754" i="28"/>
  <c r="G754" i="28"/>
  <c r="A651" i="28"/>
  <c r="J651" i="28" s="1"/>
  <c r="D650" i="28"/>
  <c r="F650" i="28" s="1"/>
  <c r="H650" i="28" s="1"/>
  <c r="A756" i="28"/>
  <c r="J756" i="28" s="1"/>
  <c r="D755" i="28"/>
  <c r="F755" i="28" s="1"/>
  <c r="H755" i="28" s="1"/>
  <c r="A443" i="28"/>
  <c r="J443" i="28" s="1"/>
  <c r="D442" i="28"/>
  <c r="F442" i="28" s="1"/>
  <c r="H442" i="28" s="1"/>
  <c r="G649" i="28"/>
  <c r="I649" i="28"/>
  <c r="A547" i="28"/>
  <c r="J547" i="28" s="1"/>
  <c r="D546" i="28"/>
  <c r="F546" i="28" s="1"/>
  <c r="H546" i="28" s="1"/>
  <c r="A963" i="28"/>
  <c r="J963" i="28" s="1"/>
  <c r="D962" i="28"/>
  <c r="F962" i="28" s="1"/>
  <c r="H962" i="28" s="1"/>
  <c r="G545" i="28"/>
  <c r="I545" i="28"/>
  <c r="G129" i="28"/>
  <c r="I129" i="28"/>
  <c r="A131" i="28"/>
  <c r="J131" i="28" s="1"/>
  <c r="D130" i="28"/>
  <c r="F130" i="28" s="1"/>
  <c r="H130" i="28" s="1"/>
  <c r="I234" i="28" l="1"/>
  <c r="G234" i="28"/>
  <c r="J235" i="28"/>
  <c r="A236" i="28"/>
  <c r="D235" i="28"/>
  <c r="F235" i="28" s="1"/>
  <c r="H235" i="28" s="1"/>
  <c r="I338" i="28"/>
  <c r="G338" i="28"/>
  <c r="A444" i="28"/>
  <c r="J444" i="28" s="1"/>
  <c r="D443" i="28"/>
  <c r="F443" i="28" s="1"/>
  <c r="H443" i="28" s="1"/>
  <c r="A340" i="28"/>
  <c r="J340" i="28" s="1"/>
  <c r="D339" i="28"/>
  <c r="F339" i="28" s="1"/>
  <c r="H339" i="28" s="1"/>
  <c r="I962" i="28"/>
  <c r="G962" i="28"/>
  <c r="G755" i="28"/>
  <c r="I755" i="28"/>
  <c r="A964" i="28"/>
  <c r="J964" i="28" s="1"/>
  <c r="D963" i="28"/>
  <c r="F963" i="28" s="1"/>
  <c r="H963" i="28" s="1"/>
  <c r="A757" i="28"/>
  <c r="J757" i="28" s="1"/>
  <c r="D756" i="28"/>
  <c r="F756" i="28" s="1"/>
  <c r="H756" i="28" s="1"/>
  <c r="G442" i="28"/>
  <c r="I442" i="28"/>
  <c r="G858" i="28"/>
  <c r="I858" i="28"/>
  <c r="G650" i="28"/>
  <c r="I650" i="28"/>
  <c r="A548" i="28"/>
  <c r="J548" i="28" s="1"/>
  <c r="D547" i="28"/>
  <c r="F547" i="28" s="1"/>
  <c r="H547" i="28" s="1"/>
  <c r="A652" i="28"/>
  <c r="J652" i="28" s="1"/>
  <c r="D651" i="28"/>
  <c r="F651" i="28" s="1"/>
  <c r="H651" i="28" s="1"/>
  <c r="A860" i="28"/>
  <c r="J860" i="28" s="1"/>
  <c r="D859" i="28"/>
  <c r="F859" i="28" s="1"/>
  <c r="H859" i="28" s="1"/>
  <c r="G546" i="28"/>
  <c r="I546" i="28"/>
  <c r="G130" i="28"/>
  <c r="I130" i="28"/>
  <c r="A132" i="28"/>
  <c r="J132" i="28" s="1"/>
  <c r="D131" i="28"/>
  <c r="F131" i="28" s="1"/>
  <c r="H131" i="28" s="1"/>
  <c r="G235" i="28" l="1"/>
  <c r="I235" i="28"/>
  <c r="J236" i="28"/>
  <c r="A237" i="28"/>
  <c r="D236" i="28"/>
  <c r="F236" i="28" s="1"/>
  <c r="H236" i="28" s="1"/>
  <c r="G963" i="28"/>
  <c r="I963" i="28"/>
  <c r="G339" i="28"/>
  <c r="I339" i="28"/>
  <c r="G859" i="28"/>
  <c r="I859" i="28"/>
  <c r="A861" i="28"/>
  <c r="J861" i="28" s="1"/>
  <c r="D860" i="28"/>
  <c r="F860" i="28" s="1"/>
  <c r="H860" i="28" s="1"/>
  <c r="A965" i="28"/>
  <c r="J965" i="28" s="1"/>
  <c r="D964" i="28"/>
  <c r="F964" i="28" s="1"/>
  <c r="H964" i="28" s="1"/>
  <c r="A341" i="28"/>
  <c r="J341" i="28" s="1"/>
  <c r="D340" i="28"/>
  <c r="F340" i="28" s="1"/>
  <c r="H340" i="28" s="1"/>
  <c r="G651" i="28"/>
  <c r="I651" i="28"/>
  <c r="I443" i="28"/>
  <c r="G443" i="28"/>
  <c r="A758" i="28"/>
  <c r="J758" i="28" s="1"/>
  <c r="D757" i="28"/>
  <c r="F757" i="28" s="1"/>
  <c r="H757" i="28" s="1"/>
  <c r="A653" i="28"/>
  <c r="J653" i="28" s="1"/>
  <c r="D652" i="28"/>
  <c r="F652" i="28" s="1"/>
  <c r="H652" i="28" s="1"/>
  <c r="A445" i="28"/>
  <c r="J445" i="28" s="1"/>
  <c r="D444" i="28"/>
  <c r="F444" i="28" s="1"/>
  <c r="H444" i="28" s="1"/>
  <c r="I756" i="28"/>
  <c r="G756" i="28"/>
  <c r="I547" i="28"/>
  <c r="G547" i="28"/>
  <c r="A549" i="28"/>
  <c r="J549" i="28" s="1"/>
  <c r="D548" i="28"/>
  <c r="F548" i="28" s="1"/>
  <c r="H548" i="28" s="1"/>
  <c r="A133" i="28"/>
  <c r="J133" i="28" s="1"/>
  <c r="D132" i="28"/>
  <c r="F132" i="28" s="1"/>
  <c r="H132" i="28" s="1"/>
  <c r="G131" i="28"/>
  <c r="I131" i="28"/>
  <c r="G236" i="28" l="1"/>
  <c r="I236" i="28"/>
  <c r="J237" i="28"/>
  <c r="A238" i="28"/>
  <c r="D237" i="28"/>
  <c r="F237" i="28" s="1"/>
  <c r="H237" i="28" s="1"/>
  <c r="I548" i="28"/>
  <c r="G548" i="28"/>
  <c r="G444" i="28"/>
  <c r="I444" i="28"/>
  <c r="A862" i="28"/>
  <c r="J862" i="28" s="1"/>
  <c r="D861" i="28"/>
  <c r="F861" i="28" s="1"/>
  <c r="H861" i="28" s="1"/>
  <c r="A550" i="28"/>
  <c r="J550" i="28" s="1"/>
  <c r="D549" i="28"/>
  <c r="F549" i="28" s="1"/>
  <c r="H549" i="28" s="1"/>
  <c r="A446" i="28"/>
  <c r="J446" i="28" s="1"/>
  <c r="D445" i="28"/>
  <c r="F445" i="28" s="1"/>
  <c r="H445" i="28" s="1"/>
  <c r="G652" i="28"/>
  <c r="I652" i="28"/>
  <c r="I340" i="28"/>
  <c r="G340" i="28"/>
  <c r="A654" i="28"/>
  <c r="J654" i="28" s="1"/>
  <c r="D653" i="28"/>
  <c r="F653" i="28" s="1"/>
  <c r="H653" i="28" s="1"/>
  <c r="A342" i="28"/>
  <c r="J342" i="28" s="1"/>
  <c r="D341" i="28"/>
  <c r="F341" i="28" s="1"/>
  <c r="H341" i="28" s="1"/>
  <c r="I860" i="28"/>
  <c r="G860" i="28"/>
  <c r="G757" i="28"/>
  <c r="I757" i="28"/>
  <c r="G964" i="28"/>
  <c r="I964" i="28"/>
  <c r="A759" i="28"/>
  <c r="J759" i="28" s="1"/>
  <c r="D758" i="28"/>
  <c r="F758" i="28" s="1"/>
  <c r="H758" i="28" s="1"/>
  <c r="A966" i="28"/>
  <c r="J966" i="28" s="1"/>
  <c r="D965" i="28"/>
  <c r="F965" i="28" s="1"/>
  <c r="H965" i="28" s="1"/>
  <c r="G132" i="28"/>
  <c r="I132" i="28"/>
  <c r="A134" i="28"/>
  <c r="J134" i="28" s="1"/>
  <c r="D133" i="28"/>
  <c r="F133" i="28" s="1"/>
  <c r="H133" i="28" s="1"/>
  <c r="G237" i="28" l="1"/>
  <c r="I237" i="28"/>
  <c r="J238" i="28"/>
  <c r="D238" i="28"/>
  <c r="F238" i="28" s="1"/>
  <c r="H238" i="28" s="1"/>
  <c r="A239" i="28"/>
  <c r="A967" i="28"/>
  <c r="J967" i="28" s="1"/>
  <c r="D966" i="28"/>
  <c r="F966" i="28" s="1"/>
  <c r="H966" i="28" s="1"/>
  <c r="A863" i="28"/>
  <c r="J863" i="28" s="1"/>
  <c r="D862" i="28"/>
  <c r="F862" i="28" s="1"/>
  <c r="H862" i="28" s="1"/>
  <c r="I341" i="28"/>
  <c r="G341" i="28"/>
  <c r="I861" i="28"/>
  <c r="G861" i="28"/>
  <c r="G758" i="28"/>
  <c r="I758" i="28"/>
  <c r="A760" i="28"/>
  <c r="J760" i="28" s="1"/>
  <c r="D759" i="28"/>
  <c r="F759" i="28" s="1"/>
  <c r="H759" i="28" s="1"/>
  <c r="A343" i="28"/>
  <c r="J343" i="28" s="1"/>
  <c r="D342" i="28"/>
  <c r="F342" i="28" s="1"/>
  <c r="H342" i="28" s="1"/>
  <c r="G445" i="28"/>
  <c r="I445" i="28"/>
  <c r="A447" i="28"/>
  <c r="J447" i="28" s="1"/>
  <c r="D446" i="28"/>
  <c r="F446" i="28" s="1"/>
  <c r="H446" i="28" s="1"/>
  <c r="G653" i="28"/>
  <c r="I653" i="28"/>
  <c r="I549" i="28"/>
  <c r="G549" i="28"/>
  <c r="G965" i="28"/>
  <c r="I965" i="28"/>
  <c r="A655" i="28"/>
  <c r="J655" i="28" s="1"/>
  <c r="D654" i="28"/>
  <c r="F654" i="28" s="1"/>
  <c r="H654" i="28" s="1"/>
  <c r="A551" i="28"/>
  <c r="J551" i="28" s="1"/>
  <c r="D550" i="28"/>
  <c r="F550" i="28" s="1"/>
  <c r="H550" i="28" s="1"/>
  <c r="G133" i="28"/>
  <c r="I133" i="28"/>
  <c r="A135" i="28"/>
  <c r="J135" i="28" s="1"/>
  <c r="D134" i="28"/>
  <c r="F134" i="28" s="1"/>
  <c r="H134" i="28" s="1"/>
  <c r="J239" i="28" l="1"/>
  <c r="A240" i="28"/>
  <c r="D239" i="28"/>
  <c r="F239" i="28" s="1"/>
  <c r="H239" i="28" s="1"/>
  <c r="I238" i="28"/>
  <c r="G238" i="28"/>
  <c r="A552" i="28"/>
  <c r="J552" i="28" s="1"/>
  <c r="D551" i="28"/>
  <c r="F551" i="28" s="1"/>
  <c r="H551" i="28" s="1"/>
  <c r="G342" i="28"/>
  <c r="I342" i="28"/>
  <c r="G550" i="28"/>
  <c r="I550" i="28"/>
  <c r="G759" i="28"/>
  <c r="I759" i="28"/>
  <c r="G862" i="28"/>
  <c r="I862" i="28"/>
  <c r="A761" i="28"/>
  <c r="J761" i="28" s="1"/>
  <c r="D760" i="28"/>
  <c r="F760" i="28" s="1"/>
  <c r="H760" i="28" s="1"/>
  <c r="A864" i="28"/>
  <c r="J864" i="28" s="1"/>
  <c r="D863" i="28"/>
  <c r="F863" i="28" s="1"/>
  <c r="H863" i="28" s="1"/>
  <c r="A344" i="28"/>
  <c r="J344" i="28" s="1"/>
  <c r="D343" i="28"/>
  <c r="F343" i="28" s="1"/>
  <c r="H343" i="28" s="1"/>
  <c r="G446" i="28"/>
  <c r="I446" i="28"/>
  <c r="G966" i="28"/>
  <c r="I966" i="28"/>
  <c r="G654" i="28"/>
  <c r="I654" i="28"/>
  <c r="A656" i="28"/>
  <c r="J656" i="28" s="1"/>
  <c r="D655" i="28"/>
  <c r="F655" i="28" s="1"/>
  <c r="H655" i="28" s="1"/>
  <c r="A448" i="28"/>
  <c r="J448" i="28" s="1"/>
  <c r="D447" i="28"/>
  <c r="F447" i="28" s="1"/>
  <c r="H447" i="28" s="1"/>
  <c r="A968" i="28"/>
  <c r="J968" i="28" s="1"/>
  <c r="D967" i="28"/>
  <c r="F967" i="28" s="1"/>
  <c r="H967" i="28" s="1"/>
  <c r="A136" i="28"/>
  <c r="J136" i="28" s="1"/>
  <c r="D135" i="28"/>
  <c r="F135" i="28" s="1"/>
  <c r="H135" i="28" s="1"/>
  <c r="I134" i="28"/>
  <c r="G134" i="28"/>
  <c r="G239" i="28" l="1"/>
  <c r="I239" i="28"/>
  <c r="J240" i="28"/>
  <c r="A241" i="28"/>
  <c r="D240" i="28"/>
  <c r="F240" i="28" s="1"/>
  <c r="H240" i="28" s="1"/>
  <c r="I760" i="28"/>
  <c r="G760" i="28"/>
  <c r="A969" i="28"/>
  <c r="J969" i="28" s="1"/>
  <c r="D968" i="28"/>
  <c r="F968" i="28" s="1"/>
  <c r="H968" i="28" s="1"/>
  <c r="A762" i="28"/>
  <c r="J762" i="28" s="1"/>
  <c r="D761" i="28"/>
  <c r="F761" i="28" s="1"/>
  <c r="H761" i="28" s="1"/>
  <c r="G967" i="28"/>
  <c r="I967" i="28"/>
  <c r="A449" i="28"/>
  <c r="J449" i="28" s="1"/>
  <c r="D448" i="28"/>
  <c r="F448" i="28" s="1"/>
  <c r="H448" i="28" s="1"/>
  <c r="G655" i="28"/>
  <c r="I655" i="28"/>
  <c r="G343" i="28"/>
  <c r="I343" i="28"/>
  <c r="A345" i="28"/>
  <c r="J345" i="28" s="1"/>
  <c r="D344" i="28"/>
  <c r="F344" i="28" s="1"/>
  <c r="H344" i="28" s="1"/>
  <c r="A657" i="28"/>
  <c r="J657" i="28" s="1"/>
  <c r="D656" i="28"/>
  <c r="F656" i="28" s="1"/>
  <c r="H656" i="28" s="1"/>
  <c r="G863" i="28"/>
  <c r="I863" i="28"/>
  <c r="G551" i="28"/>
  <c r="I551" i="28"/>
  <c r="G447" i="28"/>
  <c r="I447" i="28"/>
  <c r="A865" i="28"/>
  <c r="J865" i="28" s="1"/>
  <c r="D864" i="28"/>
  <c r="F864" i="28" s="1"/>
  <c r="H864" i="28" s="1"/>
  <c r="A553" i="28"/>
  <c r="J553" i="28" s="1"/>
  <c r="D552" i="28"/>
  <c r="F552" i="28" s="1"/>
  <c r="H552" i="28" s="1"/>
  <c r="G135" i="28"/>
  <c r="I135" i="28"/>
  <c r="A137" i="28"/>
  <c r="J137" i="28" s="1"/>
  <c r="D136" i="28"/>
  <c r="F136" i="28" s="1"/>
  <c r="H136" i="28" s="1"/>
  <c r="G240" i="28" l="1"/>
  <c r="I240" i="28"/>
  <c r="J241" i="28"/>
  <c r="A242" i="28"/>
  <c r="D241" i="28"/>
  <c r="F241" i="28" s="1"/>
  <c r="H241" i="28" s="1"/>
  <c r="G761" i="28"/>
  <c r="I761" i="28"/>
  <c r="G968" i="28"/>
  <c r="I968" i="28"/>
  <c r="G344" i="28"/>
  <c r="I344" i="28"/>
  <c r="A554" i="28"/>
  <c r="J554" i="28" s="1"/>
  <c r="D553" i="28"/>
  <c r="F553" i="28" s="1"/>
  <c r="H553" i="28" s="1"/>
  <c r="A346" i="28"/>
  <c r="J346" i="28" s="1"/>
  <c r="D345" i="28"/>
  <c r="F345" i="28" s="1"/>
  <c r="H345" i="28" s="1"/>
  <c r="A763" i="28"/>
  <c r="J763" i="28" s="1"/>
  <c r="D762" i="28"/>
  <c r="F762" i="28" s="1"/>
  <c r="H762" i="28" s="1"/>
  <c r="A970" i="28"/>
  <c r="J970" i="28" s="1"/>
  <c r="D969" i="28"/>
  <c r="F969" i="28" s="1"/>
  <c r="H969" i="28" s="1"/>
  <c r="I552" i="28"/>
  <c r="G552" i="28"/>
  <c r="G448" i="28"/>
  <c r="I448" i="28"/>
  <c r="G864" i="28"/>
  <c r="I864" i="28"/>
  <c r="A866" i="28"/>
  <c r="J866" i="28" s="1"/>
  <c r="D865" i="28"/>
  <c r="F865" i="28" s="1"/>
  <c r="H865" i="28" s="1"/>
  <c r="I656" i="28"/>
  <c r="G656" i="28"/>
  <c r="A658" i="28"/>
  <c r="J658" i="28" s="1"/>
  <c r="D657" i="28"/>
  <c r="F657" i="28" s="1"/>
  <c r="H657" i="28" s="1"/>
  <c r="A450" i="28"/>
  <c r="J450" i="28" s="1"/>
  <c r="D449" i="28"/>
  <c r="F449" i="28" s="1"/>
  <c r="H449" i="28" s="1"/>
  <c r="G136" i="28"/>
  <c r="I136" i="28"/>
  <c r="A138" i="28"/>
  <c r="J138" i="28" s="1"/>
  <c r="D137" i="28"/>
  <c r="F137" i="28" s="1"/>
  <c r="H137" i="28" s="1"/>
  <c r="G241" i="28" l="1"/>
  <c r="I241" i="28"/>
  <c r="J242" i="28"/>
  <c r="A243" i="28"/>
  <c r="D242" i="28"/>
  <c r="F242" i="28" s="1"/>
  <c r="H242" i="28" s="1"/>
  <c r="G553" i="28"/>
  <c r="I553" i="28"/>
  <c r="A451" i="28"/>
  <c r="J451" i="28" s="1"/>
  <c r="D450" i="28"/>
  <c r="F450" i="28" s="1"/>
  <c r="H450" i="28" s="1"/>
  <c r="A555" i="28"/>
  <c r="J555" i="28" s="1"/>
  <c r="D554" i="28"/>
  <c r="F554" i="28" s="1"/>
  <c r="H554" i="28" s="1"/>
  <c r="I969" i="28"/>
  <c r="G969" i="28"/>
  <c r="A659" i="28"/>
  <c r="J659" i="28" s="1"/>
  <c r="D658" i="28"/>
  <c r="F658" i="28" s="1"/>
  <c r="H658" i="28" s="1"/>
  <c r="A971" i="28"/>
  <c r="J971" i="28" s="1"/>
  <c r="D970" i="28"/>
  <c r="F970" i="28" s="1"/>
  <c r="H970" i="28" s="1"/>
  <c r="G449" i="28"/>
  <c r="I449" i="28"/>
  <c r="G762" i="28"/>
  <c r="I762" i="28"/>
  <c r="A764" i="28"/>
  <c r="J764" i="28" s="1"/>
  <c r="D763" i="28"/>
  <c r="F763" i="28" s="1"/>
  <c r="H763" i="28" s="1"/>
  <c r="G657" i="28"/>
  <c r="I657" i="28"/>
  <c r="G865" i="28"/>
  <c r="I865" i="28"/>
  <c r="G345" i="28"/>
  <c r="I345" i="28"/>
  <c r="A867" i="28"/>
  <c r="J867" i="28" s="1"/>
  <c r="D866" i="28"/>
  <c r="F866" i="28" s="1"/>
  <c r="H866" i="28" s="1"/>
  <c r="A347" i="28"/>
  <c r="J347" i="28" s="1"/>
  <c r="D346" i="28"/>
  <c r="F346" i="28" s="1"/>
  <c r="H346" i="28" s="1"/>
  <c r="A139" i="28"/>
  <c r="J139" i="28" s="1"/>
  <c r="D138" i="28"/>
  <c r="F138" i="28" s="1"/>
  <c r="H138" i="28" s="1"/>
  <c r="I137" i="28"/>
  <c r="G137" i="28"/>
  <c r="G242" i="28" l="1"/>
  <c r="I242" i="28"/>
  <c r="J243" i="28"/>
  <c r="A244" i="28"/>
  <c r="D243" i="28"/>
  <c r="F243" i="28" s="1"/>
  <c r="H243" i="28" s="1"/>
  <c r="G346" i="28"/>
  <c r="I346" i="28"/>
  <c r="G970" i="28"/>
  <c r="I970" i="28"/>
  <c r="I450" i="28"/>
  <c r="G450" i="28"/>
  <c r="A972" i="28"/>
  <c r="J972" i="28" s="1"/>
  <c r="D971" i="28"/>
  <c r="F971" i="28" s="1"/>
  <c r="H971" i="28" s="1"/>
  <c r="A452" i="28"/>
  <c r="J452" i="28" s="1"/>
  <c r="D451" i="28"/>
  <c r="F451" i="28" s="1"/>
  <c r="H451" i="28" s="1"/>
  <c r="A348" i="28"/>
  <c r="J348" i="28" s="1"/>
  <c r="D347" i="28"/>
  <c r="F347" i="28" s="1"/>
  <c r="H347" i="28" s="1"/>
  <c r="G554" i="28"/>
  <c r="I554" i="28"/>
  <c r="G866" i="28"/>
  <c r="I866" i="28"/>
  <c r="G658" i="28"/>
  <c r="I658" i="28"/>
  <c r="A556" i="28"/>
  <c r="J556" i="28" s="1"/>
  <c r="D555" i="28"/>
  <c r="F555" i="28" s="1"/>
  <c r="H555" i="28" s="1"/>
  <c r="A868" i="28"/>
  <c r="J868" i="28" s="1"/>
  <c r="D867" i="28"/>
  <c r="F867" i="28" s="1"/>
  <c r="H867" i="28" s="1"/>
  <c r="G763" i="28"/>
  <c r="I763" i="28"/>
  <c r="A765" i="28"/>
  <c r="J765" i="28" s="1"/>
  <c r="D764" i="28"/>
  <c r="F764" i="28" s="1"/>
  <c r="H764" i="28" s="1"/>
  <c r="A660" i="28"/>
  <c r="J660" i="28" s="1"/>
  <c r="D659" i="28"/>
  <c r="F659" i="28" s="1"/>
  <c r="H659" i="28" s="1"/>
  <c r="G138" i="28"/>
  <c r="I138" i="28"/>
  <c r="A140" i="28"/>
  <c r="J140" i="28" s="1"/>
  <c r="D139" i="28"/>
  <c r="F139" i="28" s="1"/>
  <c r="H139" i="28" s="1"/>
  <c r="G243" i="28" l="1"/>
  <c r="I243" i="28"/>
  <c r="J244" i="28"/>
  <c r="A245" i="28"/>
  <c r="D244" i="28"/>
  <c r="F244" i="28" s="1"/>
  <c r="H244" i="28" s="1"/>
  <c r="G659" i="28"/>
  <c r="I659" i="28"/>
  <c r="A661" i="28"/>
  <c r="J661" i="28" s="1"/>
  <c r="D660" i="28"/>
  <c r="F660" i="28" s="1"/>
  <c r="H660" i="28" s="1"/>
  <c r="A557" i="28"/>
  <c r="J557" i="28" s="1"/>
  <c r="D556" i="28"/>
  <c r="F556" i="28" s="1"/>
  <c r="H556" i="28" s="1"/>
  <c r="A349" i="28"/>
  <c r="J349" i="28" s="1"/>
  <c r="D348" i="28"/>
  <c r="F348" i="28" s="1"/>
  <c r="H348" i="28" s="1"/>
  <c r="I451" i="28"/>
  <c r="G451" i="28"/>
  <c r="G347" i="28"/>
  <c r="I347" i="28"/>
  <c r="A766" i="28"/>
  <c r="J766" i="28" s="1"/>
  <c r="D765" i="28"/>
  <c r="F765" i="28" s="1"/>
  <c r="H765" i="28" s="1"/>
  <c r="A453" i="28"/>
  <c r="J453" i="28" s="1"/>
  <c r="D452" i="28"/>
  <c r="F452" i="28" s="1"/>
  <c r="H452" i="28" s="1"/>
  <c r="G971" i="28"/>
  <c r="I971" i="28"/>
  <c r="I555" i="28"/>
  <c r="G555" i="28"/>
  <c r="A973" i="28"/>
  <c r="J973" i="28" s="1"/>
  <c r="D972" i="28"/>
  <c r="F972" i="28" s="1"/>
  <c r="H972" i="28" s="1"/>
  <c r="I764" i="28"/>
  <c r="G764" i="28"/>
  <c r="G867" i="28"/>
  <c r="I867" i="28"/>
  <c r="A869" i="28"/>
  <c r="J869" i="28" s="1"/>
  <c r="D868" i="28"/>
  <c r="F868" i="28" s="1"/>
  <c r="H868" i="28" s="1"/>
  <c r="A141" i="28"/>
  <c r="J141" i="28" s="1"/>
  <c r="D140" i="28"/>
  <c r="F140" i="28" s="1"/>
  <c r="H140" i="28" s="1"/>
  <c r="G139" i="28"/>
  <c r="I139" i="28"/>
  <c r="I244" i="28" l="1"/>
  <c r="G244" i="28"/>
  <c r="J245" i="28"/>
  <c r="A246" i="28"/>
  <c r="D245" i="28"/>
  <c r="F245" i="28" s="1"/>
  <c r="H245" i="28" s="1"/>
  <c r="I348" i="28"/>
  <c r="G348" i="28"/>
  <c r="A870" i="28"/>
  <c r="J870" i="28" s="1"/>
  <c r="D869" i="28"/>
  <c r="F869" i="28" s="1"/>
  <c r="H869" i="28" s="1"/>
  <c r="A974" i="28"/>
  <c r="J974" i="28" s="1"/>
  <c r="D973" i="28"/>
  <c r="F973" i="28" s="1"/>
  <c r="H973" i="28" s="1"/>
  <c r="A454" i="28"/>
  <c r="J454" i="28" s="1"/>
  <c r="D453" i="28"/>
  <c r="F453" i="28" s="1"/>
  <c r="H453" i="28" s="1"/>
  <c r="A350" i="28"/>
  <c r="J350" i="28" s="1"/>
  <c r="D349" i="28"/>
  <c r="F349" i="28" s="1"/>
  <c r="H349" i="28" s="1"/>
  <c r="G765" i="28"/>
  <c r="I765" i="28"/>
  <c r="G556" i="28"/>
  <c r="I556" i="28"/>
  <c r="A767" i="28"/>
  <c r="J767" i="28" s="1"/>
  <c r="D766" i="28"/>
  <c r="F766" i="28" s="1"/>
  <c r="H766" i="28" s="1"/>
  <c r="A558" i="28"/>
  <c r="J558" i="28" s="1"/>
  <c r="D557" i="28"/>
  <c r="F557" i="28" s="1"/>
  <c r="H557" i="28" s="1"/>
  <c r="I868" i="28"/>
  <c r="G868" i="28"/>
  <c r="G660" i="28"/>
  <c r="I660" i="28"/>
  <c r="G972" i="28"/>
  <c r="I972" i="28"/>
  <c r="A662" i="28"/>
  <c r="J662" i="28" s="1"/>
  <c r="D661" i="28"/>
  <c r="F661" i="28" s="1"/>
  <c r="H661" i="28" s="1"/>
  <c r="I452" i="28"/>
  <c r="G452" i="28"/>
  <c r="G140" i="28"/>
  <c r="I140" i="28"/>
  <c r="A142" i="28"/>
  <c r="J142" i="28" s="1"/>
  <c r="D141" i="28"/>
  <c r="F141" i="28" s="1"/>
  <c r="H141" i="28" s="1"/>
  <c r="G245" i="28" l="1"/>
  <c r="I245" i="28"/>
  <c r="J246" i="28"/>
  <c r="A247" i="28"/>
  <c r="D246" i="28"/>
  <c r="F246" i="28" s="1"/>
  <c r="H246" i="28" s="1"/>
  <c r="I453" i="28"/>
  <c r="G453" i="28"/>
  <c r="A768" i="28"/>
  <c r="J768" i="28" s="1"/>
  <c r="D767" i="28"/>
  <c r="F767" i="28" s="1"/>
  <c r="H767" i="28" s="1"/>
  <c r="A455" i="28"/>
  <c r="J455" i="28" s="1"/>
  <c r="D454" i="28"/>
  <c r="F454" i="28" s="1"/>
  <c r="H454" i="28" s="1"/>
  <c r="I973" i="28"/>
  <c r="G973" i="28"/>
  <c r="G766" i="28"/>
  <c r="I766" i="28"/>
  <c r="A975" i="28"/>
  <c r="J975" i="28" s="1"/>
  <c r="D974" i="28"/>
  <c r="F974" i="28" s="1"/>
  <c r="H974" i="28" s="1"/>
  <c r="I869" i="28"/>
  <c r="G869" i="28"/>
  <c r="A871" i="28"/>
  <c r="J871" i="28" s="1"/>
  <c r="D870" i="28"/>
  <c r="F870" i="28" s="1"/>
  <c r="H870" i="28" s="1"/>
  <c r="G661" i="28"/>
  <c r="I661" i="28"/>
  <c r="I349" i="28"/>
  <c r="G349" i="28"/>
  <c r="G557" i="28"/>
  <c r="I557" i="28"/>
  <c r="A663" i="28"/>
  <c r="J663" i="28" s="1"/>
  <c r="D662" i="28"/>
  <c r="F662" i="28" s="1"/>
  <c r="H662" i="28" s="1"/>
  <c r="A559" i="28"/>
  <c r="J559" i="28" s="1"/>
  <c r="D558" i="28"/>
  <c r="F558" i="28" s="1"/>
  <c r="H558" i="28" s="1"/>
  <c r="A351" i="28"/>
  <c r="J351" i="28" s="1"/>
  <c r="D350" i="28"/>
  <c r="F350" i="28" s="1"/>
  <c r="H350" i="28" s="1"/>
  <c r="G141" i="28"/>
  <c r="I141" i="28"/>
  <c r="A143" i="28"/>
  <c r="J143" i="28" s="1"/>
  <c r="D142" i="28"/>
  <c r="F142" i="28" s="1"/>
  <c r="H142" i="28" s="1"/>
  <c r="G246" i="28" l="1"/>
  <c r="I246" i="28"/>
  <c r="J247" i="28"/>
  <c r="A248" i="28"/>
  <c r="D247" i="28"/>
  <c r="F247" i="28" s="1"/>
  <c r="H247" i="28" s="1"/>
  <c r="G454" i="28"/>
  <c r="I454" i="28"/>
  <c r="A352" i="28"/>
  <c r="J352" i="28" s="1"/>
  <c r="D351" i="28"/>
  <c r="F351" i="28" s="1"/>
  <c r="H351" i="28" s="1"/>
  <c r="A456" i="28"/>
  <c r="J456" i="28" s="1"/>
  <c r="D455" i="28"/>
  <c r="F455" i="28" s="1"/>
  <c r="H455" i="28" s="1"/>
  <c r="G558" i="28"/>
  <c r="I558" i="28"/>
  <c r="G767" i="28"/>
  <c r="I767" i="28"/>
  <c r="I974" i="28"/>
  <c r="G974" i="28"/>
  <c r="A976" i="28"/>
  <c r="J976" i="28" s="1"/>
  <c r="D975" i="28"/>
  <c r="F975" i="28" s="1"/>
  <c r="H975" i="28" s="1"/>
  <c r="A769" i="28"/>
  <c r="J769" i="28" s="1"/>
  <c r="D768" i="28"/>
  <c r="F768" i="28" s="1"/>
  <c r="H768" i="28" s="1"/>
  <c r="I870" i="28"/>
  <c r="G870" i="28"/>
  <c r="A560" i="28"/>
  <c r="J560" i="28" s="1"/>
  <c r="D559" i="28"/>
  <c r="F559" i="28" s="1"/>
  <c r="H559" i="28" s="1"/>
  <c r="A664" i="28"/>
  <c r="J664" i="28" s="1"/>
  <c r="D663" i="28"/>
  <c r="F663" i="28" s="1"/>
  <c r="H663" i="28" s="1"/>
  <c r="A872" i="28"/>
  <c r="J872" i="28" s="1"/>
  <c r="D871" i="28"/>
  <c r="F871" i="28" s="1"/>
  <c r="H871" i="28" s="1"/>
  <c r="I350" i="28"/>
  <c r="G350" i="28"/>
  <c r="G662" i="28"/>
  <c r="I662" i="28"/>
  <c r="A144" i="28"/>
  <c r="J144" i="28" s="1"/>
  <c r="D143" i="28"/>
  <c r="F143" i="28" s="1"/>
  <c r="H143" i="28" s="1"/>
  <c r="I142" i="28"/>
  <c r="G142" i="28"/>
  <c r="G247" i="28" l="1"/>
  <c r="I247" i="28"/>
  <c r="J248" i="28"/>
  <c r="A249" i="28"/>
  <c r="D248" i="28"/>
  <c r="F248" i="28" s="1"/>
  <c r="H248" i="28" s="1"/>
  <c r="I663" i="28"/>
  <c r="G663" i="28"/>
  <c r="A665" i="28"/>
  <c r="J665" i="28" s="1"/>
  <c r="D664" i="28"/>
  <c r="F664" i="28" s="1"/>
  <c r="H664" i="28" s="1"/>
  <c r="A770" i="28"/>
  <c r="J770" i="28" s="1"/>
  <c r="D769" i="28"/>
  <c r="F769" i="28" s="1"/>
  <c r="H769" i="28" s="1"/>
  <c r="G559" i="28"/>
  <c r="I559" i="28"/>
  <c r="G455" i="28"/>
  <c r="I455" i="28"/>
  <c r="G975" i="28"/>
  <c r="I975" i="28"/>
  <c r="A561" i="28"/>
  <c r="J561" i="28" s="1"/>
  <c r="D560" i="28"/>
  <c r="F560" i="28" s="1"/>
  <c r="H560" i="28" s="1"/>
  <c r="A977" i="28"/>
  <c r="J977" i="28" s="1"/>
  <c r="D976" i="28"/>
  <c r="F976" i="28" s="1"/>
  <c r="H976" i="28" s="1"/>
  <c r="A457" i="28"/>
  <c r="J457" i="28" s="1"/>
  <c r="D456" i="28"/>
  <c r="F456" i="28" s="1"/>
  <c r="H456" i="28" s="1"/>
  <c r="G768" i="28"/>
  <c r="I768" i="28"/>
  <c r="I351" i="28"/>
  <c r="G351" i="28"/>
  <c r="A353" i="28"/>
  <c r="J353" i="28" s="1"/>
  <c r="D352" i="28"/>
  <c r="F352" i="28" s="1"/>
  <c r="H352" i="28" s="1"/>
  <c r="G871" i="28"/>
  <c r="I871" i="28"/>
  <c r="A873" i="28"/>
  <c r="J873" i="28" s="1"/>
  <c r="D872" i="28"/>
  <c r="F872" i="28" s="1"/>
  <c r="H872" i="28" s="1"/>
  <c r="G143" i="28"/>
  <c r="I143" i="28"/>
  <c r="A145" i="28"/>
  <c r="J145" i="28" s="1"/>
  <c r="D144" i="28"/>
  <c r="F144" i="28" s="1"/>
  <c r="H144" i="28" s="1"/>
  <c r="I248" i="28" l="1"/>
  <c r="G248" i="28"/>
  <c r="J249" i="28"/>
  <c r="A250" i="28"/>
  <c r="D249" i="28"/>
  <c r="F249" i="28" s="1"/>
  <c r="H249" i="28" s="1"/>
  <c r="G872" i="28"/>
  <c r="I872" i="28"/>
  <c r="A874" i="28"/>
  <c r="J874" i="28" s="1"/>
  <c r="D873" i="28"/>
  <c r="F873" i="28" s="1"/>
  <c r="H873" i="28" s="1"/>
  <c r="A978" i="28"/>
  <c r="J978" i="28" s="1"/>
  <c r="D977" i="28"/>
  <c r="F977" i="28" s="1"/>
  <c r="H977" i="28" s="1"/>
  <c r="G560" i="28"/>
  <c r="I560" i="28"/>
  <c r="I769" i="28"/>
  <c r="G769" i="28"/>
  <c r="A562" i="28"/>
  <c r="J562" i="28" s="1"/>
  <c r="D561" i="28"/>
  <c r="F561" i="28" s="1"/>
  <c r="H561" i="28" s="1"/>
  <c r="A771" i="28"/>
  <c r="J771" i="28" s="1"/>
  <c r="D770" i="28"/>
  <c r="F770" i="28" s="1"/>
  <c r="H770" i="28" s="1"/>
  <c r="G976" i="28"/>
  <c r="I976" i="28"/>
  <c r="I664" i="28"/>
  <c r="G664" i="28"/>
  <c r="I352" i="28"/>
  <c r="G352" i="28"/>
  <c r="A354" i="28"/>
  <c r="J354" i="28" s="1"/>
  <c r="D353" i="28"/>
  <c r="F353" i="28" s="1"/>
  <c r="H353" i="28" s="1"/>
  <c r="A666" i="28"/>
  <c r="J666" i="28" s="1"/>
  <c r="D665" i="28"/>
  <c r="F665" i="28" s="1"/>
  <c r="H665" i="28" s="1"/>
  <c r="I456" i="28"/>
  <c r="G456" i="28"/>
  <c r="A458" i="28"/>
  <c r="J458" i="28" s="1"/>
  <c r="D457" i="28"/>
  <c r="F457" i="28" s="1"/>
  <c r="H457" i="28" s="1"/>
  <c r="A146" i="28"/>
  <c r="J146" i="28" s="1"/>
  <c r="D145" i="28"/>
  <c r="F145" i="28" s="1"/>
  <c r="H145" i="28" s="1"/>
  <c r="G144" i="28"/>
  <c r="I144" i="28"/>
  <c r="G249" i="28" l="1"/>
  <c r="I249" i="28"/>
  <c r="J250" i="28"/>
  <c r="D250" i="28"/>
  <c r="F250" i="28" s="1"/>
  <c r="H250" i="28" s="1"/>
  <c r="A251" i="28"/>
  <c r="G665" i="28"/>
  <c r="I665" i="28"/>
  <c r="A459" i="28"/>
  <c r="J459" i="28" s="1"/>
  <c r="D458" i="28"/>
  <c r="F458" i="28" s="1"/>
  <c r="H458" i="28" s="1"/>
  <c r="A667" i="28"/>
  <c r="J667" i="28" s="1"/>
  <c r="D666" i="28"/>
  <c r="F666" i="28" s="1"/>
  <c r="H666" i="28" s="1"/>
  <c r="G457" i="28"/>
  <c r="I457" i="28"/>
  <c r="G353" i="28"/>
  <c r="I353" i="28"/>
  <c r="I977" i="28"/>
  <c r="G977" i="28"/>
  <c r="G770" i="28"/>
  <c r="I770" i="28"/>
  <c r="A355" i="28"/>
  <c r="J355" i="28" s="1"/>
  <c r="D354" i="28"/>
  <c r="F354" i="28" s="1"/>
  <c r="H354" i="28" s="1"/>
  <c r="A772" i="28"/>
  <c r="J772" i="28" s="1"/>
  <c r="D771" i="28"/>
  <c r="F771" i="28" s="1"/>
  <c r="H771" i="28" s="1"/>
  <c r="A979" i="28"/>
  <c r="J979" i="28" s="1"/>
  <c r="D978" i="28"/>
  <c r="F978" i="28" s="1"/>
  <c r="H978" i="28" s="1"/>
  <c r="G873" i="28"/>
  <c r="I873" i="28"/>
  <c r="G561" i="28"/>
  <c r="I561" i="28"/>
  <c r="A563" i="28"/>
  <c r="J563" i="28" s="1"/>
  <c r="D562" i="28"/>
  <c r="F562" i="28" s="1"/>
  <c r="H562" i="28" s="1"/>
  <c r="A875" i="28"/>
  <c r="J875" i="28" s="1"/>
  <c r="D874" i="28"/>
  <c r="F874" i="28" s="1"/>
  <c r="H874" i="28" s="1"/>
  <c r="I145" i="28"/>
  <c r="G145" i="28"/>
  <c r="A147" i="28"/>
  <c r="J147" i="28" s="1"/>
  <c r="D146" i="28"/>
  <c r="F146" i="28" s="1"/>
  <c r="H146" i="28" s="1"/>
  <c r="J251" i="28" l="1"/>
  <c r="A252" i="28"/>
  <c r="D251" i="28"/>
  <c r="F251" i="28" s="1"/>
  <c r="H251" i="28" s="1"/>
  <c r="G250" i="28"/>
  <c r="I250" i="28"/>
  <c r="G978" i="28"/>
  <c r="I978" i="28"/>
  <c r="G562" i="28"/>
  <c r="I562" i="28"/>
  <c r="G771" i="28"/>
  <c r="I771" i="28"/>
  <c r="G666" i="28"/>
  <c r="I666" i="28"/>
  <c r="A668" i="28"/>
  <c r="J668" i="28" s="1"/>
  <c r="D667" i="28"/>
  <c r="F667" i="28" s="1"/>
  <c r="H667" i="28" s="1"/>
  <c r="I458" i="28"/>
  <c r="G458" i="28"/>
  <c r="A980" i="28"/>
  <c r="J980" i="28" s="1"/>
  <c r="D979" i="28"/>
  <c r="F979" i="28" s="1"/>
  <c r="H979" i="28" s="1"/>
  <c r="A773" i="28"/>
  <c r="J773" i="28" s="1"/>
  <c r="D772" i="28"/>
  <c r="F772" i="28" s="1"/>
  <c r="H772" i="28" s="1"/>
  <c r="A356" i="28"/>
  <c r="J356" i="28" s="1"/>
  <c r="D355" i="28"/>
  <c r="F355" i="28" s="1"/>
  <c r="H355" i="28" s="1"/>
  <c r="A460" i="28"/>
  <c r="J460" i="28" s="1"/>
  <c r="D459" i="28"/>
  <c r="F459" i="28" s="1"/>
  <c r="H459" i="28" s="1"/>
  <c r="A564" i="28"/>
  <c r="J564" i="28" s="1"/>
  <c r="D563" i="28"/>
  <c r="F563" i="28" s="1"/>
  <c r="H563" i="28" s="1"/>
  <c r="G874" i="28"/>
  <c r="I874" i="28"/>
  <c r="A876" i="28"/>
  <c r="J876" i="28" s="1"/>
  <c r="D875" i="28"/>
  <c r="F875" i="28" s="1"/>
  <c r="H875" i="28" s="1"/>
  <c r="G354" i="28"/>
  <c r="I354" i="28"/>
  <c r="G146" i="28"/>
  <c r="I146" i="28"/>
  <c r="A148" i="28"/>
  <c r="J148" i="28" s="1"/>
  <c r="D147" i="28"/>
  <c r="F147" i="28" s="1"/>
  <c r="H147" i="28" s="1"/>
  <c r="G251" i="28" l="1"/>
  <c r="I251" i="28"/>
  <c r="J252" i="28"/>
  <c r="A253" i="28"/>
  <c r="D252" i="28"/>
  <c r="F252" i="28" s="1"/>
  <c r="H252" i="28" s="1"/>
  <c r="I772" i="28"/>
  <c r="G772" i="28"/>
  <c r="A774" i="28"/>
  <c r="J774" i="28" s="1"/>
  <c r="D773" i="28"/>
  <c r="F773" i="28" s="1"/>
  <c r="H773" i="28" s="1"/>
  <c r="I563" i="28"/>
  <c r="G563" i="28"/>
  <c r="G979" i="28"/>
  <c r="I979" i="28"/>
  <c r="A565" i="28"/>
  <c r="J565" i="28" s="1"/>
  <c r="D564" i="28"/>
  <c r="F564" i="28" s="1"/>
  <c r="H564" i="28" s="1"/>
  <c r="A981" i="28"/>
  <c r="J981" i="28" s="1"/>
  <c r="D980" i="28"/>
  <c r="F980" i="28" s="1"/>
  <c r="H980" i="28" s="1"/>
  <c r="I459" i="28"/>
  <c r="G459" i="28"/>
  <c r="A877" i="28"/>
  <c r="J877" i="28" s="1"/>
  <c r="D876" i="28"/>
  <c r="F876" i="28" s="1"/>
  <c r="H876" i="28" s="1"/>
  <c r="A461" i="28"/>
  <c r="J461" i="28" s="1"/>
  <c r="D460" i="28"/>
  <c r="F460" i="28" s="1"/>
  <c r="H460" i="28" s="1"/>
  <c r="G875" i="28"/>
  <c r="I875" i="28"/>
  <c r="G667" i="28"/>
  <c r="I667" i="28"/>
  <c r="I355" i="28"/>
  <c r="G355" i="28"/>
  <c r="A357" i="28"/>
  <c r="J357" i="28" s="1"/>
  <c r="D356" i="28"/>
  <c r="F356" i="28" s="1"/>
  <c r="H356" i="28" s="1"/>
  <c r="A669" i="28"/>
  <c r="J669" i="28" s="1"/>
  <c r="D668" i="28"/>
  <c r="F668" i="28" s="1"/>
  <c r="H668" i="28" s="1"/>
  <c r="G147" i="28"/>
  <c r="I147" i="28"/>
  <c r="A149" i="28"/>
  <c r="J149" i="28" s="1"/>
  <c r="D148" i="28"/>
  <c r="F148" i="28" s="1"/>
  <c r="H148" i="28" s="1"/>
  <c r="G252" i="28" l="1"/>
  <c r="I252" i="28"/>
  <c r="J253" i="28"/>
  <c r="A254" i="28"/>
  <c r="D253" i="28"/>
  <c r="F253" i="28" s="1"/>
  <c r="H253" i="28" s="1"/>
  <c r="A670" i="28"/>
  <c r="J670" i="28" s="1"/>
  <c r="D669" i="28"/>
  <c r="F669" i="28" s="1"/>
  <c r="H669" i="28" s="1"/>
  <c r="G668" i="28"/>
  <c r="I668" i="28"/>
  <c r="G460" i="28"/>
  <c r="I460" i="28"/>
  <c r="I356" i="28"/>
  <c r="G356" i="28"/>
  <c r="A358" i="28"/>
  <c r="J358" i="28" s="1"/>
  <c r="D357" i="28"/>
  <c r="F357" i="28" s="1"/>
  <c r="H357" i="28" s="1"/>
  <c r="A462" i="28"/>
  <c r="J462" i="28" s="1"/>
  <c r="D461" i="28"/>
  <c r="F461" i="28" s="1"/>
  <c r="H461" i="28" s="1"/>
  <c r="I876" i="28"/>
  <c r="G876" i="28"/>
  <c r="I773" i="28"/>
  <c r="G773" i="28"/>
  <c r="G980" i="28"/>
  <c r="I980" i="28"/>
  <c r="A878" i="28"/>
  <c r="J878" i="28" s="1"/>
  <c r="D877" i="28"/>
  <c r="F877" i="28" s="1"/>
  <c r="H877" i="28" s="1"/>
  <c r="A982" i="28"/>
  <c r="J982" i="28" s="1"/>
  <c r="D981" i="28"/>
  <c r="F981" i="28" s="1"/>
  <c r="H981" i="28" s="1"/>
  <c r="A775" i="28"/>
  <c r="J775" i="28" s="1"/>
  <c r="D774" i="28"/>
  <c r="F774" i="28" s="1"/>
  <c r="H774" i="28" s="1"/>
  <c r="G564" i="28"/>
  <c r="I564" i="28"/>
  <c r="A566" i="28"/>
  <c r="J566" i="28" s="1"/>
  <c r="D565" i="28"/>
  <c r="F565" i="28" s="1"/>
  <c r="H565" i="28" s="1"/>
  <c r="A150" i="28"/>
  <c r="J150" i="28" s="1"/>
  <c r="D149" i="28"/>
  <c r="F149" i="28" s="1"/>
  <c r="H149" i="28" s="1"/>
  <c r="G148" i="28"/>
  <c r="I148" i="28"/>
  <c r="J254" i="28" l="1"/>
  <c r="A255" i="28"/>
  <c r="D254" i="28"/>
  <c r="F254" i="28" s="1"/>
  <c r="H254" i="28" s="1"/>
  <c r="G253" i="28"/>
  <c r="I253" i="28"/>
  <c r="A567" i="28"/>
  <c r="J567" i="28" s="1"/>
  <c r="D566" i="28"/>
  <c r="F566" i="28" s="1"/>
  <c r="H566" i="28" s="1"/>
  <c r="A983" i="28"/>
  <c r="J983" i="28" s="1"/>
  <c r="D982" i="28"/>
  <c r="F982" i="28" s="1"/>
  <c r="H982" i="28" s="1"/>
  <c r="I461" i="28"/>
  <c r="G461" i="28"/>
  <c r="G877" i="28"/>
  <c r="I877" i="28"/>
  <c r="A879" i="28"/>
  <c r="J879" i="28" s="1"/>
  <c r="D878" i="28"/>
  <c r="F878" i="28" s="1"/>
  <c r="H878" i="28" s="1"/>
  <c r="A463" i="28"/>
  <c r="J463" i="28" s="1"/>
  <c r="D462" i="28"/>
  <c r="F462" i="28" s="1"/>
  <c r="H462" i="28" s="1"/>
  <c r="G357" i="28"/>
  <c r="I357" i="28"/>
  <c r="A359" i="28"/>
  <c r="J359" i="28" s="1"/>
  <c r="D358" i="28"/>
  <c r="F358" i="28" s="1"/>
  <c r="H358" i="28" s="1"/>
  <c r="G565" i="28"/>
  <c r="I565" i="28"/>
  <c r="G774" i="28"/>
  <c r="I774" i="28"/>
  <c r="G669" i="28"/>
  <c r="I669" i="28"/>
  <c r="I981" i="28"/>
  <c r="G981" i="28"/>
  <c r="A776" i="28"/>
  <c r="J776" i="28" s="1"/>
  <c r="D775" i="28"/>
  <c r="F775" i="28" s="1"/>
  <c r="H775" i="28" s="1"/>
  <c r="A671" i="28"/>
  <c r="J671" i="28" s="1"/>
  <c r="D670" i="28"/>
  <c r="F670" i="28" s="1"/>
  <c r="H670" i="28" s="1"/>
  <c r="G149" i="28"/>
  <c r="I149" i="28"/>
  <c r="A151" i="28"/>
  <c r="J151" i="28" s="1"/>
  <c r="D150" i="28"/>
  <c r="F150" i="28" s="1"/>
  <c r="H150" i="28" s="1"/>
  <c r="I254" i="28" l="1"/>
  <c r="G254" i="28"/>
  <c r="J255" i="28"/>
  <c r="D255" i="28"/>
  <c r="F255" i="28" s="1"/>
  <c r="H255" i="28" s="1"/>
  <c r="A256" i="28"/>
  <c r="G670" i="28"/>
  <c r="I670" i="28"/>
  <c r="G775" i="28"/>
  <c r="I775" i="28"/>
  <c r="A777" i="28"/>
  <c r="J777" i="28" s="1"/>
  <c r="D776" i="28"/>
  <c r="F776" i="28" s="1"/>
  <c r="H776" i="28" s="1"/>
  <c r="G462" i="28"/>
  <c r="I462" i="28"/>
  <c r="G982" i="28"/>
  <c r="I982" i="28"/>
  <c r="A672" i="28"/>
  <c r="J672" i="28" s="1"/>
  <c r="D671" i="28"/>
  <c r="F671" i="28" s="1"/>
  <c r="H671" i="28" s="1"/>
  <c r="A464" i="28"/>
  <c r="J464" i="28" s="1"/>
  <c r="D463" i="28"/>
  <c r="F463" i="28" s="1"/>
  <c r="H463" i="28" s="1"/>
  <c r="A984" i="28"/>
  <c r="J984" i="28" s="1"/>
  <c r="D983" i="28"/>
  <c r="F983" i="28" s="1"/>
  <c r="H983" i="28" s="1"/>
  <c r="G878" i="28"/>
  <c r="I878" i="28"/>
  <c r="G566" i="28"/>
  <c r="I566" i="28"/>
  <c r="I358" i="28"/>
  <c r="G358" i="28"/>
  <c r="A360" i="28"/>
  <c r="J360" i="28" s="1"/>
  <c r="D359" i="28"/>
  <c r="F359" i="28" s="1"/>
  <c r="H359" i="28" s="1"/>
  <c r="A880" i="28"/>
  <c r="J880" i="28" s="1"/>
  <c r="D879" i="28"/>
  <c r="F879" i="28" s="1"/>
  <c r="H879" i="28" s="1"/>
  <c r="A568" i="28"/>
  <c r="J568" i="28" s="1"/>
  <c r="D567" i="28"/>
  <c r="F567" i="28" s="1"/>
  <c r="H567" i="28" s="1"/>
  <c r="A152" i="28"/>
  <c r="J152" i="28" s="1"/>
  <c r="D151" i="28"/>
  <c r="F151" i="28" s="1"/>
  <c r="H151" i="28" s="1"/>
  <c r="I150" i="28"/>
  <c r="G150" i="28"/>
  <c r="J256" i="28" l="1"/>
  <c r="A257" i="28"/>
  <c r="D256" i="28"/>
  <c r="F256" i="28" s="1"/>
  <c r="H256" i="28" s="1"/>
  <c r="G255" i="28"/>
  <c r="I255" i="28"/>
  <c r="I776" i="28"/>
  <c r="G776" i="28"/>
  <c r="G879" i="28"/>
  <c r="I879" i="28"/>
  <c r="A881" i="28"/>
  <c r="J881" i="28" s="1"/>
  <c r="D880" i="28"/>
  <c r="F880" i="28" s="1"/>
  <c r="H880" i="28" s="1"/>
  <c r="A778" i="28"/>
  <c r="J778" i="28" s="1"/>
  <c r="D777" i="28"/>
  <c r="F777" i="28" s="1"/>
  <c r="H777" i="28" s="1"/>
  <c r="I567" i="28"/>
  <c r="G567" i="28"/>
  <c r="I671" i="28"/>
  <c r="G671" i="28"/>
  <c r="G359" i="28"/>
  <c r="I359" i="28"/>
  <c r="A361" i="28"/>
  <c r="J361" i="28" s="1"/>
  <c r="D360" i="28"/>
  <c r="F360" i="28" s="1"/>
  <c r="H360" i="28" s="1"/>
  <c r="A985" i="28"/>
  <c r="J985" i="28" s="1"/>
  <c r="D984" i="28"/>
  <c r="F984" i="28" s="1"/>
  <c r="H984" i="28" s="1"/>
  <c r="A673" i="28"/>
  <c r="J673" i="28" s="1"/>
  <c r="D672" i="28"/>
  <c r="F672" i="28" s="1"/>
  <c r="H672" i="28" s="1"/>
  <c r="A569" i="28"/>
  <c r="J569" i="28" s="1"/>
  <c r="D568" i="28"/>
  <c r="F568" i="28" s="1"/>
  <c r="H568" i="28" s="1"/>
  <c r="G983" i="28"/>
  <c r="I983" i="28"/>
  <c r="G463" i="28"/>
  <c r="I463" i="28"/>
  <c r="A465" i="28"/>
  <c r="J465" i="28" s="1"/>
  <c r="D464" i="28"/>
  <c r="F464" i="28" s="1"/>
  <c r="H464" i="28" s="1"/>
  <c r="G151" i="28"/>
  <c r="I151" i="28"/>
  <c r="A153" i="28"/>
  <c r="J153" i="28" s="1"/>
  <c r="D152" i="28"/>
  <c r="F152" i="28" s="1"/>
  <c r="H152" i="28" s="1"/>
  <c r="G256" i="28" l="1"/>
  <c r="I256" i="28"/>
  <c r="J257" i="28"/>
  <c r="A258" i="28"/>
  <c r="D257" i="28"/>
  <c r="F257" i="28" s="1"/>
  <c r="H257" i="28" s="1"/>
  <c r="I672" i="28"/>
  <c r="G672" i="28"/>
  <c r="A674" i="28"/>
  <c r="J674" i="28" s="1"/>
  <c r="D673" i="28"/>
  <c r="F673" i="28" s="1"/>
  <c r="H673" i="28" s="1"/>
  <c r="G984" i="28"/>
  <c r="I984" i="28"/>
  <c r="G464" i="28"/>
  <c r="I464" i="28"/>
  <c r="A466" i="28"/>
  <c r="J466" i="28" s="1"/>
  <c r="D465" i="28"/>
  <c r="F465" i="28" s="1"/>
  <c r="H465" i="28" s="1"/>
  <c r="A986" i="28"/>
  <c r="J986" i="28" s="1"/>
  <c r="D985" i="28"/>
  <c r="F985" i="28" s="1"/>
  <c r="H985" i="28" s="1"/>
  <c r="G360" i="28"/>
  <c r="I360" i="28"/>
  <c r="G777" i="28"/>
  <c r="I777" i="28"/>
  <c r="A362" i="28"/>
  <c r="J362" i="28" s="1"/>
  <c r="D361" i="28"/>
  <c r="F361" i="28" s="1"/>
  <c r="H361" i="28" s="1"/>
  <c r="A779" i="28"/>
  <c r="J779" i="28" s="1"/>
  <c r="D778" i="28"/>
  <c r="F778" i="28" s="1"/>
  <c r="H778" i="28" s="1"/>
  <c r="I880" i="28"/>
  <c r="G880" i="28"/>
  <c r="I568" i="28"/>
  <c r="G568" i="28"/>
  <c r="A570" i="28"/>
  <c r="J570" i="28" s="1"/>
  <c r="D569" i="28"/>
  <c r="F569" i="28" s="1"/>
  <c r="H569" i="28" s="1"/>
  <c r="A882" i="28"/>
  <c r="J882" i="28" s="1"/>
  <c r="D881" i="28"/>
  <c r="F881" i="28" s="1"/>
  <c r="H881" i="28" s="1"/>
  <c r="A154" i="28"/>
  <c r="J154" i="28" s="1"/>
  <c r="D153" i="28"/>
  <c r="F153" i="28" s="1"/>
  <c r="H153" i="28" s="1"/>
  <c r="G152" i="28"/>
  <c r="I152" i="28"/>
  <c r="G257" i="28" l="1"/>
  <c r="I257" i="28"/>
  <c r="J258" i="28"/>
  <c r="A259" i="28"/>
  <c r="D258" i="28"/>
  <c r="F258" i="28" s="1"/>
  <c r="H258" i="28" s="1"/>
  <c r="A883" i="28"/>
  <c r="J883" i="28" s="1"/>
  <c r="D882" i="28"/>
  <c r="F882" i="28" s="1"/>
  <c r="H882" i="28" s="1"/>
  <c r="G778" i="28"/>
  <c r="I778" i="28"/>
  <c r="G569" i="28"/>
  <c r="I569" i="28"/>
  <c r="A571" i="28"/>
  <c r="J571" i="28" s="1"/>
  <c r="D570" i="28"/>
  <c r="F570" i="28" s="1"/>
  <c r="H570" i="28" s="1"/>
  <c r="A780" i="28"/>
  <c r="J780" i="28" s="1"/>
  <c r="D779" i="28"/>
  <c r="F779" i="28" s="1"/>
  <c r="H779" i="28" s="1"/>
  <c r="I985" i="28"/>
  <c r="G985" i="28"/>
  <c r="G673" i="28"/>
  <c r="I673" i="28"/>
  <c r="A363" i="28"/>
  <c r="J363" i="28" s="1"/>
  <c r="D362" i="28"/>
  <c r="F362" i="28" s="1"/>
  <c r="H362" i="28" s="1"/>
  <c r="A987" i="28"/>
  <c r="J987" i="28" s="1"/>
  <c r="D986" i="28"/>
  <c r="F986" i="28" s="1"/>
  <c r="H986" i="28" s="1"/>
  <c r="A675" i="28"/>
  <c r="J675" i="28" s="1"/>
  <c r="D674" i="28"/>
  <c r="F674" i="28" s="1"/>
  <c r="H674" i="28" s="1"/>
  <c r="I881" i="28"/>
  <c r="G881" i="28"/>
  <c r="G465" i="28"/>
  <c r="I465" i="28"/>
  <c r="G361" i="28"/>
  <c r="I361" i="28"/>
  <c r="A467" i="28"/>
  <c r="J467" i="28" s="1"/>
  <c r="D466" i="28"/>
  <c r="F466" i="28" s="1"/>
  <c r="H466" i="28" s="1"/>
  <c r="G153" i="28"/>
  <c r="I153" i="28"/>
  <c r="A155" i="28"/>
  <c r="J155" i="28" s="1"/>
  <c r="D154" i="28"/>
  <c r="F154" i="28" s="1"/>
  <c r="H154" i="28" s="1"/>
  <c r="G258" i="28" l="1"/>
  <c r="I258" i="28"/>
  <c r="J259" i="28"/>
  <c r="A260" i="28"/>
  <c r="D259" i="28"/>
  <c r="F259" i="28" s="1"/>
  <c r="H259" i="28" s="1"/>
  <c r="G674" i="28"/>
  <c r="I674" i="28"/>
  <c r="A676" i="28"/>
  <c r="J676" i="28" s="1"/>
  <c r="D675" i="28"/>
  <c r="F675" i="28" s="1"/>
  <c r="H675" i="28" s="1"/>
  <c r="G986" i="28"/>
  <c r="I986" i="28"/>
  <c r="A988" i="28"/>
  <c r="J988" i="28" s="1"/>
  <c r="D987" i="28"/>
  <c r="F987" i="28" s="1"/>
  <c r="H987" i="28" s="1"/>
  <c r="A781" i="28"/>
  <c r="J781" i="28" s="1"/>
  <c r="D780" i="28"/>
  <c r="F780" i="28" s="1"/>
  <c r="H780" i="28" s="1"/>
  <c r="G882" i="28"/>
  <c r="I882" i="28"/>
  <c r="A468" i="28"/>
  <c r="J468" i="28" s="1"/>
  <c r="D467" i="28"/>
  <c r="F467" i="28" s="1"/>
  <c r="H467" i="28" s="1"/>
  <c r="G570" i="28"/>
  <c r="I570" i="28"/>
  <c r="A364" i="28"/>
  <c r="J364" i="28" s="1"/>
  <c r="D363" i="28"/>
  <c r="F363" i="28" s="1"/>
  <c r="H363" i="28" s="1"/>
  <c r="A572" i="28"/>
  <c r="J572" i="28" s="1"/>
  <c r="D571" i="28"/>
  <c r="F571" i="28" s="1"/>
  <c r="H571" i="28" s="1"/>
  <c r="A884" i="28"/>
  <c r="J884" i="28" s="1"/>
  <c r="D883" i="28"/>
  <c r="F883" i="28" s="1"/>
  <c r="H883" i="28" s="1"/>
  <c r="G466" i="28"/>
  <c r="I466" i="28"/>
  <c r="G362" i="28"/>
  <c r="I362" i="28"/>
  <c r="G779" i="28"/>
  <c r="I779" i="28"/>
  <c r="A156" i="28"/>
  <c r="J156" i="28" s="1"/>
  <c r="D155" i="28"/>
  <c r="F155" i="28" s="1"/>
  <c r="H155" i="28" s="1"/>
  <c r="G154" i="28"/>
  <c r="I154" i="28"/>
  <c r="J260" i="28" l="1"/>
  <c r="A261" i="28"/>
  <c r="D260" i="28"/>
  <c r="F260" i="28" s="1"/>
  <c r="H260" i="28" s="1"/>
  <c r="G259" i="28"/>
  <c r="I259" i="28"/>
  <c r="I571" i="28"/>
  <c r="G571" i="28"/>
  <c r="A573" i="28"/>
  <c r="J573" i="28" s="1"/>
  <c r="D572" i="28"/>
  <c r="F572" i="28" s="1"/>
  <c r="H572" i="28" s="1"/>
  <c r="G363" i="28"/>
  <c r="I363" i="28"/>
  <c r="A365" i="28"/>
  <c r="J365" i="28" s="1"/>
  <c r="D364" i="28"/>
  <c r="F364" i="28" s="1"/>
  <c r="H364" i="28" s="1"/>
  <c r="G675" i="28"/>
  <c r="I675" i="28"/>
  <c r="I780" i="28"/>
  <c r="G780" i="28"/>
  <c r="A782" i="28"/>
  <c r="J782" i="28" s="1"/>
  <c r="D781" i="28"/>
  <c r="F781" i="28" s="1"/>
  <c r="H781" i="28" s="1"/>
  <c r="A677" i="28"/>
  <c r="J677" i="28" s="1"/>
  <c r="D676" i="28"/>
  <c r="F676" i="28" s="1"/>
  <c r="H676" i="28" s="1"/>
  <c r="G883" i="28"/>
  <c r="I883" i="28"/>
  <c r="I987" i="28"/>
  <c r="G987" i="28"/>
  <c r="I467" i="28"/>
  <c r="G467" i="28"/>
  <c r="A885" i="28"/>
  <c r="J885" i="28" s="1"/>
  <c r="D884" i="28"/>
  <c r="F884" i="28" s="1"/>
  <c r="H884" i="28" s="1"/>
  <c r="A469" i="28"/>
  <c r="J469" i="28" s="1"/>
  <c r="D468" i="28"/>
  <c r="F468" i="28" s="1"/>
  <c r="H468" i="28" s="1"/>
  <c r="A989" i="28"/>
  <c r="J989" i="28" s="1"/>
  <c r="D988" i="28"/>
  <c r="F988" i="28" s="1"/>
  <c r="H988" i="28" s="1"/>
  <c r="G155" i="28"/>
  <c r="I155" i="28"/>
  <c r="A157" i="28"/>
  <c r="J157" i="28" s="1"/>
  <c r="D156" i="28"/>
  <c r="F156" i="28" s="1"/>
  <c r="H156" i="28" s="1"/>
  <c r="G260" i="28" l="1"/>
  <c r="I260" i="28"/>
  <c r="J261" i="28"/>
  <c r="A262" i="28"/>
  <c r="D261" i="28"/>
  <c r="F261" i="28" s="1"/>
  <c r="H261" i="28" s="1"/>
  <c r="G988" i="28"/>
  <c r="I988" i="28"/>
  <c r="A990" i="28"/>
  <c r="J990" i="28" s="1"/>
  <c r="D989" i="28"/>
  <c r="F989" i="28" s="1"/>
  <c r="H989" i="28" s="1"/>
  <c r="G468" i="28"/>
  <c r="I468" i="28"/>
  <c r="A470" i="28"/>
  <c r="J470" i="28" s="1"/>
  <c r="D469" i="28"/>
  <c r="F469" i="28" s="1"/>
  <c r="H469" i="28" s="1"/>
  <c r="G676" i="28"/>
  <c r="I676" i="28"/>
  <c r="G572" i="28"/>
  <c r="I572" i="28"/>
  <c r="A886" i="28"/>
  <c r="J886" i="28" s="1"/>
  <c r="D885" i="28"/>
  <c r="F885" i="28" s="1"/>
  <c r="H885" i="28" s="1"/>
  <c r="A678" i="28"/>
  <c r="J678" i="28" s="1"/>
  <c r="D677" i="28"/>
  <c r="F677" i="28" s="1"/>
  <c r="H677" i="28" s="1"/>
  <c r="A574" i="28"/>
  <c r="J574" i="28" s="1"/>
  <c r="D573" i="28"/>
  <c r="F573" i="28" s="1"/>
  <c r="H573" i="28" s="1"/>
  <c r="G884" i="28"/>
  <c r="I884" i="28"/>
  <c r="G781" i="28"/>
  <c r="I781" i="28"/>
  <c r="I364" i="28"/>
  <c r="G364" i="28"/>
  <c r="A783" i="28"/>
  <c r="J783" i="28" s="1"/>
  <c r="D782" i="28"/>
  <c r="F782" i="28" s="1"/>
  <c r="H782" i="28" s="1"/>
  <c r="A366" i="28"/>
  <c r="J366" i="28" s="1"/>
  <c r="D365" i="28"/>
  <c r="F365" i="28" s="1"/>
  <c r="H365" i="28" s="1"/>
  <c r="A158" i="28"/>
  <c r="J158" i="28" s="1"/>
  <c r="D157" i="28"/>
  <c r="F157" i="28" s="1"/>
  <c r="H157" i="28" s="1"/>
  <c r="G156" i="28"/>
  <c r="I156" i="28"/>
  <c r="G261" i="28" l="1"/>
  <c r="I261" i="28"/>
  <c r="J262" i="28"/>
  <c r="A263" i="28"/>
  <c r="D262" i="28"/>
  <c r="F262" i="28" s="1"/>
  <c r="H262" i="28" s="1"/>
  <c r="I469" i="28"/>
  <c r="G469" i="28"/>
  <c r="A367" i="28"/>
  <c r="J367" i="28" s="1"/>
  <c r="D366" i="28"/>
  <c r="F366" i="28" s="1"/>
  <c r="H366" i="28" s="1"/>
  <c r="A887" i="28"/>
  <c r="J887" i="28" s="1"/>
  <c r="D886" i="28"/>
  <c r="F886" i="28" s="1"/>
  <c r="H886" i="28" s="1"/>
  <c r="A471" i="28"/>
  <c r="J471" i="28" s="1"/>
  <c r="D470" i="28"/>
  <c r="F470" i="28" s="1"/>
  <c r="H470" i="28" s="1"/>
  <c r="I885" i="28"/>
  <c r="G885" i="28"/>
  <c r="G573" i="28"/>
  <c r="I573" i="28"/>
  <c r="G782" i="28"/>
  <c r="I782" i="28"/>
  <c r="A784" i="28"/>
  <c r="J784" i="28" s="1"/>
  <c r="D783" i="28"/>
  <c r="F783" i="28" s="1"/>
  <c r="H783" i="28" s="1"/>
  <c r="A575" i="28"/>
  <c r="J575" i="28" s="1"/>
  <c r="D574" i="28"/>
  <c r="F574" i="28" s="1"/>
  <c r="H574" i="28" s="1"/>
  <c r="G989" i="28"/>
  <c r="I989" i="28"/>
  <c r="A991" i="28"/>
  <c r="J991" i="28" s="1"/>
  <c r="D990" i="28"/>
  <c r="F990" i="28" s="1"/>
  <c r="H990" i="28" s="1"/>
  <c r="G365" i="28"/>
  <c r="I365" i="28"/>
  <c r="I677" i="28"/>
  <c r="G677" i="28"/>
  <c r="A679" i="28"/>
  <c r="J679" i="28" s="1"/>
  <c r="D678" i="28"/>
  <c r="F678" i="28" s="1"/>
  <c r="H678" i="28" s="1"/>
  <c r="G157" i="28"/>
  <c r="I157" i="28"/>
  <c r="A159" i="28"/>
  <c r="J159" i="28" s="1"/>
  <c r="D158" i="28"/>
  <c r="F158" i="28" s="1"/>
  <c r="H158" i="28" s="1"/>
  <c r="G262" i="28" l="1"/>
  <c r="I262" i="28"/>
  <c r="J263" i="28"/>
  <c r="D263" i="28"/>
  <c r="F263" i="28" s="1"/>
  <c r="H263" i="28" s="1"/>
  <c r="A264" i="28"/>
  <c r="G470" i="28"/>
  <c r="I470" i="28"/>
  <c r="A680" i="28"/>
  <c r="J680" i="28" s="1"/>
  <c r="D679" i="28"/>
  <c r="F679" i="28" s="1"/>
  <c r="H679" i="28" s="1"/>
  <c r="A992" i="28"/>
  <c r="J992" i="28" s="1"/>
  <c r="D991" i="28"/>
  <c r="F991" i="28" s="1"/>
  <c r="H991" i="28" s="1"/>
  <c r="A785" i="28"/>
  <c r="J785" i="28" s="1"/>
  <c r="D784" i="28"/>
  <c r="F784" i="28" s="1"/>
  <c r="H784" i="28" s="1"/>
  <c r="A472" i="28"/>
  <c r="J472" i="28" s="1"/>
  <c r="D471" i="28"/>
  <c r="F471" i="28" s="1"/>
  <c r="H471" i="28" s="1"/>
  <c r="I678" i="28"/>
  <c r="G678" i="28"/>
  <c r="G886" i="28"/>
  <c r="I886" i="28"/>
  <c r="G783" i="28"/>
  <c r="I783" i="28"/>
  <c r="A888" i="28"/>
  <c r="J888" i="28" s="1"/>
  <c r="D887" i="28"/>
  <c r="F887" i="28" s="1"/>
  <c r="H887" i="28" s="1"/>
  <c r="I366" i="28"/>
  <c r="G366" i="28"/>
  <c r="A368" i="28"/>
  <c r="J368" i="28" s="1"/>
  <c r="D367" i="28"/>
  <c r="F367" i="28" s="1"/>
  <c r="H367" i="28" s="1"/>
  <c r="G990" i="28"/>
  <c r="I990" i="28"/>
  <c r="I574" i="28"/>
  <c r="G574" i="28"/>
  <c r="A576" i="28"/>
  <c r="J576" i="28" s="1"/>
  <c r="D575" i="28"/>
  <c r="F575" i="28" s="1"/>
  <c r="H575" i="28" s="1"/>
  <c r="I158" i="28"/>
  <c r="G158" i="28"/>
  <c r="A160" i="28"/>
  <c r="J160" i="28" s="1"/>
  <c r="D159" i="28"/>
  <c r="F159" i="28" s="1"/>
  <c r="H159" i="28" s="1"/>
  <c r="J264" i="28" l="1"/>
  <c r="A265" i="28"/>
  <c r="D264" i="28"/>
  <c r="F264" i="28" s="1"/>
  <c r="H264" i="28" s="1"/>
  <c r="G263" i="28"/>
  <c r="I263" i="28"/>
  <c r="I784" i="28"/>
  <c r="G784" i="28"/>
  <c r="A577" i="28"/>
  <c r="J577" i="28" s="1"/>
  <c r="D576" i="28"/>
  <c r="F576" i="28" s="1"/>
  <c r="H576" i="28" s="1"/>
  <c r="A786" i="28"/>
  <c r="J786" i="28" s="1"/>
  <c r="D785" i="28"/>
  <c r="F785" i="28" s="1"/>
  <c r="H785" i="28" s="1"/>
  <c r="G991" i="28"/>
  <c r="I991" i="28"/>
  <c r="G575" i="28"/>
  <c r="I575" i="28"/>
  <c r="A993" i="28"/>
  <c r="J993" i="28" s="1"/>
  <c r="D992" i="28"/>
  <c r="F992" i="28" s="1"/>
  <c r="H992" i="28" s="1"/>
  <c r="G887" i="28"/>
  <c r="I887" i="28"/>
  <c r="I679" i="28"/>
  <c r="G679" i="28"/>
  <c r="A681" i="28"/>
  <c r="J681" i="28" s="1"/>
  <c r="D680" i="28"/>
  <c r="F680" i="28" s="1"/>
  <c r="H680" i="28" s="1"/>
  <c r="A889" i="28"/>
  <c r="J889" i="28" s="1"/>
  <c r="D888" i="28"/>
  <c r="F888" i="28" s="1"/>
  <c r="H888" i="28" s="1"/>
  <c r="G471" i="28"/>
  <c r="I471" i="28"/>
  <c r="G367" i="28"/>
  <c r="I367" i="28"/>
  <c r="A369" i="28"/>
  <c r="J369" i="28" s="1"/>
  <c r="D368" i="28"/>
  <c r="F368" i="28" s="1"/>
  <c r="H368" i="28" s="1"/>
  <c r="A473" i="28"/>
  <c r="J473" i="28" s="1"/>
  <c r="D472" i="28"/>
  <c r="F472" i="28" s="1"/>
  <c r="H472" i="28" s="1"/>
  <c r="A161" i="28"/>
  <c r="J161" i="28" s="1"/>
  <c r="D160" i="28"/>
  <c r="F160" i="28" s="1"/>
  <c r="H160" i="28" s="1"/>
  <c r="G159" i="28"/>
  <c r="I159" i="28"/>
  <c r="I264" i="28" l="1"/>
  <c r="G264" i="28"/>
  <c r="J265" i="28"/>
  <c r="A266" i="28"/>
  <c r="D265" i="28"/>
  <c r="F265" i="28" s="1"/>
  <c r="H265" i="28" s="1"/>
  <c r="I472" i="28"/>
  <c r="G472" i="28"/>
  <c r="I785" i="28"/>
  <c r="G785" i="28"/>
  <c r="A474" i="28"/>
  <c r="J474" i="28" s="1"/>
  <c r="D473" i="28"/>
  <c r="F473" i="28" s="1"/>
  <c r="H473" i="28" s="1"/>
  <c r="A787" i="28"/>
  <c r="J787" i="28" s="1"/>
  <c r="D786" i="28"/>
  <c r="F786" i="28" s="1"/>
  <c r="H786" i="28" s="1"/>
  <c r="G888" i="28"/>
  <c r="I888" i="28"/>
  <c r="G576" i="28"/>
  <c r="I576" i="28"/>
  <c r="G992" i="28"/>
  <c r="I992" i="28"/>
  <c r="A370" i="28"/>
  <c r="J370" i="28" s="1"/>
  <c r="D369" i="28"/>
  <c r="F369" i="28" s="1"/>
  <c r="H369" i="28" s="1"/>
  <c r="A890" i="28"/>
  <c r="J890" i="28" s="1"/>
  <c r="D889" i="28"/>
  <c r="F889" i="28" s="1"/>
  <c r="H889" i="28" s="1"/>
  <c r="A994" i="28"/>
  <c r="J994" i="28" s="1"/>
  <c r="D993" i="28"/>
  <c r="F993" i="28" s="1"/>
  <c r="H993" i="28" s="1"/>
  <c r="A578" i="28"/>
  <c r="J578" i="28" s="1"/>
  <c r="D577" i="28"/>
  <c r="F577" i="28" s="1"/>
  <c r="H577" i="28" s="1"/>
  <c r="I680" i="28"/>
  <c r="G680" i="28"/>
  <c r="G368" i="28"/>
  <c r="I368" i="28"/>
  <c r="A682" i="28"/>
  <c r="J682" i="28" s="1"/>
  <c r="D681" i="28"/>
  <c r="F681" i="28" s="1"/>
  <c r="H681" i="28" s="1"/>
  <c r="G160" i="28"/>
  <c r="I160" i="28"/>
  <c r="A162" i="28"/>
  <c r="J162" i="28" s="1"/>
  <c r="D161" i="28"/>
  <c r="F161" i="28" s="1"/>
  <c r="H161" i="28" s="1"/>
  <c r="I265" i="28" l="1"/>
  <c r="G265" i="28"/>
  <c r="J266" i="28"/>
  <c r="D266" i="28"/>
  <c r="F266" i="28" s="1"/>
  <c r="H266" i="28" s="1"/>
  <c r="A267" i="28"/>
  <c r="G473" i="28"/>
  <c r="I473" i="28"/>
  <c r="A475" i="28"/>
  <c r="J475" i="28" s="1"/>
  <c r="D474" i="28"/>
  <c r="F474" i="28" s="1"/>
  <c r="H474" i="28" s="1"/>
  <c r="I889" i="28"/>
  <c r="G889" i="28"/>
  <c r="G681" i="28"/>
  <c r="I681" i="28"/>
  <c r="A995" i="28"/>
  <c r="J995" i="28" s="1"/>
  <c r="D994" i="28"/>
  <c r="F994" i="28" s="1"/>
  <c r="H994" i="28" s="1"/>
  <c r="A891" i="28"/>
  <c r="J891" i="28" s="1"/>
  <c r="D890" i="28"/>
  <c r="F890" i="28" s="1"/>
  <c r="H890" i="28" s="1"/>
  <c r="A683" i="28"/>
  <c r="J683" i="28" s="1"/>
  <c r="D682" i="28"/>
  <c r="F682" i="28" s="1"/>
  <c r="H682" i="28" s="1"/>
  <c r="G786" i="28"/>
  <c r="I786" i="28"/>
  <c r="I993" i="28"/>
  <c r="G993" i="28"/>
  <c r="A371" i="28"/>
  <c r="J371" i="28" s="1"/>
  <c r="D370" i="28"/>
  <c r="F370" i="28" s="1"/>
  <c r="H370" i="28" s="1"/>
  <c r="A788" i="28"/>
  <c r="J788" i="28" s="1"/>
  <c r="D787" i="28"/>
  <c r="F787" i="28" s="1"/>
  <c r="H787" i="28" s="1"/>
  <c r="G577" i="28"/>
  <c r="I577" i="28"/>
  <c r="G369" i="28"/>
  <c r="I369" i="28"/>
  <c r="A579" i="28"/>
  <c r="J579" i="28" s="1"/>
  <c r="D578" i="28"/>
  <c r="F578" i="28" s="1"/>
  <c r="H578" i="28" s="1"/>
  <c r="I161" i="28"/>
  <c r="G161" i="28"/>
  <c r="A163" i="28"/>
  <c r="J163" i="28" s="1"/>
  <c r="D162" i="28"/>
  <c r="F162" i="28" s="1"/>
  <c r="H162" i="28" s="1"/>
  <c r="J267" i="28" l="1"/>
  <c r="A268" i="28"/>
  <c r="D267" i="28"/>
  <c r="F267" i="28" s="1"/>
  <c r="H267" i="28" s="1"/>
  <c r="G266" i="28"/>
  <c r="I266" i="28"/>
  <c r="G682" i="28"/>
  <c r="I682" i="28"/>
  <c r="I578" i="28"/>
  <c r="G578" i="28"/>
  <c r="A580" i="28"/>
  <c r="J580" i="28" s="1"/>
  <c r="D579" i="28"/>
  <c r="F579" i="28" s="1"/>
  <c r="H579" i="28" s="1"/>
  <c r="A789" i="28"/>
  <c r="J789" i="28" s="1"/>
  <c r="D788" i="28"/>
  <c r="F788" i="28" s="1"/>
  <c r="H788" i="28" s="1"/>
  <c r="A684" i="28"/>
  <c r="J684" i="28" s="1"/>
  <c r="D683" i="28"/>
  <c r="F683" i="28" s="1"/>
  <c r="H683" i="28" s="1"/>
  <c r="G474" i="28"/>
  <c r="I474" i="28"/>
  <c r="G370" i="28"/>
  <c r="I370" i="28"/>
  <c r="A372" i="28"/>
  <c r="J372" i="28" s="1"/>
  <c r="D371" i="28"/>
  <c r="F371" i="28" s="1"/>
  <c r="H371" i="28" s="1"/>
  <c r="A892" i="28"/>
  <c r="J892" i="28" s="1"/>
  <c r="D891" i="28"/>
  <c r="F891" i="28" s="1"/>
  <c r="H891" i="28" s="1"/>
  <c r="A476" i="28"/>
  <c r="J476" i="28" s="1"/>
  <c r="D475" i="28"/>
  <c r="F475" i="28" s="1"/>
  <c r="H475" i="28" s="1"/>
  <c r="G787" i="28"/>
  <c r="I787" i="28"/>
  <c r="G994" i="28"/>
  <c r="I994" i="28"/>
  <c r="G890" i="28"/>
  <c r="I890" i="28"/>
  <c r="A996" i="28"/>
  <c r="J996" i="28" s="1"/>
  <c r="D995" i="28"/>
  <c r="F995" i="28" s="1"/>
  <c r="H995" i="28" s="1"/>
  <c r="G162" i="28"/>
  <c r="I162" i="28"/>
  <c r="A164" i="28"/>
  <c r="J164" i="28" s="1"/>
  <c r="D163" i="28"/>
  <c r="F163" i="28" s="1"/>
  <c r="H163" i="28" s="1"/>
  <c r="G267" i="28" l="1"/>
  <c r="I267" i="28"/>
  <c r="J268" i="28"/>
  <c r="A269" i="28"/>
  <c r="D268" i="28"/>
  <c r="F268" i="28" s="1"/>
  <c r="H268" i="28" s="1"/>
  <c r="I475" i="28"/>
  <c r="G475" i="28"/>
  <c r="I579" i="28"/>
  <c r="G579" i="28"/>
  <c r="G371" i="28"/>
  <c r="I371" i="28"/>
  <c r="A997" i="28"/>
  <c r="J997" i="28" s="1"/>
  <c r="D996" i="28"/>
  <c r="F996" i="28" s="1"/>
  <c r="H996" i="28" s="1"/>
  <c r="A477" i="28"/>
  <c r="J477" i="28" s="1"/>
  <c r="D476" i="28"/>
  <c r="F476" i="28" s="1"/>
  <c r="H476" i="28" s="1"/>
  <c r="A581" i="28"/>
  <c r="J581" i="28" s="1"/>
  <c r="D580" i="28"/>
  <c r="F580" i="28" s="1"/>
  <c r="H580" i="28" s="1"/>
  <c r="G891" i="28"/>
  <c r="I891" i="28"/>
  <c r="G995" i="28"/>
  <c r="I995" i="28"/>
  <c r="A893" i="28"/>
  <c r="J893" i="28" s="1"/>
  <c r="D892" i="28"/>
  <c r="F892" i="28" s="1"/>
  <c r="H892" i="28" s="1"/>
  <c r="G683" i="28"/>
  <c r="I683" i="28"/>
  <c r="A373" i="28"/>
  <c r="J373" i="28" s="1"/>
  <c r="D372" i="28"/>
  <c r="F372" i="28" s="1"/>
  <c r="H372" i="28" s="1"/>
  <c r="I788" i="28"/>
  <c r="G788" i="28"/>
  <c r="A685" i="28"/>
  <c r="J685" i="28" s="1"/>
  <c r="D684" i="28"/>
  <c r="F684" i="28" s="1"/>
  <c r="H684" i="28" s="1"/>
  <c r="A790" i="28"/>
  <c r="J790" i="28" s="1"/>
  <c r="D789" i="28"/>
  <c r="F789" i="28" s="1"/>
  <c r="H789" i="28" s="1"/>
  <c r="G163" i="28"/>
  <c r="I163" i="28"/>
  <c r="A165" i="28"/>
  <c r="J165" i="28" s="1"/>
  <c r="D164" i="28"/>
  <c r="F164" i="28" s="1"/>
  <c r="H164" i="28" s="1"/>
  <c r="G268" i="28" l="1"/>
  <c r="I268" i="28"/>
  <c r="J269" i="28"/>
  <c r="D269" i="28"/>
  <c r="F269" i="28" s="1"/>
  <c r="H269" i="28" s="1"/>
  <c r="A270" i="28"/>
  <c r="G789" i="28"/>
  <c r="I789" i="28"/>
  <c r="G996" i="28"/>
  <c r="I996" i="28"/>
  <c r="A791" i="28"/>
  <c r="J791" i="28" s="1"/>
  <c r="D790" i="28"/>
  <c r="F790" i="28" s="1"/>
  <c r="H790" i="28" s="1"/>
  <c r="G684" i="28"/>
  <c r="I684" i="28"/>
  <c r="A686" i="28"/>
  <c r="J686" i="28" s="1"/>
  <c r="D685" i="28"/>
  <c r="F685" i="28" s="1"/>
  <c r="H685" i="28" s="1"/>
  <c r="I892" i="28"/>
  <c r="G892" i="28"/>
  <c r="G580" i="28"/>
  <c r="I580" i="28"/>
  <c r="I372" i="28"/>
  <c r="G372" i="28"/>
  <c r="I476" i="28"/>
  <c r="G476" i="28"/>
  <c r="A998" i="28"/>
  <c r="J998" i="28" s="1"/>
  <c r="D997" i="28"/>
  <c r="F997" i="28" s="1"/>
  <c r="H997" i="28" s="1"/>
  <c r="A894" i="28"/>
  <c r="J894" i="28" s="1"/>
  <c r="D893" i="28"/>
  <c r="F893" i="28" s="1"/>
  <c r="H893" i="28" s="1"/>
  <c r="A582" i="28"/>
  <c r="J582" i="28" s="1"/>
  <c r="D581" i="28"/>
  <c r="F581" i="28" s="1"/>
  <c r="H581" i="28" s="1"/>
  <c r="A374" i="28"/>
  <c r="J374" i="28" s="1"/>
  <c r="D373" i="28"/>
  <c r="F373" i="28" s="1"/>
  <c r="H373" i="28" s="1"/>
  <c r="A478" i="28"/>
  <c r="J478" i="28" s="1"/>
  <c r="D477" i="28"/>
  <c r="F477" i="28" s="1"/>
  <c r="H477" i="28" s="1"/>
  <c r="G164" i="28"/>
  <c r="I164" i="28"/>
  <c r="A166" i="28"/>
  <c r="J166" i="28" s="1"/>
  <c r="D165" i="28"/>
  <c r="F165" i="28" s="1"/>
  <c r="H165" i="28" s="1"/>
  <c r="J270" i="28" l="1"/>
  <c r="A271" i="28"/>
  <c r="D270" i="28"/>
  <c r="F270" i="28" s="1"/>
  <c r="H270" i="28" s="1"/>
  <c r="G269" i="28"/>
  <c r="I269" i="28"/>
  <c r="G477" i="28"/>
  <c r="I477" i="28"/>
  <c r="I997" i="28"/>
  <c r="G997" i="28"/>
  <c r="A479" i="28"/>
  <c r="J479" i="28" s="1"/>
  <c r="D478" i="28"/>
  <c r="F478" i="28" s="1"/>
  <c r="H478" i="28" s="1"/>
  <c r="A999" i="28"/>
  <c r="J999" i="28" s="1"/>
  <c r="D998" i="28"/>
  <c r="F998" i="28" s="1"/>
  <c r="H998" i="28" s="1"/>
  <c r="G373" i="28"/>
  <c r="I373" i="28"/>
  <c r="G790" i="28"/>
  <c r="I790" i="28"/>
  <c r="G581" i="28"/>
  <c r="I581" i="28"/>
  <c r="A375" i="28"/>
  <c r="J375" i="28" s="1"/>
  <c r="D374" i="28"/>
  <c r="F374" i="28" s="1"/>
  <c r="H374" i="28" s="1"/>
  <c r="A792" i="28"/>
  <c r="J792" i="28" s="1"/>
  <c r="D791" i="28"/>
  <c r="F791" i="28" s="1"/>
  <c r="H791" i="28" s="1"/>
  <c r="G685" i="28"/>
  <c r="I685" i="28"/>
  <c r="A687" i="28"/>
  <c r="J687" i="28" s="1"/>
  <c r="D686" i="28"/>
  <c r="F686" i="28" s="1"/>
  <c r="H686" i="28" s="1"/>
  <c r="I893" i="28"/>
  <c r="G893" i="28"/>
  <c r="A583" i="28"/>
  <c r="J583" i="28" s="1"/>
  <c r="D582" i="28"/>
  <c r="F582" i="28" s="1"/>
  <c r="H582" i="28" s="1"/>
  <c r="A895" i="28"/>
  <c r="J895" i="28" s="1"/>
  <c r="D894" i="28"/>
  <c r="F894" i="28" s="1"/>
  <c r="H894" i="28" s="1"/>
  <c r="A167" i="28"/>
  <c r="J167" i="28" s="1"/>
  <c r="D166" i="28"/>
  <c r="F166" i="28" s="1"/>
  <c r="H166" i="28" s="1"/>
  <c r="G165" i="28"/>
  <c r="I165" i="28"/>
  <c r="I270" i="28" l="1"/>
  <c r="G270" i="28"/>
  <c r="J271" i="28"/>
  <c r="D271" i="28"/>
  <c r="F271" i="28" s="1"/>
  <c r="H271" i="28" s="1"/>
  <c r="A272" i="28"/>
  <c r="I894" i="28"/>
  <c r="G894" i="28"/>
  <c r="G998" i="28"/>
  <c r="I998" i="28"/>
  <c r="A896" i="28"/>
  <c r="J896" i="28" s="1"/>
  <c r="D895" i="28"/>
  <c r="F895" i="28" s="1"/>
  <c r="H895" i="28" s="1"/>
  <c r="A1000" i="28"/>
  <c r="J1000" i="28" s="1"/>
  <c r="D999" i="28"/>
  <c r="F999" i="28" s="1"/>
  <c r="H999" i="28" s="1"/>
  <c r="G582" i="28"/>
  <c r="I582" i="28"/>
  <c r="I478" i="28"/>
  <c r="G478" i="28"/>
  <c r="G791" i="28"/>
  <c r="I791" i="28"/>
  <c r="A584" i="28"/>
  <c r="J584" i="28" s="1"/>
  <c r="D583" i="28"/>
  <c r="F583" i="28" s="1"/>
  <c r="H583" i="28" s="1"/>
  <c r="A793" i="28"/>
  <c r="J793" i="28" s="1"/>
  <c r="D792" i="28"/>
  <c r="F792" i="28" s="1"/>
  <c r="H792" i="28" s="1"/>
  <c r="A480" i="28"/>
  <c r="J480" i="28" s="1"/>
  <c r="D479" i="28"/>
  <c r="F479" i="28" s="1"/>
  <c r="H479" i="28" s="1"/>
  <c r="I374" i="28"/>
  <c r="G374" i="28"/>
  <c r="G686" i="28"/>
  <c r="I686" i="28"/>
  <c r="A688" i="28"/>
  <c r="J688" i="28" s="1"/>
  <c r="D687" i="28"/>
  <c r="F687" i="28" s="1"/>
  <c r="H687" i="28" s="1"/>
  <c r="A376" i="28"/>
  <c r="J376" i="28" s="1"/>
  <c r="D375" i="28"/>
  <c r="F375" i="28" s="1"/>
  <c r="H375" i="28" s="1"/>
  <c r="I166" i="28"/>
  <c r="G166" i="28"/>
  <c r="A168" i="28"/>
  <c r="J168" i="28" s="1"/>
  <c r="D167" i="28"/>
  <c r="F167" i="28" s="1"/>
  <c r="H167" i="28" s="1"/>
  <c r="J272" i="28" l="1"/>
  <c r="D272" i="28"/>
  <c r="F272" i="28" s="1"/>
  <c r="H272" i="28" s="1"/>
  <c r="A273" i="28"/>
  <c r="G271" i="28"/>
  <c r="I271" i="28"/>
  <c r="A481" i="28"/>
  <c r="J481" i="28" s="1"/>
  <c r="D480" i="28"/>
  <c r="F480" i="28" s="1"/>
  <c r="H480" i="28" s="1"/>
  <c r="G583" i="28"/>
  <c r="I583" i="28"/>
  <c r="G999" i="28"/>
  <c r="I999" i="28"/>
  <c r="A585" i="28"/>
  <c r="J585" i="28" s="1"/>
  <c r="D584" i="28"/>
  <c r="F584" i="28" s="1"/>
  <c r="H584" i="28" s="1"/>
  <c r="A1001" i="28"/>
  <c r="J1001" i="28" s="1"/>
  <c r="D1000" i="28"/>
  <c r="F1000" i="28" s="1"/>
  <c r="H1000" i="28" s="1"/>
  <c r="G479" i="28"/>
  <c r="I479" i="28"/>
  <c r="G687" i="28"/>
  <c r="I687" i="28"/>
  <c r="G895" i="28"/>
  <c r="I895" i="28"/>
  <c r="G375" i="28"/>
  <c r="I375" i="28"/>
  <c r="A377" i="28"/>
  <c r="J377" i="28" s="1"/>
  <c r="D376" i="28"/>
  <c r="F376" i="28" s="1"/>
  <c r="H376" i="28" s="1"/>
  <c r="A689" i="28"/>
  <c r="J689" i="28" s="1"/>
  <c r="D688" i="28"/>
  <c r="F688" i="28" s="1"/>
  <c r="H688" i="28" s="1"/>
  <c r="A897" i="28"/>
  <c r="J897" i="28" s="1"/>
  <c r="D896" i="28"/>
  <c r="F896" i="28" s="1"/>
  <c r="H896" i="28" s="1"/>
  <c r="I792" i="28"/>
  <c r="G792" i="28"/>
  <c r="A794" i="28"/>
  <c r="J794" i="28" s="1"/>
  <c r="D793" i="28"/>
  <c r="F793" i="28" s="1"/>
  <c r="H793" i="28" s="1"/>
  <c r="G167" i="28"/>
  <c r="I167" i="28"/>
  <c r="A169" i="28"/>
  <c r="J169" i="28" s="1"/>
  <c r="D168" i="28"/>
  <c r="F168" i="28" s="1"/>
  <c r="H168" i="28" s="1"/>
  <c r="H29" i="29" l="1"/>
  <c r="L29" i="29" s="1"/>
  <c r="H28" i="29"/>
  <c r="L28" i="29" s="1"/>
  <c r="J29" i="29"/>
  <c r="I26" i="29"/>
  <c r="I28" i="29"/>
  <c r="H31" i="29"/>
  <c r="L31" i="29" s="1"/>
  <c r="H30" i="29"/>
  <c r="L30" i="29" s="1"/>
  <c r="I32" i="29"/>
  <c r="J273" i="28"/>
  <c r="J26" i="29" s="1"/>
  <c r="A274" i="28"/>
  <c r="D273" i="28"/>
  <c r="F273" i="28" s="1"/>
  <c r="H273" i="28" s="1"/>
  <c r="I272" i="28"/>
  <c r="G272" i="28"/>
  <c r="G896" i="28"/>
  <c r="I896" i="28"/>
  <c r="I793" i="28"/>
  <c r="G793" i="28"/>
  <c r="A795" i="28"/>
  <c r="J795" i="28" s="1"/>
  <c r="D794" i="28"/>
  <c r="F794" i="28" s="1"/>
  <c r="H794" i="28" s="1"/>
  <c r="A586" i="28"/>
  <c r="J586" i="28" s="1"/>
  <c r="D585" i="28"/>
  <c r="F585" i="28" s="1"/>
  <c r="H585" i="28" s="1"/>
  <c r="I688" i="28"/>
  <c r="G688" i="28"/>
  <c r="G584" i="28"/>
  <c r="I584" i="28"/>
  <c r="A898" i="28"/>
  <c r="J898" i="28" s="1"/>
  <c r="D897" i="28"/>
  <c r="F897" i="28" s="1"/>
  <c r="H897" i="28" s="1"/>
  <c r="A690" i="28"/>
  <c r="J690" i="28" s="1"/>
  <c r="D689" i="28"/>
  <c r="F689" i="28" s="1"/>
  <c r="H689" i="28" s="1"/>
  <c r="G376" i="28"/>
  <c r="I376" i="28"/>
  <c r="A378" i="28"/>
  <c r="J378" i="28" s="1"/>
  <c r="D377" i="28"/>
  <c r="F377" i="28" s="1"/>
  <c r="H377" i="28" s="1"/>
  <c r="G1000" i="28"/>
  <c r="I1000" i="28"/>
  <c r="I480" i="28"/>
  <c r="G480" i="28"/>
  <c r="A1002" i="28"/>
  <c r="J1002" i="28" s="1"/>
  <c r="D1001" i="28"/>
  <c r="F1001" i="28" s="1"/>
  <c r="H1001" i="28" s="1"/>
  <c r="A482" i="28"/>
  <c r="J482" i="28" s="1"/>
  <c r="D481" i="28"/>
  <c r="F481" i="28" s="1"/>
  <c r="H481" i="28" s="1"/>
  <c r="A170" i="28"/>
  <c r="J170" i="28" s="1"/>
  <c r="D169" i="28"/>
  <c r="F169" i="28" s="1"/>
  <c r="H169" i="28" s="1"/>
  <c r="G168" i="28"/>
  <c r="I168" i="28"/>
  <c r="I30" i="29" l="1"/>
  <c r="H26" i="29"/>
  <c r="L26" i="29" s="1"/>
  <c r="J30" i="29"/>
  <c r="H27" i="29"/>
  <c r="L27" i="29" s="1"/>
  <c r="J31" i="29"/>
  <c r="H33" i="29"/>
  <c r="L33" i="29" s="1"/>
  <c r="J33" i="29"/>
  <c r="I33" i="29"/>
  <c r="I29" i="29"/>
  <c r="H32" i="29"/>
  <c r="L32" i="29" s="1"/>
  <c r="I31" i="29"/>
  <c r="I27" i="29"/>
  <c r="J28" i="29"/>
  <c r="J32" i="29"/>
  <c r="J27" i="29"/>
  <c r="G273" i="28"/>
  <c r="I273" i="28"/>
  <c r="J274" i="28"/>
  <c r="A275" i="28"/>
  <c r="D274" i="28"/>
  <c r="F274" i="28" s="1"/>
  <c r="H274" i="28" s="1"/>
  <c r="G689" i="28"/>
  <c r="I689" i="28"/>
  <c r="G377" i="28"/>
  <c r="I377" i="28"/>
  <c r="G585" i="28"/>
  <c r="I585" i="28"/>
  <c r="G481" i="28"/>
  <c r="I481" i="28"/>
  <c r="A483" i="28"/>
  <c r="J483" i="28" s="1"/>
  <c r="D482" i="28"/>
  <c r="F482" i="28" s="1"/>
  <c r="H482" i="28" s="1"/>
  <c r="A379" i="28"/>
  <c r="J379" i="28" s="1"/>
  <c r="D378" i="28"/>
  <c r="F378" i="28" s="1"/>
  <c r="H378" i="28" s="1"/>
  <c r="A587" i="28"/>
  <c r="J587" i="28" s="1"/>
  <c r="D586" i="28"/>
  <c r="F586" i="28" s="1"/>
  <c r="H586" i="28" s="1"/>
  <c r="G897" i="28"/>
  <c r="I897" i="28"/>
  <c r="G794" i="28"/>
  <c r="I794" i="28"/>
  <c r="I1001" i="28"/>
  <c r="G1001" i="28"/>
  <c r="A1003" i="28"/>
  <c r="J1003" i="28" s="1"/>
  <c r="D1002" i="28"/>
  <c r="F1002" i="28" s="1"/>
  <c r="H1002" i="28" s="1"/>
  <c r="A899" i="28"/>
  <c r="J899" i="28" s="1"/>
  <c r="D898" i="28"/>
  <c r="F898" i="28" s="1"/>
  <c r="H898" i="28" s="1"/>
  <c r="A796" i="28"/>
  <c r="J796" i="28" s="1"/>
  <c r="D795" i="28"/>
  <c r="F795" i="28" s="1"/>
  <c r="H795" i="28" s="1"/>
  <c r="A691" i="28"/>
  <c r="J691" i="28" s="1"/>
  <c r="D690" i="28"/>
  <c r="F690" i="28" s="1"/>
  <c r="H690" i="28" s="1"/>
  <c r="I169" i="28"/>
  <c r="G169" i="28"/>
  <c r="A171" i="28"/>
  <c r="J171" i="28" s="1"/>
  <c r="D170" i="28"/>
  <c r="F170" i="28" s="1"/>
  <c r="H170" i="28" s="1"/>
  <c r="L35" i="29" l="1"/>
  <c r="G274" i="28"/>
  <c r="I274" i="28"/>
  <c r="J275" i="28"/>
  <c r="A276" i="28"/>
  <c r="D275" i="28"/>
  <c r="F275" i="28" s="1"/>
  <c r="H275" i="28" s="1"/>
  <c r="G898" i="28"/>
  <c r="I898" i="28"/>
  <c r="A900" i="28"/>
  <c r="J900" i="28" s="1"/>
  <c r="D899" i="28"/>
  <c r="F899" i="28" s="1"/>
  <c r="H899" i="28" s="1"/>
  <c r="G1002" i="28"/>
  <c r="I1002" i="28"/>
  <c r="G586" i="28"/>
  <c r="I586" i="28"/>
  <c r="G378" i="28"/>
  <c r="I378" i="28"/>
  <c r="A1004" i="28"/>
  <c r="J1004" i="28" s="1"/>
  <c r="D1003" i="28"/>
  <c r="F1003" i="28" s="1"/>
  <c r="H1003" i="28" s="1"/>
  <c r="A588" i="28"/>
  <c r="J588" i="28" s="1"/>
  <c r="D587" i="28"/>
  <c r="F587" i="28" s="1"/>
  <c r="H587" i="28" s="1"/>
  <c r="G482" i="28"/>
  <c r="I482" i="28"/>
  <c r="I690" i="28"/>
  <c r="G690" i="28"/>
  <c r="A692" i="28"/>
  <c r="J692" i="28" s="1"/>
  <c r="D691" i="28"/>
  <c r="F691" i="28" s="1"/>
  <c r="H691" i="28" s="1"/>
  <c r="A380" i="28"/>
  <c r="J380" i="28" s="1"/>
  <c r="D379" i="28"/>
  <c r="F379" i="28" s="1"/>
  <c r="H379" i="28" s="1"/>
  <c r="G795" i="28"/>
  <c r="I795" i="28"/>
  <c r="A797" i="28"/>
  <c r="J797" i="28" s="1"/>
  <c r="D796" i="28"/>
  <c r="F796" i="28" s="1"/>
  <c r="H796" i="28" s="1"/>
  <c r="A484" i="28"/>
  <c r="J484" i="28" s="1"/>
  <c r="D483" i="28"/>
  <c r="F483" i="28" s="1"/>
  <c r="H483" i="28" s="1"/>
  <c r="A172" i="28"/>
  <c r="J172" i="28" s="1"/>
  <c r="D171" i="28"/>
  <c r="F171" i="28" s="1"/>
  <c r="H171" i="28" s="1"/>
  <c r="G170" i="28"/>
  <c r="I170" i="28"/>
  <c r="J276" i="28" l="1"/>
  <c r="A277" i="28"/>
  <c r="D276" i="28"/>
  <c r="F276" i="28" s="1"/>
  <c r="H276" i="28" s="1"/>
  <c r="G275" i="28"/>
  <c r="I275" i="28"/>
  <c r="G691" i="28"/>
  <c r="I691" i="28"/>
  <c r="G1003" i="28"/>
  <c r="I1003" i="28"/>
  <c r="G899" i="28"/>
  <c r="I899" i="28"/>
  <c r="A901" i="28"/>
  <c r="J901" i="28" s="1"/>
  <c r="D900" i="28"/>
  <c r="F900" i="28" s="1"/>
  <c r="H900" i="28" s="1"/>
  <c r="I483" i="28"/>
  <c r="G483" i="28"/>
  <c r="A693" i="28"/>
  <c r="J693" i="28" s="1"/>
  <c r="D692" i="28"/>
  <c r="F692" i="28" s="1"/>
  <c r="H692" i="28" s="1"/>
  <c r="A1005" i="28"/>
  <c r="J1005" i="28" s="1"/>
  <c r="D1004" i="28"/>
  <c r="F1004" i="28" s="1"/>
  <c r="H1004" i="28" s="1"/>
  <c r="A798" i="28"/>
  <c r="J798" i="28" s="1"/>
  <c r="D797" i="28"/>
  <c r="F797" i="28" s="1"/>
  <c r="H797" i="28" s="1"/>
  <c r="I796" i="28"/>
  <c r="G796" i="28"/>
  <c r="I587" i="28"/>
  <c r="G587" i="28"/>
  <c r="A485" i="28"/>
  <c r="J485" i="28" s="1"/>
  <c r="D484" i="28"/>
  <c r="F484" i="28" s="1"/>
  <c r="H484" i="28" s="1"/>
  <c r="G379" i="28"/>
  <c r="I379" i="28"/>
  <c r="A381" i="28"/>
  <c r="J381" i="28" s="1"/>
  <c r="D380" i="28"/>
  <c r="F380" i="28" s="1"/>
  <c r="H380" i="28" s="1"/>
  <c r="A589" i="28"/>
  <c r="J589" i="28" s="1"/>
  <c r="D588" i="28"/>
  <c r="F588" i="28" s="1"/>
  <c r="H588" i="28" s="1"/>
  <c r="G171" i="28"/>
  <c r="I171" i="28"/>
  <c r="A173" i="28"/>
  <c r="J173" i="28" s="1"/>
  <c r="D172" i="28"/>
  <c r="F172" i="28" s="1"/>
  <c r="H172" i="28" s="1"/>
  <c r="G276" i="28" l="1"/>
  <c r="I276" i="28"/>
  <c r="J277" i="28"/>
  <c r="D277" i="28"/>
  <c r="F277" i="28" s="1"/>
  <c r="H277" i="28" s="1"/>
  <c r="A278" i="28"/>
  <c r="I900" i="28"/>
  <c r="G900" i="28"/>
  <c r="A590" i="28"/>
  <c r="J590" i="28" s="1"/>
  <c r="D589" i="28"/>
  <c r="F589" i="28" s="1"/>
  <c r="H589" i="28" s="1"/>
  <c r="A1006" i="28"/>
  <c r="J1006" i="28" s="1"/>
  <c r="D1005" i="28"/>
  <c r="F1005" i="28" s="1"/>
  <c r="H1005" i="28" s="1"/>
  <c r="A902" i="28"/>
  <c r="J902" i="28" s="1"/>
  <c r="D901" i="28"/>
  <c r="F901" i="28" s="1"/>
  <c r="H901" i="28" s="1"/>
  <c r="G692" i="28"/>
  <c r="I692" i="28"/>
  <c r="G588" i="28"/>
  <c r="I588" i="28"/>
  <c r="A694" i="28"/>
  <c r="J694" i="28" s="1"/>
  <c r="D693" i="28"/>
  <c r="F693" i="28" s="1"/>
  <c r="H693" i="28" s="1"/>
  <c r="A382" i="28"/>
  <c r="J382" i="28" s="1"/>
  <c r="D381" i="28"/>
  <c r="F381" i="28" s="1"/>
  <c r="H381" i="28" s="1"/>
  <c r="I1004" i="28"/>
  <c r="G1004" i="28"/>
  <c r="I380" i="28"/>
  <c r="G380" i="28"/>
  <c r="G797" i="28"/>
  <c r="I797" i="28"/>
  <c r="I484" i="28"/>
  <c r="G484" i="28"/>
  <c r="A486" i="28"/>
  <c r="J486" i="28" s="1"/>
  <c r="D485" i="28"/>
  <c r="F485" i="28" s="1"/>
  <c r="H485" i="28" s="1"/>
  <c r="A799" i="28"/>
  <c r="J799" i="28" s="1"/>
  <c r="D798" i="28"/>
  <c r="F798" i="28" s="1"/>
  <c r="H798" i="28" s="1"/>
  <c r="A174" i="28"/>
  <c r="J174" i="28" s="1"/>
  <c r="D173" i="28"/>
  <c r="F173" i="28" s="1"/>
  <c r="H173" i="28" s="1"/>
  <c r="G172" i="28"/>
  <c r="I172" i="28"/>
  <c r="J278" i="28" l="1"/>
  <c r="A279" i="28"/>
  <c r="D278" i="28"/>
  <c r="F278" i="28" s="1"/>
  <c r="H278" i="28" s="1"/>
  <c r="G277" i="28"/>
  <c r="I277" i="28"/>
  <c r="G901" i="28"/>
  <c r="I901" i="28"/>
  <c r="A383" i="28"/>
  <c r="J383" i="28" s="1"/>
  <c r="D382" i="28"/>
  <c r="F382" i="28" s="1"/>
  <c r="H382" i="28" s="1"/>
  <c r="A903" i="28"/>
  <c r="J903" i="28" s="1"/>
  <c r="D902" i="28"/>
  <c r="F902" i="28" s="1"/>
  <c r="H902" i="28" s="1"/>
  <c r="I485" i="28"/>
  <c r="G485" i="28"/>
  <c r="G693" i="28"/>
  <c r="I693" i="28"/>
  <c r="G1005" i="28"/>
  <c r="I1005" i="28"/>
  <c r="G798" i="28"/>
  <c r="I798" i="28"/>
  <c r="A800" i="28"/>
  <c r="J800" i="28" s="1"/>
  <c r="D799" i="28"/>
  <c r="F799" i="28" s="1"/>
  <c r="H799" i="28" s="1"/>
  <c r="A487" i="28"/>
  <c r="J487" i="28" s="1"/>
  <c r="D486" i="28"/>
  <c r="F486" i="28" s="1"/>
  <c r="H486" i="28" s="1"/>
  <c r="A695" i="28"/>
  <c r="J695" i="28" s="1"/>
  <c r="D694" i="28"/>
  <c r="F694" i="28" s="1"/>
  <c r="H694" i="28" s="1"/>
  <c r="A1007" i="28"/>
  <c r="J1007" i="28" s="1"/>
  <c r="D1006" i="28"/>
  <c r="F1006" i="28" s="1"/>
  <c r="H1006" i="28" s="1"/>
  <c r="G589" i="28"/>
  <c r="I589" i="28"/>
  <c r="A591" i="28"/>
  <c r="J591" i="28" s="1"/>
  <c r="D590" i="28"/>
  <c r="F590" i="28" s="1"/>
  <c r="H590" i="28" s="1"/>
  <c r="I381" i="28"/>
  <c r="G381" i="28"/>
  <c r="G173" i="28"/>
  <c r="I173" i="28"/>
  <c r="A175" i="28"/>
  <c r="J175" i="28" s="1"/>
  <c r="D174" i="28"/>
  <c r="F174" i="28" s="1"/>
  <c r="H174" i="28" s="1"/>
  <c r="I278" i="28" l="1"/>
  <c r="G278" i="28"/>
  <c r="J279" i="28"/>
  <c r="A280" i="28"/>
  <c r="D279" i="28"/>
  <c r="F279" i="28" s="1"/>
  <c r="H279" i="28" s="1"/>
  <c r="G694" i="28"/>
  <c r="I694" i="28"/>
  <c r="G799" i="28"/>
  <c r="I799" i="28"/>
  <c r="A696" i="28"/>
  <c r="J696" i="28" s="1"/>
  <c r="D695" i="28"/>
  <c r="F695" i="28" s="1"/>
  <c r="H695" i="28" s="1"/>
  <c r="A801" i="28"/>
  <c r="J801" i="28" s="1"/>
  <c r="D800" i="28"/>
  <c r="F800" i="28" s="1"/>
  <c r="H800" i="28" s="1"/>
  <c r="I590" i="28"/>
  <c r="G590" i="28"/>
  <c r="I902" i="28"/>
  <c r="G902" i="28"/>
  <c r="A592" i="28"/>
  <c r="J592" i="28" s="1"/>
  <c r="D591" i="28"/>
  <c r="F591" i="28" s="1"/>
  <c r="H591" i="28" s="1"/>
  <c r="A904" i="28"/>
  <c r="J904" i="28" s="1"/>
  <c r="D903" i="28"/>
  <c r="F903" i="28" s="1"/>
  <c r="H903" i="28" s="1"/>
  <c r="G486" i="28"/>
  <c r="I486" i="28"/>
  <c r="G382" i="28"/>
  <c r="I382" i="28"/>
  <c r="A488" i="28"/>
  <c r="J488" i="28" s="1"/>
  <c r="D487" i="28"/>
  <c r="F487" i="28" s="1"/>
  <c r="H487" i="28" s="1"/>
  <c r="A384" i="28"/>
  <c r="J384" i="28" s="1"/>
  <c r="D383" i="28"/>
  <c r="F383" i="28" s="1"/>
  <c r="H383" i="28" s="1"/>
  <c r="G1006" i="28"/>
  <c r="I1006" i="28"/>
  <c r="A1008" i="28"/>
  <c r="J1008" i="28" s="1"/>
  <c r="D1007" i="28"/>
  <c r="F1007" i="28" s="1"/>
  <c r="H1007" i="28" s="1"/>
  <c r="A176" i="28"/>
  <c r="J176" i="28" s="1"/>
  <c r="D175" i="28"/>
  <c r="F175" i="28" s="1"/>
  <c r="H175" i="28" s="1"/>
  <c r="I174" i="28"/>
  <c r="G174" i="28"/>
  <c r="I279" i="28" l="1"/>
  <c r="G279" i="28"/>
  <c r="J280" i="28"/>
  <c r="A281" i="28"/>
  <c r="D280" i="28"/>
  <c r="F280" i="28" s="1"/>
  <c r="H280" i="28" s="1"/>
  <c r="G1007" i="28"/>
  <c r="I1007" i="28"/>
  <c r="G800" i="28"/>
  <c r="I800" i="28"/>
  <c r="I591" i="28"/>
  <c r="G591" i="28"/>
  <c r="A1009" i="28"/>
  <c r="J1009" i="28" s="1"/>
  <c r="D1008" i="28"/>
  <c r="F1008" i="28" s="1"/>
  <c r="H1008" i="28" s="1"/>
  <c r="A593" i="28"/>
  <c r="J593" i="28" s="1"/>
  <c r="D592" i="28"/>
  <c r="F592" i="28" s="1"/>
  <c r="H592" i="28" s="1"/>
  <c r="A802" i="28"/>
  <c r="J802" i="28" s="1"/>
  <c r="D801" i="28"/>
  <c r="F801" i="28" s="1"/>
  <c r="H801" i="28" s="1"/>
  <c r="I695" i="28"/>
  <c r="G695" i="28"/>
  <c r="A697" i="28"/>
  <c r="J697" i="28" s="1"/>
  <c r="D696" i="28"/>
  <c r="F696" i="28" s="1"/>
  <c r="H696" i="28" s="1"/>
  <c r="G383" i="28"/>
  <c r="I383" i="28"/>
  <c r="A385" i="28"/>
  <c r="J385" i="28" s="1"/>
  <c r="D384" i="28"/>
  <c r="F384" i="28" s="1"/>
  <c r="H384" i="28" s="1"/>
  <c r="A905" i="28"/>
  <c r="J905" i="28" s="1"/>
  <c r="D904" i="28"/>
  <c r="F904" i="28" s="1"/>
  <c r="H904" i="28" s="1"/>
  <c r="G903" i="28"/>
  <c r="I903" i="28"/>
  <c r="G487" i="28"/>
  <c r="I487" i="28"/>
  <c r="A489" i="28"/>
  <c r="J489" i="28" s="1"/>
  <c r="D488" i="28"/>
  <c r="F488" i="28" s="1"/>
  <c r="H488" i="28" s="1"/>
  <c r="G175" i="28"/>
  <c r="I175" i="28"/>
  <c r="A177" i="28"/>
  <c r="J177" i="28" s="1"/>
  <c r="D176" i="28"/>
  <c r="F176" i="28" s="1"/>
  <c r="H176" i="28" s="1"/>
  <c r="I280" i="28" l="1"/>
  <c r="G280" i="28"/>
  <c r="J281" i="28"/>
  <c r="D281" i="28"/>
  <c r="F281" i="28" s="1"/>
  <c r="H281" i="28" s="1"/>
  <c r="A282" i="28"/>
  <c r="I696" i="28"/>
  <c r="G696" i="28"/>
  <c r="G1008" i="28"/>
  <c r="I1008" i="28"/>
  <c r="A698" i="28"/>
  <c r="J698" i="28" s="1"/>
  <c r="D697" i="28"/>
  <c r="F697" i="28" s="1"/>
  <c r="H697" i="28" s="1"/>
  <c r="A1010" i="28"/>
  <c r="J1010" i="28" s="1"/>
  <c r="D1009" i="28"/>
  <c r="F1009" i="28" s="1"/>
  <c r="H1009" i="28" s="1"/>
  <c r="G904" i="28"/>
  <c r="I904" i="28"/>
  <c r="G488" i="28"/>
  <c r="I488" i="28"/>
  <c r="A490" i="28"/>
  <c r="J490" i="28" s="1"/>
  <c r="D489" i="28"/>
  <c r="F489" i="28" s="1"/>
  <c r="H489" i="28" s="1"/>
  <c r="A906" i="28"/>
  <c r="J906" i="28" s="1"/>
  <c r="D905" i="28"/>
  <c r="F905" i="28" s="1"/>
  <c r="H905" i="28" s="1"/>
  <c r="G801" i="28"/>
  <c r="I801" i="28"/>
  <c r="A386" i="28"/>
  <c r="J386" i="28" s="1"/>
  <c r="D385" i="28"/>
  <c r="F385" i="28" s="1"/>
  <c r="H385" i="28" s="1"/>
  <c r="I592" i="28"/>
  <c r="G592" i="28"/>
  <c r="I384" i="28"/>
  <c r="G384" i="28"/>
  <c r="A803" i="28"/>
  <c r="J803" i="28" s="1"/>
  <c r="D802" i="28"/>
  <c r="F802" i="28" s="1"/>
  <c r="H802" i="28" s="1"/>
  <c r="A594" i="28"/>
  <c r="J594" i="28" s="1"/>
  <c r="D593" i="28"/>
  <c r="F593" i="28" s="1"/>
  <c r="H593" i="28" s="1"/>
  <c r="A178" i="28"/>
  <c r="J178" i="28" s="1"/>
  <c r="D177" i="28"/>
  <c r="F177" i="28" s="1"/>
  <c r="H177" i="28" s="1"/>
  <c r="G176" i="28"/>
  <c r="I176" i="28"/>
  <c r="J282" i="28" l="1"/>
  <c r="A283" i="28"/>
  <c r="D282" i="28"/>
  <c r="F282" i="28" s="1"/>
  <c r="H282" i="28" s="1"/>
  <c r="G281" i="28"/>
  <c r="I281" i="28"/>
  <c r="I1009" i="28"/>
  <c r="G1009" i="28"/>
  <c r="G385" i="28"/>
  <c r="I385" i="28"/>
  <c r="A595" i="28"/>
  <c r="J595" i="28" s="1"/>
  <c r="D594" i="28"/>
  <c r="F594" i="28" s="1"/>
  <c r="H594" i="28" s="1"/>
  <c r="A387" i="28"/>
  <c r="J387" i="28" s="1"/>
  <c r="D386" i="28"/>
  <c r="F386" i="28" s="1"/>
  <c r="H386" i="28" s="1"/>
  <c r="G905" i="28"/>
  <c r="I905" i="28"/>
  <c r="G802" i="28"/>
  <c r="I802" i="28"/>
  <c r="G593" i="28"/>
  <c r="I593" i="28"/>
  <c r="A804" i="28"/>
  <c r="J804" i="28" s="1"/>
  <c r="D803" i="28"/>
  <c r="F803" i="28" s="1"/>
  <c r="H803" i="28" s="1"/>
  <c r="A1011" i="28"/>
  <c r="J1011" i="28" s="1"/>
  <c r="D1010" i="28"/>
  <c r="F1010" i="28" s="1"/>
  <c r="H1010" i="28" s="1"/>
  <c r="G697" i="28"/>
  <c r="I697" i="28"/>
  <c r="A907" i="28"/>
  <c r="J907" i="28" s="1"/>
  <c r="D906" i="28"/>
  <c r="F906" i="28" s="1"/>
  <c r="H906" i="28" s="1"/>
  <c r="G489" i="28"/>
  <c r="I489" i="28"/>
  <c r="A491" i="28"/>
  <c r="J491" i="28" s="1"/>
  <c r="D490" i="28"/>
  <c r="F490" i="28" s="1"/>
  <c r="H490" i="28" s="1"/>
  <c r="A699" i="28"/>
  <c r="J699" i="28" s="1"/>
  <c r="D698" i="28"/>
  <c r="F698" i="28" s="1"/>
  <c r="H698" i="28" s="1"/>
  <c r="I177" i="28"/>
  <c r="G177" i="28"/>
  <c r="A179" i="28"/>
  <c r="J179" i="28" s="1"/>
  <c r="D178" i="28"/>
  <c r="F178" i="28" s="1"/>
  <c r="H178" i="28" s="1"/>
  <c r="G282" i="28" l="1"/>
  <c r="I282" i="28"/>
  <c r="J283" i="28"/>
  <c r="D283" i="28"/>
  <c r="F283" i="28" s="1"/>
  <c r="H283" i="28" s="1"/>
  <c r="A284" i="28"/>
  <c r="G698" i="28"/>
  <c r="I698" i="28"/>
  <c r="G594" i="28"/>
  <c r="I594" i="28"/>
  <c r="I803" i="28"/>
  <c r="G803" i="28"/>
  <c r="A596" i="28"/>
  <c r="J596" i="28" s="1"/>
  <c r="D595" i="28"/>
  <c r="F595" i="28" s="1"/>
  <c r="H595" i="28" s="1"/>
  <c r="A700" i="28"/>
  <c r="J700" i="28" s="1"/>
  <c r="D699" i="28"/>
  <c r="F699" i="28" s="1"/>
  <c r="H699" i="28" s="1"/>
  <c r="G1010" i="28"/>
  <c r="I1010" i="28"/>
  <c r="G490" i="28"/>
  <c r="I490" i="28"/>
  <c r="A492" i="28"/>
  <c r="J492" i="28" s="1"/>
  <c r="D491" i="28"/>
  <c r="F491" i="28" s="1"/>
  <c r="H491" i="28" s="1"/>
  <c r="A1012" i="28"/>
  <c r="J1012" i="28" s="1"/>
  <c r="D1011" i="28"/>
  <c r="F1011" i="28" s="1"/>
  <c r="H1011" i="28" s="1"/>
  <c r="G386" i="28"/>
  <c r="I386" i="28"/>
  <c r="A805" i="28"/>
  <c r="J805" i="28" s="1"/>
  <c r="D804" i="28"/>
  <c r="F804" i="28" s="1"/>
  <c r="H804" i="28" s="1"/>
  <c r="I906" i="28"/>
  <c r="G906" i="28"/>
  <c r="A908" i="28"/>
  <c r="J908" i="28" s="1"/>
  <c r="D907" i="28"/>
  <c r="F907" i="28" s="1"/>
  <c r="H907" i="28" s="1"/>
  <c r="A388" i="28"/>
  <c r="J388" i="28" s="1"/>
  <c r="D387" i="28"/>
  <c r="F387" i="28" s="1"/>
  <c r="H387" i="28" s="1"/>
  <c r="A180" i="28"/>
  <c r="J180" i="28" s="1"/>
  <c r="D179" i="28"/>
  <c r="F179" i="28" s="1"/>
  <c r="H179" i="28" s="1"/>
  <c r="G178" i="28"/>
  <c r="I178" i="28"/>
  <c r="J284" i="28" l="1"/>
  <c r="D284" i="28"/>
  <c r="F284" i="28" s="1"/>
  <c r="H284" i="28" s="1"/>
  <c r="A285" i="28"/>
  <c r="I283" i="28"/>
  <c r="G283" i="28"/>
  <c r="J56" i="27"/>
  <c r="I491" i="28"/>
  <c r="G491" i="28"/>
  <c r="I595" i="28"/>
  <c r="G595" i="28"/>
  <c r="A493" i="28"/>
  <c r="J493" i="28" s="1"/>
  <c r="D492" i="28"/>
  <c r="F492" i="28" s="1"/>
  <c r="H492" i="28" s="1"/>
  <c r="A597" i="28"/>
  <c r="J597" i="28" s="1"/>
  <c r="D596" i="28"/>
  <c r="F596" i="28" s="1"/>
  <c r="H596" i="28" s="1"/>
  <c r="G907" i="28"/>
  <c r="I907" i="28"/>
  <c r="I387" i="28"/>
  <c r="G387" i="28"/>
  <c r="A389" i="28"/>
  <c r="J389" i="28" s="1"/>
  <c r="D388" i="28"/>
  <c r="F388" i="28" s="1"/>
  <c r="H388" i="28" s="1"/>
  <c r="A909" i="28"/>
  <c r="J909" i="28" s="1"/>
  <c r="D908" i="28"/>
  <c r="F908" i="28" s="1"/>
  <c r="H908" i="28" s="1"/>
  <c r="I804" i="28"/>
  <c r="G804" i="28"/>
  <c r="G699" i="28"/>
  <c r="I699" i="28"/>
  <c r="G1011" i="28"/>
  <c r="I1011" i="28"/>
  <c r="A806" i="28"/>
  <c r="J806" i="28" s="1"/>
  <c r="D805" i="28"/>
  <c r="F805" i="28" s="1"/>
  <c r="H805" i="28" s="1"/>
  <c r="A1013" i="28"/>
  <c r="J1013" i="28" s="1"/>
  <c r="D1012" i="28"/>
  <c r="F1012" i="28" s="1"/>
  <c r="H1012" i="28" s="1"/>
  <c r="A701" i="28"/>
  <c r="J701" i="28" s="1"/>
  <c r="D700" i="28"/>
  <c r="F700" i="28" s="1"/>
  <c r="H700" i="28" s="1"/>
  <c r="G179" i="28"/>
  <c r="I179" i="28"/>
  <c r="A181" i="28"/>
  <c r="J181" i="28" s="1"/>
  <c r="D180" i="28"/>
  <c r="F180" i="28" s="1"/>
  <c r="H180" i="28" s="1"/>
  <c r="J285" i="28" l="1"/>
  <c r="A286" i="28"/>
  <c r="D285" i="28"/>
  <c r="F285" i="28" s="1"/>
  <c r="H285" i="28" s="1"/>
  <c r="I284" i="28"/>
  <c r="G284" i="28"/>
  <c r="L56" i="27"/>
  <c r="J57" i="27"/>
  <c r="I596" i="28"/>
  <c r="G596" i="28"/>
  <c r="A910" i="28"/>
  <c r="J910" i="28" s="1"/>
  <c r="D909" i="28"/>
  <c r="F909" i="28" s="1"/>
  <c r="H909" i="28" s="1"/>
  <c r="A598" i="28"/>
  <c r="J598" i="28" s="1"/>
  <c r="D597" i="28"/>
  <c r="F597" i="28" s="1"/>
  <c r="H597" i="28" s="1"/>
  <c r="G1012" i="28"/>
  <c r="I1012" i="28"/>
  <c r="G492" i="28"/>
  <c r="I492" i="28"/>
  <c r="I388" i="28"/>
  <c r="G388" i="28"/>
  <c r="A390" i="28"/>
  <c r="J390" i="28" s="1"/>
  <c r="D389" i="28"/>
  <c r="F389" i="28" s="1"/>
  <c r="H389" i="28" s="1"/>
  <c r="A494" i="28"/>
  <c r="J494" i="28" s="1"/>
  <c r="D493" i="28"/>
  <c r="F493" i="28" s="1"/>
  <c r="H493" i="28" s="1"/>
  <c r="G805" i="28"/>
  <c r="I805" i="28"/>
  <c r="G700" i="28"/>
  <c r="I700" i="28"/>
  <c r="G908" i="28"/>
  <c r="I908" i="28"/>
  <c r="A1014" i="28"/>
  <c r="J1014" i="28" s="1"/>
  <c r="D1013" i="28"/>
  <c r="F1013" i="28" s="1"/>
  <c r="H1013" i="28" s="1"/>
  <c r="A807" i="28"/>
  <c r="J807" i="28" s="1"/>
  <c r="D806" i="28"/>
  <c r="F806" i="28" s="1"/>
  <c r="H806" i="28" s="1"/>
  <c r="A702" i="28"/>
  <c r="J702" i="28" s="1"/>
  <c r="D701" i="28"/>
  <c r="F701" i="28" s="1"/>
  <c r="H701" i="28" s="1"/>
  <c r="A182" i="28"/>
  <c r="J182" i="28" s="1"/>
  <c r="D181" i="28"/>
  <c r="F181" i="28" s="1"/>
  <c r="H181" i="28" s="1"/>
  <c r="G180" i="28"/>
  <c r="I180" i="28"/>
  <c r="J286" i="28" l="1"/>
  <c r="A287" i="28"/>
  <c r="D286" i="28"/>
  <c r="F286" i="28" s="1"/>
  <c r="H286" i="28" s="1"/>
  <c r="G285" i="28"/>
  <c r="I285" i="28"/>
  <c r="J58" i="27"/>
  <c r="L57" i="27"/>
  <c r="G493" i="28"/>
  <c r="I493" i="28"/>
  <c r="A495" i="28"/>
  <c r="J495" i="28" s="1"/>
  <c r="D494" i="28"/>
  <c r="F494" i="28" s="1"/>
  <c r="H494" i="28" s="1"/>
  <c r="G597" i="28"/>
  <c r="I597" i="28"/>
  <c r="G389" i="28"/>
  <c r="I389" i="28"/>
  <c r="A703" i="28"/>
  <c r="J703" i="28" s="1"/>
  <c r="D702" i="28"/>
  <c r="F702" i="28" s="1"/>
  <c r="H702" i="28" s="1"/>
  <c r="A391" i="28"/>
  <c r="J391" i="28" s="1"/>
  <c r="D390" i="28"/>
  <c r="F390" i="28" s="1"/>
  <c r="H390" i="28" s="1"/>
  <c r="A599" i="28"/>
  <c r="J599" i="28" s="1"/>
  <c r="D598" i="28"/>
  <c r="F598" i="28" s="1"/>
  <c r="H598" i="28" s="1"/>
  <c r="I909" i="28"/>
  <c r="G909" i="28"/>
  <c r="A808" i="28"/>
  <c r="J808" i="28" s="1"/>
  <c r="D807" i="28"/>
  <c r="F807" i="28" s="1"/>
  <c r="H807" i="28" s="1"/>
  <c r="A911" i="28"/>
  <c r="J911" i="28" s="1"/>
  <c r="D910" i="28"/>
  <c r="F910" i="28" s="1"/>
  <c r="H910" i="28" s="1"/>
  <c r="G806" i="28"/>
  <c r="I806" i="28"/>
  <c r="G1013" i="28"/>
  <c r="I1013" i="28"/>
  <c r="G701" i="28"/>
  <c r="I701" i="28"/>
  <c r="A1015" i="28"/>
  <c r="J1015" i="28" s="1"/>
  <c r="D1014" i="28"/>
  <c r="F1014" i="28" s="1"/>
  <c r="H1014" i="28" s="1"/>
  <c r="G181" i="28"/>
  <c r="I181" i="28"/>
  <c r="A183" i="28"/>
  <c r="J183" i="28" s="1"/>
  <c r="D182" i="28"/>
  <c r="F182" i="28" s="1"/>
  <c r="H182" i="28" s="1"/>
  <c r="I286" i="28" l="1"/>
  <c r="G286" i="28"/>
  <c r="L58" i="27"/>
  <c r="J287" i="28"/>
  <c r="D287" i="28"/>
  <c r="F287" i="28" s="1"/>
  <c r="H287" i="28" s="1"/>
  <c r="A288" i="28"/>
  <c r="J59" i="27"/>
  <c r="I910" i="28"/>
  <c r="G910" i="28"/>
  <c r="I390" i="28"/>
  <c r="G390" i="28"/>
  <c r="A912" i="28"/>
  <c r="J912" i="28" s="1"/>
  <c r="D911" i="28"/>
  <c r="F911" i="28" s="1"/>
  <c r="H911" i="28" s="1"/>
  <c r="A392" i="28"/>
  <c r="J392" i="28" s="1"/>
  <c r="D391" i="28"/>
  <c r="F391" i="28" s="1"/>
  <c r="H391" i="28" s="1"/>
  <c r="I1014" i="28"/>
  <c r="G1014" i="28"/>
  <c r="G807" i="28"/>
  <c r="I807" i="28"/>
  <c r="A809" i="28"/>
  <c r="J809" i="28" s="1"/>
  <c r="D808" i="28"/>
  <c r="F808" i="28" s="1"/>
  <c r="H808" i="28" s="1"/>
  <c r="G702" i="28"/>
  <c r="I702" i="28"/>
  <c r="G494" i="28"/>
  <c r="I494" i="28"/>
  <c r="A704" i="28"/>
  <c r="J704" i="28" s="1"/>
  <c r="D703" i="28"/>
  <c r="F703" i="28" s="1"/>
  <c r="H703" i="28" s="1"/>
  <c r="A496" i="28"/>
  <c r="J496" i="28" s="1"/>
  <c r="D495" i="28"/>
  <c r="F495" i="28" s="1"/>
  <c r="H495" i="28" s="1"/>
  <c r="A1016" i="28"/>
  <c r="J1016" i="28" s="1"/>
  <c r="D1015" i="28"/>
  <c r="F1015" i="28" s="1"/>
  <c r="H1015" i="28" s="1"/>
  <c r="G598" i="28"/>
  <c r="I598" i="28"/>
  <c r="A600" i="28"/>
  <c r="J600" i="28" s="1"/>
  <c r="D599" i="28"/>
  <c r="F599" i="28" s="1"/>
  <c r="H599" i="28" s="1"/>
  <c r="I182" i="28"/>
  <c r="G182" i="28"/>
  <c r="A184" i="28"/>
  <c r="J184" i="28" s="1"/>
  <c r="D183" i="28"/>
  <c r="F183" i="28" s="1"/>
  <c r="H183" i="28" s="1"/>
  <c r="J288" i="28" l="1"/>
  <c r="A289" i="28"/>
  <c r="D288" i="28"/>
  <c r="F288" i="28" s="1"/>
  <c r="H288" i="28" s="1"/>
  <c r="G287" i="28"/>
  <c r="I287" i="28"/>
  <c r="L59" i="27"/>
  <c r="J60" i="27"/>
  <c r="G808" i="28"/>
  <c r="I808" i="28"/>
  <c r="G391" i="28"/>
  <c r="I391" i="28"/>
  <c r="A601" i="28"/>
  <c r="J601" i="28" s="1"/>
  <c r="D600" i="28"/>
  <c r="F600" i="28" s="1"/>
  <c r="H600" i="28" s="1"/>
  <c r="A705" i="28"/>
  <c r="J705" i="28" s="1"/>
  <c r="D704" i="28"/>
  <c r="F704" i="28" s="1"/>
  <c r="H704" i="28" s="1"/>
  <c r="A810" i="28"/>
  <c r="J810" i="28" s="1"/>
  <c r="D809" i="28"/>
  <c r="F809" i="28" s="1"/>
  <c r="H809" i="28" s="1"/>
  <c r="A393" i="28"/>
  <c r="J393" i="28" s="1"/>
  <c r="D392" i="28"/>
  <c r="F392" i="28" s="1"/>
  <c r="H392" i="28" s="1"/>
  <c r="G911" i="28"/>
  <c r="I911" i="28"/>
  <c r="A913" i="28"/>
  <c r="J913" i="28" s="1"/>
  <c r="D912" i="28"/>
  <c r="F912" i="28" s="1"/>
  <c r="H912" i="28" s="1"/>
  <c r="G703" i="28"/>
  <c r="I703" i="28"/>
  <c r="A1017" i="28"/>
  <c r="J1017" i="28" s="1"/>
  <c r="D1016" i="28"/>
  <c r="F1016" i="28" s="1"/>
  <c r="H1016" i="28" s="1"/>
  <c r="G599" i="28"/>
  <c r="I599" i="28"/>
  <c r="G1015" i="28"/>
  <c r="I1015" i="28"/>
  <c r="I495" i="28"/>
  <c r="G495" i="28"/>
  <c r="A497" i="28"/>
  <c r="J497" i="28" s="1"/>
  <c r="D496" i="28"/>
  <c r="F496" i="28" s="1"/>
  <c r="H496" i="28" s="1"/>
  <c r="A185" i="28"/>
  <c r="J185" i="28" s="1"/>
  <c r="D184" i="28"/>
  <c r="F184" i="28" s="1"/>
  <c r="H184" i="28" s="1"/>
  <c r="G183" i="28"/>
  <c r="I183" i="28"/>
  <c r="G288" i="28" l="1"/>
  <c r="I288" i="28"/>
  <c r="J289" i="28"/>
  <c r="D289" i="28"/>
  <c r="F289" i="28" s="1"/>
  <c r="H289" i="28" s="1"/>
  <c r="A290" i="28"/>
  <c r="J61" i="27"/>
  <c r="L60" i="27"/>
  <c r="A706" i="28"/>
  <c r="J706" i="28" s="1"/>
  <c r="D705" i="28"/>
  <c r="F705" i="28" s="1"/>
  <c r="H705" i="28" s="1"/>
  <c r="I600" i="28"/>
  <c r="G600" i="28"/>
  <c r="I704" i="28"/>
  <c r="G704" i="28"/>
  <c r="A498" i="28"/>
  <c r="J498" i="28" s="1"/>
  <c r="D497" i="28"/>
  <c r="F497" i="28" s="1"/>
  <c r="H497" i="28" s="1"/>
  <c r="A602" i="28"/>
  <c r="J602" i="28" s="1"/>
  <c r="D601" i="28"/>
  <c r="F601" i="28" s="1"/>
  <c r="H601" i="28" s="1"/>
  <c r="G496" i="28"/>
  <c r="I496" i="28"/>
  <c r="G1016" i="28"/>
  <c r="I1016" i="28"/>
  <c r="G392" i="28"/>
  <c r="I392" i="28"/>
  <c r="A1018" i="28"/>
  <c r="J1018" i="28" s="1"/>
  <c r="D1017" i="28"/>
  <c r="F1017" i="28" s="1"/>
  <c r="H1017" i="28" s="1"/>
  <c r="A394" i="28"/>
  <c r="J394" i="28" s="1"/>
  <c r="D393" i="28"/>
  <c r="F393" i="28" s="1"/>
  <c r="H393" i="28" s="1"/>
  <c r="G809" i="28"/>
  <c r="I809" i="28"/>
  <c r="G912" i="28"/>
  <c r="I912" i="28"/>
  <c r="A914" i="28"/>
  <c r="J914" i="28" s="1"/>
  <c r="D913" i="28"/>
  <c r="F913" i="28" s="1"/>
  <c r="H913" i="28" s="1"/>
  <c r="A811" i="28"/>
  <c r="J811" i="28" s="1"/>
  <c r="D810" i="28"/>
  <c r="F810" i="28" s="1"/>
  <c r="H810" i="28" s="1"/>
  <c r="G184" i="28"/>
  <c r="I184" i="28"/>
  <c r="A186" i="28"/>
  <c r="J186" i="28" s="1"/>
  <c r="D185" i="28"/>
  <c r="F185" i="28" s="1"/>
  <c r="H185" i="28" s="1"/>
  <c r="J290" i="28" l="1"/>
  <c r="D290" i="28"/>
  <c r="F290" i="28" s="1"/>
  <c r="H290" i="28" s="1"/>
  <c r="A291" i="28"/>
  <c r="G289" i="28"/>
  <c r="I289" i="28"/>
  <c r="L61" i="27"/>
  <c r="J62" i="27"/>
  <c r="G393" i="28"/>
  <c r="I393" i="28"/>
  <c r="A395" i="28"/>
  <c r="J395" i="28" s="1"/>
  <c r="D394" i="28"/>
  <c r="F394" i="28" s="1"/>
  <c r="H394" i="28" s="1"/>
  <c r="G810" i="28"/>
  <c r="I810" i="28"/>
  <c r="G601" i="28"/>
  <c r="I601" i="28"/>
  <c r="I1017" i="28"/>
  <c r="G1017" i="28"/>
  <c r="A915" i="28"/>
  <c r="J915" i="28" s="1"/>
  <c r="D914" i="28"/>
  <c r="F914" i="28" s="1"/>
  <c r="H914" i="28" s="1"/>
  <c r="A1019" i="28"/>
  <c r="J1019" i="28" s="1"/>
  <c r="D1018" i="28"/>
  <c r="F1018" i="28" s="1"/>
  <c r="H1018" i="28" s="1"/>
  <c r="A603" i="28"/>
  <c r="J603" i="28" s="1"/>
  <c r="D602" i="28"/>
  <c r="F602" i="28" s="1"/>
  <c r="H602" i="28" s="1"/>
  <c r="G497" i="28"/>
  <c r="I497" i="28"/>
  <c r="A812" i="28"/>
  <c r="J812" i="28" s="1"/>
  <c r="D811" i="28"/>
  <c r="F811" i="28" s="1"/>
  <c r="H811" i="28" s="1"/>
  <c r="A499" i="28"/>
  <c r="J499" i="28" s="1"/>
  <c r="D498" i="28"/>
  <c r="F498" i="28" s="1"/>
  <c r="H498" i="28" s="1"/>
  <c r="C26" i="29" s="1"/>
  <c r="G705" i="28"/>
  <c r="I705" i="28"/>
  <c r="G913" i="28"/>
  <c r="I913" i="28"/>
  <c r="A707" i="28"/>
  <c r="J707" i="28" s="1"/>
  <c r="D706" i="28"/>
  <c r="F706" i="28" s="1"/>
  <c r="H706" i="28" s="1"/>
  <c r="A187" i="28"/>
  <c r="J187" i="28" s="1"/>
  <c r="D186" i="28"/>
  <c r="F186" i="28" s="1"/>
  <c r="H186" i="28" s="1"/>
  <c r="G185" i="28"/>
  <c r="I185" i="28"/>
  <c r="J291" i="28" l="1"/>
  <c r="D291" i="28"/>
  <c r="F291" i="28" s="1"/>
  <c r="H291" i="28" s="1"/>
  <c r="A292" i="28"/>
  <c r="G290" i="28"/>
  <c r="I290" i="28"/>
  <c r="L62" i="27"/>
  <c r="J63" i="27"/>
  <c r="G602" i="28"/>
  <c r="I602" i="28"/>
  <c r="A604" i="28"/>
  <c r="J604" i="28" s="1"/>
  <c r="D603" i="28"/>
  <c r="F603" i="28" s="1"/>
  <c r="H603" i="28" s="1"/>
  <c r="G706" i="28"/>
  <c r="I706" i="28"/>
  <c r="G1018" i="28"/>
  <c r="I1018" i="28"/>
  <c r="G498" i="28"/>
  <c r="B26" i="29" s="1"/>
  <c r="F26" i="29" s="1"/>
  <c r="I498" i="28"/>
  <c r="D26" i="29" s="1"/>
  <c r="A500" i="28"/>
  <c r="J500" i="28" s="1"/>
  <c r="D499" i="28"/>
  <c r="F499" i="28" s="1"/>
  <c r="H499" i="28" s="1"/>
  <c r="C27" i="29" s="1"/>
  <c r="A1020" i="28"/>
  <c r="J1020" i="28" s="1"/>
  <c r="D1019" i="28"/>
  <c r="F1019" i="28" s="1"/>
  <c r="H1019" i="28" s="1"/>
  <c r="G811" i="28"/>
  <c r="I811" i="28"/>
  <c r="G394" i="28"/>
  <c r="I394" i="28"/>
  <c r="A813" i="28"/>
  <c r="J813" i="28" s="1"/>
  <c r="D812" i="28"/>
  <c r="F812" i="28" s="1"/>
  <c r="H812" i="28" s="1"/>
  <c r="A916" i="28"/>
  <c r="J916" i="28" s="1"/>
  <c r="D915" i="28"/>
  <c r="F915" i="28" s="1"/>
  <c r="H915" i="28" s="1"/>
  <c r="A396" i="28"/>
  <c r="J396" i="28" s="1"/>
  <c r="D395" i="28"/>
  <c r="F395" i="28" s="1"/>
  <c r="H395" i="28" s="1"/>
  <c r="A708" i="28"/>
  <c r="J708" i="28" s="1"/>
  <c r="D707" i="28"/>
  <c r="F707" i="28" s="1"/>
  <c r="H707" i="28" s="1"/>
  <c r="I914" i="28"/>
  <c r="G914" i="28"/>
  <c r="G186" i="28"/>
  <c r="I186" i="28"/>
  <c r="A188" i="28"/>
  <c r="J188" i="28" s="1"/>
  <c r="D187" i="28"/>
  <c r="F187" i="28" s="1"/>
  <c r="H187" i="28" s="1"/>
  <c r="J292" i="28" l="1"/>
  <c r="D292" i="28"/>
  <c r="F292" i="28" s="1"/>
  <c r="H292" i="28" s="1"/>
  <c r="A293" i="28"/>
  <c r="G291" i="28"/>
  <c r="I291" i="28"/>
  <c r="L63" i="27"/>
  <c r="L65" i="27" s="1"/>
  <c r="I812" i="28"/>
  <c r="G812" i="28"/>
  <c r="I1019" i="28"/>
  <c r="G1019" i="28"/>
  <c r="A1021" i="28"/>
  <c r="J1021" i="28" s="1"/>
  <c r="D1020" i="28"/>
  <c r="F1020" i="28" s="1"/>
  <c r="H1020" i="28" s="1"/>
  <c r="I499" i="28"/>
  <c r="D27" i="29" s="1"/>
  <c r="G499" i="28"/>
  <c r="B27" i="29" s="1"/>
  <c r="F27" i="29" s="1"/>
  <c r="G707" i="28"/>
  <c r="I707" i="28"/>
  <c r="A709" i="28"/>
  <c r="J709" i="28" s="1"/>
  <c r="D708" i="28"/>
  <c r="F708" i="28" s="1"/>
  <c r="H708" i="28" s="1"/>
  <c r="A501" i="28"/>
  <c r="J501" i="28" s="1"/>
  <c r="D500" i="28"/>
  <c r="F500" i="28" s="1"/>
  <c r="H500" i="28" s="1"/>
  <c r="C28" i="29" s="1"/>
  <c r="A814" i="28"/>
  <c r="J814" i="28" s="1"/>
  <c r="D813" i="28"/>
  <c r="F813" i="28" s="1"/>
  <c r="H813" i="28" s="1"/>
  <c r="I603" i="28"/>
  <c r="G603" i="28"/>
  <c r="A397" i="28"/>
  <c r="J397" i="28" s="1"/>
  <c r="D396" i="28"/>
  <c r="F396" i="28" s="1"/>
  <c r="H396" i="28" s="1"/>
  <c r="A605" i="28"/>
  <c r="J605" i="28" s="1"/>
  <c r="D604" i="28"/>
  <c r="F604" i="28" s="1"/>
  <c r="H604" i="28" s="1"/>
  <c r="G915" i="28"/>
  <c r="I915" i="28"/>
  <c r="I395" i="28"/>
  <c r="G395" i="28"/>
  <c r="A917" i="28"/>
  <c r="J917" i="28" s="1"/>
  <c r="D916" i="28"/>
  <c r="F916" i="28" s="1"/>
  <c r="H916" i="28" s="1"/>
  <c r="A189" i="28"/>
  <c r="J189" i="28" s="1"/>
  <c r="D188" i="28"/>
  <c r="F188" i="28" s="1"/>
  <c r="H188" i="28" s="1"/>
  <c r="G187" i="28"/>
  <c r="I187" i="28"/>
  <c r="I292" i="28" l="1"/>
  <c r="G292" i="28"/>
  <c r="J293" i="28"/>
  <c r="A294" i="28"/>
  <c r="D293" i="28"/>
  <c r="F293" i="28" s="1"/>
  <c r="H293" i="28" s="1"/>
  <c r="G813" i="28"/>
  <c r="I813" i="28"/>
  <c r="G916" i="28"/>
  <c r="I916" i="28"/>
  <c r="A815" i="28"/>
  <c r="J815" i="28" s="1"/>
  <c r="D814" i="28"/>
  <c r="F814" i="28" s="1"/>
  <c r="H814" i="28" s="1"/>
  <c r="G500" i="28"/>
  <c r="B28" i="29" s="1"/>
  <c r="F28" i="29" s="1"/>
  <c r="I500" i="28"/>
  <c r="D28" i="29" s="1"/>
  <c r="G1020" i="28"/>
  <c r="I1020" i="28"/>
  <c r="I396" i="28"/>
  <c r="G396" i="28"/>
  <c r="A398" i="28"/>
  <c r="J398" i="28" s="1"/>
  <c r="D397" i="28"/>
  <c r="F397" i="28" s="1"/>
  <c r="H397" i="28" s="1"/>
  <c r="A502" i="28"/>
  <c r="J502" i="28" s="1"/>
  <c r="D501" i="28"/>
  <c r="F501" i="28" s="1"/>
  <c r="H501" i="28" s="1"/>
  <c r="C29" i="29" s="1"/>
  <c r="A1022" i="28"/>
  <c r="J1022" i="28" s="1"/>
  <c r="D1021" i="28"/>
  <c r="F1021" i="28" s="1"/>
  <c r="H1021" i="28" s="1"/>
  <c r="A918" i="28"/>
  <c r="J918" i="28" s="1"/>
  <c r="D917" i="28"/>
  <c r="F917" i="28" s="1"/>
  <c r="H917" i="28" s="1"/>
  <c r="G708" i="28"/>
  <c r="I708" i="28"/>
  <c r="A710" i="28"/>
  <c r="J710" i="28" s="1"/>
  <c r="D709" i="28"/>
  <c r="F709" i="28" s="1"/>
  <c r="H709" i="28" s="1"/>
  <c r="I604" i="28"/>
  <c r="G604" i="28"/>
  <c r="A606" i="28"/>
  <c r="J606" i="28" s="1"/>
  <c r="D605" i="28"/>
  <c r="F605" i="28" s="1"/>
  <c r="H605" i="28" s="1"/>
  <c r="G188" i="28"/>
  <c r="I188" i="28"/>
  <c r="A190" i="28"/>
  <c r="J190" i="28" s="1"/>
  <c r="D189" i="28"/>
  <c r="F189" i="28" s="1"/>
  <c r="H189" i="28" s="1"/>
  <c r="G293" i="28" l="1"/>
  <c r="I293" i="28"/>
  <c r="J294" i="28"/>
  <c r="D294" i="28"/>
  <c r="F294" i="28" s="1"/>
  <c r="H294" i="28" s="1"/>
  <c r="A295" i="28"/>
  <c r="G917" i="28"/>
  <c r="I917" i="28"/>
  <c r="G1021" i="28"/>
  <c r="I1021" i="28"/>
  <c r="G605" i="28"/>
  <c r="I605" i="28"/>
  <c r="A919" i="28"/>
  <c r="J919" i="28" s="1"/>
  <c r="D918" i="28"/>
  <c r="F918" i="28" s="1"/>
  <c r="H918" i="28" s="1"/>
  <c r="A1023" i="28"/>
  <c r="J1023" i="28" s="1"/>
  <c r="D1022" i="28"/>
  <c r="F1022" i="28" s="1"/>
  <c r="H1022" i="28" s="1"/>
  <c r="G709" i="28"/>
  <c r="I709" i="28"/>
  <c r="G501" i="28"/>
  <c r="B29" i="29" s="1"/>
  <c r="F29" i="29" s="1"/>
  <c r="I501" i="28"/>
  <c r="D29" i="29" s="1"/>
  <c r="A503" i="28"/>
  <c r="J503" i="28" s="1"/>
  <c r="D502" i="28"/>
  <c r="F502" i="28" s="1"/>
  <c r="H502" i="28" s="1"/>
  <c r="C30" i="29" s="1"/>
  <c r="I397" i="28"/>
  <c r="G397" i="28"/>
  <c r="G814" i="28"/>
  <c r="I814" i="28"/>
  <c r="A607" i="28"/>
  <c r="J607" i="28" s="1"/>
  <c r="D606" i="28"/>
  <c r="F606" i="28" s="1"/>
  <c r="H606" i="28" s="1"/>
  <c r="A711" i="28"/>
  <c r="J711" i="28" s="1"/>
  <c r="D710" i="28"/>
  <c r="F710" i="28" s="1"/>
  <c r="H710" i="28" s="1"/>
  <c r="A399" i="28"/>
  <c r="J399" i="28" s="1"/>
  <c r="D398" i="28"/>
  <c r="F398" i="28" s="1"/>
  <c r="H398" i="28" s="1"/>
  <c r="A816" i="28"/>
  <c r="J816" i="28" s="1"/>
  <c r="D815" i="28"/>
  <c r="F815" i="28" s="1"/>
  <c r="H815" i="28" s="1"/>
  <c r="A191" i="28"/>
  <c r="J191" i="28" s="1"/>
  <c r="D190" i="28"/>
  <c r="F190" i="28" s="1"/>
  <c r="H190" i="28" s="1"/>
  <c r="G189" i="28"/>
  <c r="I189" i="28"/>
  <c r="J295" i="28" l="1"/>
  <c r="A296" i="28"/>
  <c r="D295" i="28"/>
  <c r="F295" i="28" s="1"/>
  <c r="H295" i="28" s="1"/>
  <c r="I294" i="28"/>
  <c r="G294" i="28"/>
  <c r="A817" i="28"/>
  <c r="J817" i="28" s="1"/>
  <c r="D816" i="28"/>
  <c r="F816" i="28" s="1"/>
  <c r="H816" i="28" s="1"/>
  <c r="G1022" i="28"/>
  <c r="I1022" i="28"/>
  <c r="A400" i="28"/>
  <c r="J400" i="28" s="1"/>
  <c r="D399" i="28"/>
  <c r="F399" i="28" s="1"/>
  <c r="H399" i="28" s="1"/>
  <c r="A1024" i="28"/>
  <c r="J1024" i="28" s="1"/>
  <c r="D1023" i="28"/>
  <c r="F1023" i="28" s="1"/>
  <c r="H1023" i="28" s="1"/>
  <c r="I918" i="28"/>
  <c r="G918" i="28"/>
  <c r="I502" i="28"/>
  <c r="D30" i="29" s="1"/>
  <c r="G502" i="28"/>
  <c r="B30" i="29" s="1"/>
  <c r="F30" i="29" s="1"/>
  <c r="A712" i="28"/>
  <c r="J712" i="28" s="1"/>
  <c r="D711" i="28"/>
  <c r="F711" i="28" s="1"/>
  <c r="H711" i="28" s="1"/>
  <c r="A504" i="28"/>
  <c r="J504" i="28" s="1"/>
  <c r="D503" i="28"/>
  <c r="F503" i="28" s="1"/>
  <c r="H503" i="28" s="1"/>
  <c r="C31" i="29" s="1"/>
  <c r="A920" i="28"/>
  <c r="J920" i="28" s="1"/>
  <c r="D919" i="28"/>
  <c r="F919" i="28" s="1"/>
  <c r="H919" i="28" s="1"/>
  <c r="I398" i="28"/>
  <c r="G398" i="28"/>
  <c r="G606" i="28"/>
  <c r="I606" i="28"/>
  <c r="G815" i="28"/>
  <c r="I815" i="28"/>
  <c r="G710" i="28"/>
  <c r="I710" i="28"/>
  <c r="A608" i="28"/>
  <c r="J608" i="28" s="1"/>
  <c r="D607" i="28"/>
  <c r="F607" i="28" s="1"/>
  <c r="H607" i="28" s="1"/>
  <c r="I190" i="28"/>
  <c r="G190" i="28"/>
  <c r="A192" i="28"/>
  <c r="J192" i="28" s="1"/>
  <c r="D191" i="28"/>
  <c r="F191" i="28" s="1"/>
  <c r="H191" i="28" s="1"/>
  <c r="I295" i="28" l="1"/>
  <c r="G295" i="28"/>
  <c r="J296" i="28"/>
  <c r="A297" i="28"/>
  <c r="D296" i="28"/>
  <c r="F296" i="28" s="1"/>
  <c r="H296" i="28" s="1"/>
  <c r="G399" i="28"/>
  <c r="I399" i="28"/>
  <c r="A609" i="28"/>
  <c r="J609" i="28" s="1"/>
  <c r="D608" i="28"/>
  <c r="F608" i="28" s="1"/>
  <c r="H608" i="28" s="1"/>
  <c r="A401" i="28"/>
  <c r="J401" i="28" s="1"/>
  <c r="D400" i="28"/>
  <c r="F400" i="28" s="1"/>
  <c r="H400" i="28" s="1"/>
  <c r="G919" i="28"/>
  <c r="I919" i="28"/>
  <c r="A921" i="28"/>
  <c r="J921" i="28" s="1"/>
  <c r="D920" i="28"/>
  <c r="F920" i="28" s="1"/>
  <c r="H920" i="28" s="1"/>
  <c r="G607" i="28"/>
  <c r="I607" i="28"/>
  <c r="I503" i="28"/>
  <c r="D31" i="29" s="1"/>
  <c r="G503" i="28"/>
  <c r="B31" i="29" s="1"/>
  <c r="F31" i="29" s="1"/>
  <c r="A505" i="28"/>
  <c r="J505" i="28" s="1"/>
  <c r="D504" i="28"/>
  <c r="F504" i="28" s="1"/>
  <c r="H504" i="28" s="1"/>
  <c r="C32" i="29" s="1"/>
  <c r="G1023" i="28"/>
  <c r="I1023" i="28"/>
  <c r="I816" i="28"/>
  <c r="G816" i="28"/>
  <c r="I711" i="28"/>
  <c r="G711" i="28"/>
  <c r="A713" i="28"/>
  <c r="J713" i="28" s="1"/>
  <c r="D712" i="28"/>
  <c r="F712" i="28" s="1"/>
  <c r="H712" i="28" s="1"/>
  <c r="A1025" i="28"/>
  <c r="J1025" i="28" s="1"/>
  <c r="D1024" i="28"/>
  <c r="F1024" i="28" s="1"/>
  <c r="H1024" i="28" s="1"/>
  <c r="A818" i="28"/>
  <c r="J818" i="28" s="1"/>
  <c r="D817" i="28"/>
  <c r="F817" i="28" s="1"/>
  <c r="H817" i="28" s="1"/>
  <c r="G191" i="28"/>
  <c r="I191" i="28"/>
  <c r="A193" i="28"/>
  <c r="J193" i="28" s="1"/>
  <c r="D192" i="28"/>
  <c r="F192" i="28" s="1"/>
  <c r="H192" i="28" s="1"/>
  <c r="I19" i="29" l="1"/>
  <c r="C15" i="29"/>
  <c r="J15" i="29"/>
  <c r="J16" i="29"/>
  <c r="I14" i="29"/>
  <c r="I12" i="29"/>
  <c r="I16" i="29"/>
  <c r="J13" i="29"/>
  <c r="I15" i="29"/>
  <c r="I13" i="29"/>
  <c r="J12" i="29"/>
  <c r="I18" i="29"/>
  <c r="I17" i="29"/>
  <c r="J14" i="29"/>
  <c r="J17" i="29"/>
  <c r="K31" i="27"/>
  <c r="C17" i="29"/>
  <c r="K30" i="27"/>
  <c r="C14" i="29"/>
  <c r="G13" i="27"/>
  <c r="G14" i="27"/>
  <c r="D15" i="29"/>
  <c r="C16" i="29"/>
  <c r="D17" i="29"/>
  <c r="C19" i="29"/>
  <c r="G11" i="27"/>
  <c r="D14" i="29"/>
  <c r="K25" i="27"/>
  <c r="G9" i="27"/>
  <c r="G10" i="27"/>
  <c r="G15" i="27"/>
  <c r="G16" i="27"/>
  <c r="K26" i="27"/>
  <c r="D13" i="29"/>
  <c r="C12" i="29"/>
  <c r="D18" i="29"/>
  <c r="D12" i="29"/>
  <c r="G12" i="27"/>
  <c r="D16" i="29"/>
  <c r="K29" i="27"/>
  <c r="C13" i="29"/>
  <c r="K27" i="27"/>
  <c r="K24" i="27"/>
  <c r="C18" i="29"/>
  <c r="K28" i="27"/>
  <c r="J18" i="29"/>
  <c r="D19" i="29"/>
  <c r="C40" i="27"/>
  <c r="J19" i="29"/>
  <c r="O41" i="27"/>
  <c r="G296" i="28"/>
  <c r="I296" i="28"/>
  <c r="J297" i="28"/>
  <c r="O42" i="27" s="1"/>
  <c r="A298" i="28"/>
  <c r="D297" i="28"/>
  <c r="F297" i="28" s="1"/>
  <c r="H297" i="28" s="1"/>
  <c r="A819" i="28"/>
  <c r="J819" i="28" s="1"/>
  <c r="D818" i="28"/>
  <c r="F818" i="28" s="1"/>
  <c r="H818" i="28" s="1"/>
  <c r="I400" i="28"/>
  <c r="G400" i="28"/>
  <c r="I1024" i="28"/>
  <c r="G1024" i="28"/>
  <c r="A1026" i="28"/>
  <c r="J1026" i="28" s="1"/>
  <c r="D1025" i="28"/>
  <c r="F1025" i="28" s="1"/>
  <c r="H1025" i="28" s="1"/>
  <c r="A402" i="28"/>
  <c r="J402" i="28" s="1"/>
  <c r="D401" i="28"/>
  <c r="F401" i="28" s="1"/>
  <c r="H401" i="28" s="1"/>
  <c r="I608" i="28"/>
  <c r="G608" i="28"/>
  <c r="I712" i="28"/>
  <c r="O46" i="27" s="1"/>
  <c r="G712" i="28"/>
  <c r="A714" i="28"/>
  <c r="J714" i="28" s="1"/>
  <c r="D713" i="28"/>
  <c r="F713" i="28" s="1"/>
  <c r="H713" i="28" s="1"/>
  <c r="A610" i="28"/>
  <c r="J610" i="28" s="1"/>
  <c r="D609" i="28"/>
  <c r="F609" i="28" s="1"/>
  <c r="H609" i="28" s="1"/>
  <c r="G920" i="28"/>
  <c r="I920" i="28"/>
  <c r="I817" i="28"/>
  <c r="G817" i="28"/>
  <c r="G504" i="28"/>
  <c r="B32" i="29" s="1"/>
  <c r="F32" i="29" s="1"/>
  <c r="I504" i="28"/>
  <c r="D32" i="29" s="1"/>
  <c r="A506" i="28"/>
  <c r="J506" i="28" s="1"/>
  <c r="D505" i="28"/>
  <c r="F505" i="28" s="1"/>
  <c r="H505" i="28" s="1"/>
  <c r="C33" i="29" s="1"/>
  <c r="A922" i="28"/>
  <c r="J922" i="28" s="1"/>
  <c r="D921" i="28"/>
  <c r="F921" i="28" s="1"/>
  <c r="H921" i="28" s="1"/>
  <c r="A194" i="28"/>
  <c r="J194" i="28" s="1"/>
  <c r="D193" i="28"/>
  <c r="F193" i="28" s="1"/>
  <c r="H193" i="28" s="1"/>
  <c r="G192" i="28"/>
  <c r="I192" i="28"/>
  <c r="G42" i="27" l="1"/>
  <c r="B42" i="27"/>
  <c r="G44" i="27"/>
  <c r="K43" i="27"/>
  <c r="K10" i="27"/>
  <c r="G30" i="27"/>
  <c r="O12" i="27"/>
  <c r="G62" i="27"/>
  <c r="O13" i="27"/>
  <c r="G40" i="27"/>
  <c r="O31" i="27"/>
  <c r="O25" i="27"/>
  <c r="O28" i="27"/>
  <c r="G24" i="27"/>
  <c r="G58" i="27"/>
  <c r="C46" i="27"/>
  <c r="G60" i="27"/>
  <c r="O27" i="27"/>
  <c r="O56" i="27"/>
  <c r="K44" i="27"/>
  <c r="G46" i="27"/>
  <c r="K40" i="27"/>
  <c r="O63" i="27"/>
  <c r="B44" i="27"/>
  <c r="G61" i="27"/>
  <c r="O14" i="27"/>
  <c r="G57" i="27"/>
  <c r="G63" i="27"/>
  <c r="K15" i="27"/>
  <c r="C43" i="27"/>
  <c r="G59" i="27"/>
  <c r="O24" i="27"/>
  <c r="B45" i="27"/>
  <c r="B46" i="27"/>
  <c r="O44" i="27"/>
  <c r="G41" i="27"/>
  <c r="C42" i="27"/>
  <c r="B43" i="27"/>
  <c r="G26" i="27"/>
  <c r="K14" i="27"/>
  <c r="K12" i="27"/>
  <c r="O15" i="27"/>
  <c r="O57" i="27"/>
  <c r="O43" i="27"/>
  <c r="O29" i="27"/>
  <c r="O16" i="27"/>
  <c r="K13" i="27"/>
  <c r="C47" i="27"/>
  <c r="B41" i="27"/>
  <c r="O58" i="27"/>
  <c r="K42" i="27"/>
  <c r="K41" i="27"/>
  <c r="O9" i="27"/>
  <c r="O62" i="27"/>
  <c r="O10" i="27"/>
  <c r="G28" i="27"/>
  <c r="B47" i="27"/>
  <c r="C45" i="27"/>
  <c r="C41" i="27"/>
  <c r="G43" i="27"/>
  <c r="K46" i="27"/>
  <c r="O40" i="27"/>
  <c r="K45" i="27"/>
  <c r="G29" i="27"/>
  <c r="G25" i="27"/>
  <c r="K16" i="27"/>
  <c r="O11" i="27"/>
  <c r="O26" i="27"/>
  <c r="G31" i="27"/>
  <c r="O30" i="27"/>
  <c r="O61" i="27"/>
  <c r="O59" i="27"/>
  <c r="O45" i="27"/>
  <c r="G45" i="27"/>
  <c r="K9" i="27"/>
  <c r="G56" i="27"/>
  <c r="K11" i="27"/>
  <c r="B40" i="27"/>
  <c r="D40" i="27" s="1"/>
  <c r="C44" i="27"/>
  <c r="G27" i="27"/>
  <c r="O60" i="27"/>
  <c r="I297" i="28"/>
  <c r="G297" i="28"/>
  <c r="J298" i="28"/>
  <c r="A299" i="28"/>
  <c r="D298" i="28"/>
  <c r="F298" i="28" s="1"/>
  <c r="H298" i="28" s="1"/>
  <c r="I1025" i="28"/>
  <c r="G1025" i="28"/>
  <c r="A923" i="28"/>
  <c r="J923" i="28" s="1"/>
  <c r="D922" i="28"/>
  <c r="F922" i="28" s="1"/>
  <c r="H922" i="28" s="1"/>
  <c r="A1027" i="28"/>
  <c r="J1027" i="28" s="1"/>
  <c r="D1026" i="28"/>
  <c r="F1026" i="28" s="1"/>
  <c r="H1026" i="28" s="1"/>
  <c r="G609" i="28"/>
  <c r="I609" i="28"/>
  <c r="G505" i="28"/>
  <c r="B33" i="29" s="1"/>
  <c r="F33" i="29" s="1"/>
  <c r="F35" i="29" s="1"/>
  <c r="O35" i="29" s="1"/>
  <c r="I505" i="28"/>
  <c r="A507" i="28"/>
  <c r="J507" i="28" s="1"/>
  <c r="D506" i="28"/>
  <c r="F506" i="28" s="1"/>
  <c r="H506" i="28" s="1"/>
  <c r="A611" i="28"/>
  <c r="J611" i="28" s="1"/>
  <c r="D610" i="28"/>
  <c r="F610" i="28" s="1"/>
  <c r="H610" i="28" s="1"/>
  <c r="G921" i="28"/>
  <c r="I921" i="28"/>
  <c r="K47" i="27" s="1"/>
  <c r="G713" i="28"/>
  <c r="I713" i="28"/>
  <c r="O47" i="27" s="1"/>
  <c r="G401" i="28"/>
  <c r="I401" i="28"/>
  <c r="G818" i="28"/>
  <c r="I818" i="28"/>
  <c r="A715" i="28"/>
  <c r="J715" i="28" s="1"/>
  <c r="D714" i="28"/>
  <c r="F714" i="28" s="1"/>
  <c r="H714" i="28" s="1"/>
  <c r="A403" i="28"/>
  <c r="J403" i="28" s="1"/>
  <c r="D402" i="28"/>
  <c r="F402" i="28" s="1"/>
  <c r="H402" i="28" s="1"/>
  <c r="A820" i="28"/>
  <c r="J820" i="28" s="1"/>
  <c r="D819" i="28"/>
  <c r="F819" i="28" s="1"/>
  <c r="H819" i="28" s="1"/>
  <c r="I193" i="28"/>
  <c r="G193" i="28"/>
  <c r="A195" i="28"/>
  <c r="J195" i="28" s="1"/>
  <c r="D194" i="28"/>
  <c r="F194" i="28" s="1"/>
  <c r="H194" i="28" s="1"/>
  <c r="G47" i="27" l="1"/>
  <c r="D33" i="29"/>
  <c r="D47" i="27"/>
  <c r="D46" i="27"/>
  <c r="D45" i="27"/>
  <c r="D43" i="27"/>
  <c r="D41" i="27"/>
  <c r="D44" i="27"/>
  <c r="D42" i="27"/>
  <c r="G298" i="28"/>
  <c r="I298" i="28"/>
  <c r="J299" i="28"/>
  <c r="A300" i="28"/>
  <c r="D299" i="28"/>
  <c r="F299" i="28" s="1"/>
  <c r="H299" i="28" s="1"/>
  <c r="G402" i="28"/>
  <c r="I402" i="28"/>
  <c r="G610" i="28"/>
  <c r="I610" i="28"/>
  <c r="G1026" i="28"/>
  <c r="I1026" i="28"/>
  <c r="A404" i="28"/>
  <c r="J404" i="28" s="1"/>
  <c r="D403" i="28"/>
  <c r="F403" i="28" s="1"/>
  <c r="H403" i="28" s="1"/>
  <c r="A612" i="28"/>
  <c r="J612" i="28" s="1"/>
  <c r="D611" i="28"/>
  <c r="F611" i="28" s="1"/>
  <c r="H611" i="28" s="1"/>
  <c r="A1028" i="28"/>
  <c r="J1028" i="28" s="1"/>
  <c r="D1027" i="28"/>
  <c r="F1027" i="28" s="1"/>
  <c r="H1027" i="28" s="1"/>
  <c r="A821" i="28"/>
  <c r="J821" i="28" s="1"/>
  <c r="D820" i="28"/>
  <c r="F820" i="28" s="1"/>
  <c r="H820" i="28" s="1"/>
  <c r="G506" i="28"/>
  <c r="I506" i="28"/>
  <c r="I922" i="28"/>
  <c r="G922" i="28"/>
  <c r="A716" i="28"/>
  <c r="J716" i="28" s="1"/>
  <c r="D715" i="28"/>
  <c r="F715" i="28" s="1"/>
  <c r="H715" i="28" s="1"/>
  <c r="A508" i="28"/>
  <c r="J508" i="28" s="1"/>
  <c r="D507" i="28"/>
  <c r="F507" i="28" s="1"/>
  <c r="H507" i="28" s="1"/>
  <c r="A924" i="28"/>
  <c r="J924" i="28" s="1"/>
  <c r="D923" i="28"/>
  <c r="F923" i="28" s="1"/>
  <c r="H923" i="28" s="1"/>
  <c r="G819" i="28"/>
  <c r="I819" i="28"/>
  <c r="G714" i="28"/>
  <c r="I714" i="28"/>
  <c r="G194" i="28"/>
  <c r="I194" i="28"/>
  <c r="A196" i="28"/>
  <c r="J196" i="28" s="1"/>
  <c r="D195" i="28"/>
  <c r="F195" i="28" s="1"/>
  <c r="H195" i="28" s="1"/>
  <c r="D49" i="27" l="1"/>
  <c r="I299" i="28"/>
  <c r="G299" i="28"/>
  <c r="J300" i="28"/>
  <c r="A301" i="28"/>
  <c r="D300" i="28"/>
  <c r="F300" i="28" s="1"/>
  <c r="H300" i="28" s="1"/>
  <c r="I507" i="28"/>
  <c r="G507" i="28"/>
  <c r="G403" i="28"/>
  <c r="I403" i="28"/>
  <c r="A509" i="28"/>
  <c r="J509" i="28" s="1"/>
  <c r="D508" i="28"/>
  <c r="F508" i="28" s="1"/>
  <c r="H508" i="28" s="1"/>
  <c r="A405" i="28"/>
  <c r="J405" i="28" s="1"/>
  <c r="D404" i="28"/>
  <c r="F404" i="28" s="1"/>
  <c r="H404" i="28" s="1"/>
  <c r="A822" i="28"/>
  <c r="J822" i="28" s="1"/>
  <c r="D821" i="28"/>
  <c r="F821" i="28" s="1"/>
  <c r="H821" i="28" s="1"/>
  <c r="I820" i="28"/>
  <c r="G820" i="28"/>
  <c r="G1027" i="28"/>
  <c r="I1027" i="28"/>
  <c r="A717" i="28"/>
  <c r="J717" i="28" s="1"/>
  <c r="D716" i="28"/>
  <c r="F716" i="28" s="1"/>
  <c r="H716" i="28" s="1"/>
  <c r="A1029" i="28"/>
  <c r="J1029" i="28" s="1"/>
  <c r="D1028" i="28"/>
  <c r="F1028" i="28" s="1"/>
  <c r="H1028" i="28" s="1"/>
  <c r="A925" i="28"/>
  <c r="J925" i="28" s="1"/>
  <c r="D924" i="28"/>
  <c r="F924" i="28" s="1"/>
  <c r="H924" i="28" s="1"/>
  <c r="G715" i="28"/>
  <c r="I715" i="28"/>
  <c r="I923" i="28"/>
  <c r="G923" i="28"/>
  <c r="G611" i="28"/>
  <c r="I611" i="28"/>
  <c r="A613" i="28"/>
  <c r="J613" i="28" s="1"/>
  <c r="D612" i="28"/>
  <c r="F612" i="28" s="1"/>
  <c r="H612" i="28" s="1"/>
  <c r="A197" i="28"/>
  <c r="J197" i="28" s="1"/>
  <c r="D196" i="28"/>
  <c r="F196" i="28" s="1"/>
  <c r="H196" i="28" s="1"/>
  <c r="G195" i="28"/>
  <c r="I195" i="28"/>
  <c r="G300" i="28" l="1"/>
  <c r="I300" i="28"/>
  <c r="J301" i="28"/>
  <c r="D301" i="28"/>
  <c r="F301" i="28" s="1"/>
  <c r="H301" i="28" s="1"/>
  <c r="A302" i="28"/>
  <c r="I404" i="28"/>
  <c r="G404" i="28"/>
  <c r="A614" i="28"/>
  <c r="J614" i="28" s="1"/>
  <c r="D613" i="28"/>
  <c r="F613" i="28" s="1"/>
  <c r="H613" i="28" s="1"/>
  <c r="A406" i="28"/>
  <c r="J406" i="28" s="1"/>
  <c r="D405" i="28"/>
  <c r="F405" i="28" s="1"/>
  <c r="H405" i="28" s="1"/>
  <c r="I612" i="28"/>
  <c r="G612" i="28"/>
  <c r="G924" i="28"/>
  <c r="I924" i="28"/>
  <c r="G508" i="28"/>
  <c r="I508" i="28"/>
  <c r="A926" i="28"/>
  <c r="J926" i="28" s="1"/>
  <c r="D925" i="28"/>
  <c r="F925" i="28" s="1"/>
  <c r="H925" i="28" s="1"/>
  <c r="A510" i="28"/>
  <c r="J510" i="28" s="1"/>
  <c r="D509" i="28"/>
  <c r="F509" i="28" s="1"/>
  <c r="H509" i="28" s="1"/>
  <c r="I821" i="28"/>
  <c r="G821" i="28"/>
  <c r="G1028" i="28"/>
  <c r="I1028" i="28"/>
  <c r="A1030" i="28"/>
  <c r="J1030" i="28" s="1"/>
  <c r="D1029" i="28"/>
  <c r="F1029" i="28" s="1"/>
  <c r="H1029" i="28" s="1"/>
  <c r="A823" i="28"/>
  <c r="J823" i="28" s="1"/>
  <c r="D822" i="28"/>
  <c r="F822" i="28" s="1"/>
  <c r="H822" i="28" s="1"/>
  <c r="I716" i="28"/>
  <c r="G716" i="28"/>
  <c r="A718" i="28"/>
  <c r="J718" i="28" s="1"/>
  <c r="D717" i="28"/>
  <c r="F717" i="28" s="1"/>
  <c r="H717" i="28" s="1"/>
  <c r="G196" i="28"/>
  <c r="I196" i="28"/>
  <c r="A198" i="28"/>
  <c r="J198" i="28" s="1"/>
  <c r="D197" i="28"/>
  <c r="F197" i="28" s="1"/>
  <c r="H197" i="28" s="1"/>
  <c r="J302" i="28" l="1"/>
  <c r="D302" i="28"/>
  <c r="F302" i="28" s="1"/>
  <c r="H302" i="28" s="1"/>
  <c r="A303" i="28"/>
  <c r="G301" i="28"/>
  <c r="I301" i="28"/>
  <c r="I822" i="28"/>
  <c r="G822" i="28"/>
  <c r="A824" i="28"/>
  <c r="J824" i="28" s="1"/>
  <c r="D823" i="28"/>
  <c r="F823" i="28" s="1"/>
  <c r="H823" i="28" s="1"/>
  <c r="G1029" i="28"/>
  <c r="I1029" i="28"/>
  <c r="A1031" i="28"/>
  <c r="J1031" i="28" s="1"/>
  <c r="D1030" i="28"/>
  <c r="F1030" i="28" s="1"/>
  <c r="H1030" i="28" s="1"/>
  <c r="I613" i="28"/>
  <c r="G613" i="28"/>
  <c r="A927" i="28"/>
  <c r="J927" i="28" s="1"/>
  <c r="D926" i="28"/>
  <c r="F926" i="28" s="1"/>
  <c r="H926" i="28" s="1"/>
  <c r="A615" i="28"/>
  <c r="J615" i="28" s="1"/>
  <c r="D614" i="28"/>
  <c r="F614" i="28" s="1"/>
  <c r="H614" i="28" s="1"/>
  <c r="G509" i="28"/>
  <c r="I509" i="28"/>
  <c r="A511" i="28"/>
  <c r="J511" i="28" s="1"/>
  <c r="D510" i="28"/>
  <c r="F510" i="28" s="1"/>
  <c r="H510" i="28" s="1"/>
  <c r="G405" i="28"/>
  <c r="I405" i="28"/>
  <c r="A719" i="28"/>
  <c r="J719" i="28" s="1"/>
  <c r="D718" i="28"/>
  <c r="F718" i="28" s="1"/>
  <c r="H718" i="28" s="1"/>
  <c r="A407" i="28"/>
  <c r="J407" i="28" s="1"/>
  <c r="D406" i="28"/>
  <c r="F406" i="28" s="1"/>
  <c r="H406" i="28" s="1"/>
  <c r="G717" i="28"/>
  <c r="I717" i="28"/>
  <c r="I925" i="28"/>
  <c r="G925" i="28"/>
  <c r="A199" i="28"/>
  <c r="J199" i="28" s="1"/>
  <c r="D198" i="28"/>
  <c r="F198" i="28" s="1"/>
  <c r="H198" i="28" s="1"/>
  <c r="G197" i="28"/>
  <c r="I197" i="28"/>
  <c r="J303" i="28" l="1"/>
  <c r="D303" i="28"/>
  <c r="F303" i="28" s="1"/>
  <c r="H303" i="28" s="1"/>
  <c r="A304" i="28"/>
  <c r="G302" i="28"/>
  <c r="I302" i="28"/>
  <c r="G823" i="28"/>
  <c r="I823" i="28"/>
  <c r="A928" i="28"/>
  <c r="J928" i="28" s="1"/>
  <c r="D927" i="28"/>
  <c r="F927" i="28" s="1"/>
  <c r="H927" i="28" s="1"/>
  <c r="A825" i="28"/>
  <c r="J825" i="28" s="1"/>
  <c r="D824" i="28"/>
  <c r="F824" i="28" s="1"/>
  <c r="H824" i="28" s="1"/>
  <c r="G926" i="28"/>
  <c r="I926" i="28"/>
  <c r="G510" i="28"/>
  <c r="I510" i="28"/>
  <c r="A512" i="28"/>
  <c r="J512" i="28" s="1"/>
  <c r="D511" i="28"/>
  <c r="F511" i="28" s="1"/>
  <c r="H511" i="28" s="1"/>
  <c r="G1030" i="28"/>
  <c r="I1030" i="28"/>
  <c r="A408" i="28"/>
  <c r="J408" i="28" s="1"/>
  <c r="D407" i="28"/>
  <c r="F407" i="28" s="1"/>
  <c r="H407" i="28" s="1"/>
  <c r="A1032" i="28"/>
  <c r="J1032" i="28" s="1"/>
  <c r="D1031" i="28"/>
  <c r="F1031" i="28" s="1"/>
  <c r="H1031" i="28" s="1"/>
  <c r="I406" i="28"/>
  <c r="G406" i="28"/>
  <c r="G718" i="28"/>
  <c r="I718" i="28"/>
  <c r="G614" i="28"/>
  <c r="I614" i="28"/>
  <c r="A720" i="28"/>
  <c r="J720" i="28" s="1"/>
  <c r="D719" i="28"/>
  <c r="F719" i="28" s="1"/>
  <c r="H719" i="28" s="1"/>
  <c r="A616" i="28"/>
  <c r="J616" i="28" s="1"/>
  <c r="D615" i="28"/>
  <c r="F615" i="28" s="1"/>
  <c r="H615" i="28" s="1"/>
  <c r="I198" i="28"/>
  <c r="G198" i="28"/>
  <c r="A200" i="28"/>
  <c r="J200" i="28" s="1"/>
  <c r="D199" i="28"/>
  <c r="F199" i="28" s="1"/>
  <c r="H199" i="28" s="1"/>
  <c r="J304" i="28" l="1"/>
  <c r="A305" i="28"/>
  <c r="D304" i="28"/>
  <c r="F304" i="28" s="1"/>
  <c r="H304" i="28" s="1"/>
  <c r="I303" i="28"/>
  <c r="G303" i="28"/>
  <c r="G407" i="28"/>
  <c r="I407" i="28"/>
  <c r="A409" i="28"/>
  <c r="J409" i="28" s="1"/>
  <c r="D408" i="28"/>
  <c r="F408" i="28" s="1"/>
  <c r="H408" i="28" s="1"/>
  <c r="G824" i="28"/>
  <c r="I824" i="28"/>
  <c r="A617" i="28"/>
  <c r="J617" i="28" s="1"/>
  <c r="D616" i="28"/>
  <c r="F616" i="28" s="1"/>
  <c r="H616" i="28" s="1"/>
  <c r="A826" i="28"/>
  <c r="J826" i="28" s="1"/>
  <c r="D825" i="28"/>
  <c r="F825" i="28" s="1"/>
  <c r="H825" i="28" s="1"/>
  <c r="G511" i="28"/>
  <c r="I511" i="28"/>
  <c r="G927" i="28"/>
  <c r="I927" i="28"/>
  <c r="I615" i="28"/>
  <c r="G615" i="28"/>
  <c r="A721" i="28"/>
  <c r="J721" i="28" s="1"/>
  <c r="D720" i="28"/>
  <c r="F720" i="28" s="1"/>
  <c r="H720" i="28" s="1"/>
  <c r="A513" i="28"/>
  <c r="J513" i="28" s="1"/>
  <c r="D512" i="28"/>
  <c r="F512" i="28" s="1"/>
  <c r="H512" i="28" s="1"/>
  <c r="A929" i="28"/>
  <c r="J929" i="28" s="1"/>
  <c r="D928" i="28"/>
  <c r="F928" i="28" s="1"/>
  <c r="H928" i="28" s="1"/>
  <c r="G719" i="28"/>
  <c r="I719" i="28"/>
  <c r="G1031" i="28"/>
  <c r="I1031" i="28"/>
  <c r="A1033" i="28"/>
  <c r="J1033" i="28" s="1"/>
  <c r="D1032" i="28"/>
  <c r="F1032" i="28" s="1"/>
  <c r="H1032" i="28" s="1"/>
  <c r="A201" i="28"/>
  <c r="J201" i="28" s="1"/>
  <c r="D200" i="28"/>
  <c r="F200" i="28" s="1"/>
  <c r="H200" i="28" s="1"/>
  <c r="G199" i="28"/>
  <c r="I199" i="28"/>
  <c r="G304" i="28" l="1"/>
  <c r="I304" i="28"/>
  <c r="J305" i="28"/>
  <c r="A306" i="28"/>
  <c r="D305" i="28"/>
  <c r="F305" i="28" s="1"/>
  <c r="H305" i="28" s="1"/>
  <c r="G1032" i="28"/>
  <c r="I1032" i="28"/>
  <c r="G512" i="28"/>
  <c r="I512" i="28"/>
  <c r="A514" i="28"/>
  <c r="J514" i="28" s="1"/>
  <c r="D513" i="28"/>
  <c r="F513" i="28" s="1"/>
  <c r="H513" i="28" s="1"/>
  <c r="I720" i="28"/>
  <c r="G720" i="28"/>
  <c r="I408" i="28"/>
  <c r="G408" i="28"/>
  <c r="I825" i="28"/>
  <c r="G825" i="28"/>
  <c r="A722" i="28"/>
  <c r="J722" i="28" s="1"/>
  <c r="D721" i="28"/>
  <c r="F721" i="28" s="1"/>
  <c r="H721" i="28" s="1"/>
  <c r="A827" i="28"/>
  <c r="J827" i="28" s="1"/>
  <c r="D826" i="28"/>
  <c r="F826" i="28" s="1"/>
  <c r="H826" i="28" s="1"/>
  <c r="A410" i="28"/>
  <c r="J410" i="28" s="1"/>
  <c r="D409" i="28"/>
  <c r="F409" i="28" s="1"/>
  <c r="H409" i="28" s="1"/>
  <c r="I616" i="28"/>
  <c r="G616" i="28"/>
  <c r="A1034" i="28"/>
  <c r="J1034" i="28" s="1"/>
  <c r="D1033" i="28"/>
  <c r="F1033" i="28" s="1"/>
  <c r="H1033" i="28" s="1"/>
  <c r="A618" i="28"/>
  <c r="J618" i="28" s="1"/>
  <c r="D617" i="28"/>
  <c r="F617" i="28" s="1"/>
  <c r="H617" i="28" s="1"/>
  <c r="G928" i="28"/>
  <c r="I928" i="28"/>
  <c r="A930" i="28"/>
  <c r="J930" i="28" s="1"/>
  <c r="D929" i="28"/>
  <c r="F929" i="28" s="1"/>
  <c r="H929" i="28" s="1"/>
  <c r="G200" i="28"/>
  <c r="I200" i="28"/>
  <c r="A202" i="28"/>
  <c r="J202" i="28" s="1"/>
  <c r="D201" i="28"/>
  <c r="F201" i="28" s="1"/>
  <c r="H201" i="28" s="1"/>
  <c r="G305" i="28" l="1"/>
  <c r="I305" i="28"/>
  <c r="J306" i="28"/>
  <c r="A307" i="28"/>
  <c r="D306" i="28"/>
  <c r="F306" i="28" s="1"/>
  <c r="H306" i="28" s="1"/>
  <c r="G826" i="28"/>
  <c r="I826" i="28"/>
  <c r="A828" i="28"/>
  <c r="J828" i="28" s="1"/>
  <c r="D827" i="28"/>
  <c r="F827" i="28" s="1"/>
  <c r="H827" i="28" s="1"/>
  <c r="G617" i="28"/>
  <c r="I617" i="28"/>
  <c r="I513" i="28"/>
  <c r="G513" i="28"/>
  <c r="I721" i="28"/>
  <c r="G721" i="28"/>
  <c r="A931" i="28"/>
  <c r="J931" i="28" s="1"/>
  <c r="D930" i="28"/>
  <c r="F930" i="28" s="1"/>
  <c r="H930" i="28" s="1"/>
  <c r="A1035" i="28"/>
  <c r="J1035" i="28" s="1"/>
  <c r="D1034" i="28"/>
  <c r="F1034" i="28" s="1"/>
  <c r="H1034" i="28" s="1"/>
  <c r="A723" i="28"/>
  <c r="J723" i="28" s="1"/>
  <c r="D722" i="28"/>
  <c r="F722" i="28" s="1"/>
  <c r="H722" i="28" s="1"/>
  <c r="A515" i="28"/>
  <c r="J515" i="28" s="1"/>
  <c r="D514" i="28"/>
  <c r="F514" i="28" s="1"/>
  <c r="H514" i="28" s="1"/>
  <c r="I1033" i="28"/>
  <c r="G1033" i="28"/>
  <c r="I929" i="28"/>
  <c r="G929" i="28"/>
  <c r="A619" i="28"/>
  <c r="J619" i="28" s="1"/>
  <c r="D618" i="28"/>
  <c r="F618" i="28" s="1"/>
  <c r="H618" i="28" s="1"/>
  <c r="I409" i="28"/>
  <c r="G409" i="28"/>
  <c r="A411" i="28"/>
  <c r="J411" i="28" s="1"/>
  <c r="D410" i="28"/>
  <c r="F410" i="28" s="1"/>
  <c r="H410" i="28" s="1"/>
  <c r="G201" i="28"/>
  <c r="I201" i="28"/>
  <c r="A203" i="28"/>
  <c r="J203" i="28" s="1"/>
  <c r="D202" i="28"/>
  <c r="F202" i="28" s="1"/>
  <c r="H202" i="28" s="1"/>
  <c r="I306" i="28" l="1"/>
  <c r="G306" i="28"/>
  <c r="J307" i="28"/>
  <c r="A308" i="28"/>
  <c r="D307" i="28"/>
  <c r="F307" i="28" s="1"/>
  <c r="H307" i="28" s="1"/>
  <c r="G1034" i="28"/>
  <c r="I1034" i="28"/>
  <c r="A1036" i="28"/>
  <c r="J1036" i="28" s="1"/>
  <c r="D1035" i="28"/>
  <c r="F1035" i="28" s="1"/>
  <c r="H1035" i="28" s="1"/>
  <c r="G930" i="28"/>
  <c r="I930" i="28"/>
  <c r="G827" i="28"/>
  <c r="I827" i="28"/>
  <c r="A932" i="28"/>
  <c r="J932" i="28" s="1"/>
  <c r="D931" i="28"/>
  <c r="F931" i="28" s="1"/>
  <c r="H931" i="28" s="1"/>
  <c r="A829" i="28"/>
  <c r="J829" i="28" s="1"/>
  <c r="D828" i="28"/>
  <c r="F828" i="28" s="1"/>
  <c r="H828" i="28" s="1"/>
  <c r="A412" i="28"/>
  <c r="J412" i="28" s="1"/>
  <c r="D411" i="28"/>
  <c r="F411" i="28" s="1"/>
  <c r="H411" i="28" s="1"/>
  <c r="I514" i="28"/>
  <c r="G514" i="28"/>
  <c r="A620" i="28"/>
  <c r="J620" i="28" s="1"/>
  <c r="D619" i="28"/>
  <c r="F619" i="28" s="1"/>
  <c r="H619" i="28" s="1"/>
  <c r="A516" i="28"/>
  <c r="J516" i="28" s="1"/>
  <c r="D515" i="28"/>
  <c r="F515" i="28" s="1"/>
  <c r="H515" i="28" s="1"/>
  <c r="G410" i="28"/>
  <c r="I410" i="28"/>
  <c r="I722" i="28"/>
  <c r="G722" i="28"/>
  <c r="I618" i="28"/>
  <c r="G618" i="28"/>
  <c r="A724" i="28"/>
  <c r="J724" i="28" s="1"/>
  <c r="D723" i="28"/>
  <c r="F723" i="28" s="1"/>
  <c r="H723" i="28" s="1"/>
  <c r="A204" i="28"/>
  <c r="J204" i="28" s="1"/>
  <c r="D203" i="28"/>
  <c r="F203" i="28" s="1"/>
  <c r="H203" i="28" s="1"/>
  <c r="G202" i="28"/>
  <c r="I202" i="28"/>
  <c r="G307" i="28" l="1"/>
  <c r="I307" i="28"/>
  <c r="J308" i="28"/>
  <c r="D308" i="28"/>
  <c r="F308" i="28" s="1"/>
  <c r="H308" i="28" s="1"/>
  <c r="A309" i="28"/>
  <c r="G411" i="28"/>
  <c r="I411" i="28"/>
  <c r="A413" i="28"/>
  <c r="J413" i="28" s="1"/>
  <c r="D412" i="28"/>
  <c r="F412" i="28" s="1"/>
  <c r="H412" i="28" s="1"/>
  <c r="G723" i="28"/>
  <c r="I723" i="28"/>
  <c r="I1035" i="28"/>
  <c r="G1035" i="28"/>
  <c r="I828" i="28"/>
  <c r="G828" i="28"/>
  <c r="A725" i="28"/>
  <c r="J725" i="28" s="1"/>
  <c r="D724" i="28"/>
  <c r="F724" i="28" s="1"/>
  <c r="H724" i="28" s="1"/>
  <c r="A517" i="28"/>
  <c r="J517" i="28" s="1"/>
  <c r="D516" i="28"/>
  <c r="F516" i="28" s="1"/>
  <c r="H516" i="28" s="1"/>
  <c r="A830" i="28"/>
  <c r="J830" i="28" s="1"/>
  <c r="D829" i="28"/>
  <c r="F829" i="28" s="1"/>
  <c r="H829" i="28" s="1"/>
  <c r="A1037" i="28"/>
  <c r="J1037" i="28" s="1"/>
  <c r="D1036" i="28"/>
  <c r="F1036" i="28" s="1"/>
  <c r="H1036" i="28" s="1"/>
  <c r="I515" i="28"/>
  <c r="G515" i="28"/>
  <c r="I931" i="28"/>
  <c r="G931" i="28"/>
  <c r="G619" i="28"/>
  <c r="I619" i="28"/>
  <c r="A621" i="28"/>
  <c r="J621" i="28" s="1"/>
  <c r="D620" i="28"/>
  <c r="F620" i="28" s="1"/>
  <c r="H620" i="28" s="1"/>
  <c r="A933" i="28"/>
  <c r="J933" i="28" s="1"/>
  <c r="D932" i="28"/>
  <c r="F932" i="28" s="1"/>
  <c r="H932" i="28" s="1"/>
  <c r="G203" i="28"/>
  <c r="I203" i="28"/>
  <c r="A205" i="28"/>
  <c r="J205" i="28" s="1"/>
  <c r="D204" i="28"/>
  <c r="F204" i="28" s="1"/>
  <c r="H204" i="28" s="1"/>
  <c r="J309" i="28" l="1"/>
  <c r="A310" i="28"/>
  <c r="D309" i="28"/>
  <c r="F309" i="28" s="1"/>
  <c r="H309" i="28" s="1"/>
  <c r="I308" i="28"/>
  <c r="G308" i="28"/>
  <c r="G829" i="28"/>
  <c r="I829" i="28"/>
  <c r="A831" i="28"/>
  <c r="J831" i="28" s="1"/>
  <c r="D830" i="28"/>
  <c r="F830" i="28" s="1"/>
  <c r="H830" i="28" s="1"/>
  <c r="G516" i="28"/>
  <c r="I516" i="28"/>
  <c r="A518" i="28"/>
  <c r="J518" i="28" s="1"/>
  <c r="D517" i="28"/>
  <c r="F517" i="28" s="1"/>
  <c r="H517" i="28" s="1"/>
  <c r="I724" i="28"/>
  <c r="G724" i="28"/>
  <c r="I412" i="28"/>
  <c r="G412" i="28"/>
  <c r="A726" i="28"/>
  <c r="J726" i="28" s="1"/>
  <c r="D725" i="28"/>
  <c r="F725" i="28" s="1"/>
  <c r="H725" i="28" s="1"/>
  <c r="A414" i="28"/>
  <c r="J414" i="28" s="1"/>
  <c r="D413" i="28"/>
  <c r="F413" i="28" s="1"/>
  <c r="H413" i="28" s="1"/>
  <c r="G932" i="28"/>
  <c r="I932" i="28"/>
  <c r="A934" i="28"/>
  <c r="J934" i="28" s="1"/>
  <c r="D933" i="28"/>
  <c r="F933" i="28" s="1"/>
  <c r="H933" i="28" s="1"/>
  <c r="G1036" i="28"/>
  <c r="I1036" i="28"/>
  <c r="I620" i="28"/>
  <c r="G620" i="28"/>
  <c r="A622" i="28"/>
  <c r="J622" i="28" s="1"/>
  <c r="D621" i="28"/>
  <c r="F621" i="28" s="1"/>
  <c r="H621" i="28" s="1"/>
  <c r="A1038" i="28"/>
  <c r="J1038" i="28" s="1"/>
  <c r="D1037" i="28"/>
  <c r="F1037" i="28" s="1"/>
  <c r="H1037" i="28" s="1"/>
  <c r="A206" i="28"/>
  <c r="J206" i="28" s="1"/>
  <c r="D205" i="28"/>
  <c r="F205" i="28" s="1"/>
  <c r="H205" i="28" s="1"/>
  <c r="G204" i="28"/>
  <c r="I204" i="28"/>
  <c r="I309" i="28" l="1"/>
  <c r="G309" i="28"/>
  <c r="J310" i="28"/>
  <c r="A311" i="28"/>
  <c r="D310" i="28"/>
  <c r="F310" i="28" s="1"/>
  <c r="H310" i="28" s="1"/>
  <c r="G517" i="28"/>
  <c r="I517" i="28"/>
  <c r="A415" i="28"/>
  <c r="J415" i="28" s="1"/>
  <c r="D414" i="28"/>
  <c r="F414" i="28" s="1"/>
  <c r="H414" i="28" s="1"/>
  <c r="A519" i="28"/>
  <c r="J519" i="28" s="1"/>
  <c r="D518" i="28"/>
  <c r="F518" i="28" s="1"/>
  <c r="H518" i="28" s="1"/>
  <c r="I725" i="28"/>
  <c r="G725" i="28"/>
  <c r="A727" i="28"/>
  <c r="J727" i="28" s="1"/>
  <c r="D726" i="28"/>
  <c r="F726" i="28" s="1"/>
  <c r="H726" i="28" s="1"/>
  <c r="G830" i="28"/>
  <c r="I830" i="28"/>
  <c r="G1037" i="28"/>
  <c r="I1037" i="28"/>
  <c r="A935" i="28"/>
  <c r="J935" i="28" s="1"/>
  <c r="D934" i="28"/>
  <c r="F934" i="28" s="1"/>
  <c r="H934" i="28" s="1"/>
  <c r="A832" i="28"/>
  <c r="J832" i="28" s="1"/>
  <c r="D831" i="28"/>
  <c r="F831" i="28" s="1"/>
  <c r="H831" i="28" s="1"/>
  <c r="G413" i="28"/>
  <c r="I413" i="28"/>
  <c r="G621" i="28"/>
  <c r="I621" i="28"/>
  <c r="G933" i="28"/>
  <c r="I933" i="28"/>
  <c r="A1039" i="28"/>
  <c r="J1039" i="28" s="1"/>
  <c r="D1038" i="28"/>
  <c r="F1038" i="28" s="1"/>
  <c r="H1038" i="28" s="1"/>
  <c r="A623" i="28"/>
  <c r="J623" i="28" s="1"/>
  <c r="D622" i="28"/>
  <c r="F622" i="28" s="1"/>
  <c r="H622" i="28" s="1"/>
  <c r="G205" i="28"/>
  <c r="I205" i="28"/>
  <c r="A207" i="28"/>
  <c r="J207" i="28" s="1"/>
  <c r="D206" i="28"/>
  <c r="F206" i="28" s="1"/>
  <c r="H206" i="28" s="1"/>
  <c r="G310" i="28" l="1"/>
  <c r="I310" i="28"/>
  <c r="J311" i="28"/>
  <c r="A312" i="28"/>
  <c r="D311" i="28"/>
  <c r="F311" i="28" s="1"/>
  <c r="H311" i="28" s="1"/>
  <c r="A936" i="28"/>
  <c r="J936" i="28" s="1"/>
  <c r="D935" i="28"/>
  <c r="F935" i="28" s="1"/>
  <c r="H935" i="28" s="1"/>
  <c r="G518" i="28"/>
  <c r="I518" i="28"/>
  <c r="A520" i="28"/>
  <c r="J520" i="28" s="1"/>
  <c r="D519" i="28"/>
  <c r="F519" i="28" s="1"/>
  <c r="H519" i="28" s="1"/>
  <c r="G414" i="28"/>
  <c r="I414" i="28"/>
  <c r="A624" i="28"/>
  <c r="J624" i="28" s="1"/>
  <c r="D623" i="28"/>
  <c r="F623" i="28" s="1"/>
  <c r="H623" i="28" s="1"/>
  <c r="A416" i="28"/>
  <c r="J416" i="28" s="1"/>
  <c r="D415" i="28"/>
  <c r="F415" i="28" s="1"/>
  <c r="H415" i="28" s="1"/>
  <c r="G934" i="28"/>
  <c r="I934" i="28"/>
  <c r="G1038" i="28"/>
  <c r="I1038" i="28"/>
  <c r="I726" i="28"/>
  <c r="G726" i="28"/>
  <c r="G622" i="28"/>
  <c r="I622" i="28"/>
  <c r="G831" i="28"/>
  <c r="I831" i="28"/>
  <c r="A1040" i="28"/>
  <c r="J1040" i="28" s="1"/>
  <c r="D1039" i="28"/>
  <c r="F1039" i="28" s="1"/>
  <c r="H1039" i="28" s="1"/>
  <c r="A833" i="28"/>
  <c r="D832" i="28"/>
  <c r="F832" i="28" s="1"/>
  <c r="H832" i="28" s="1"/>
  <c r="A728" i="28"/>
  <c r="J728" i="28" s="1"/>
  <c r="D727" i="28"/>
  <c r="F727" i="28" s="1"/>
  <c r="H727" i="28" s="1"/>
  <c r="I206" i="28"/>
  <c r="G206" i="28"/>
  <c r="A208" i="28"/>
  <c r="J208" i="28" s="1"/>
  <c r="D207" i="28"/>
  <c r="F207" i="28" s="1"/>
  <c r="H207" i="28" s="1"/>
  <c r="D833" i="28" l="1"/>
  <c r="F833" i="28" s="1"/>
  <c r="H833" i="28" s="1"/>
  <c r="J833" i="28"/>
  <c r="I311" i="28"/>
  <c r="G311" i="28"/>
  <c r="J312" i="28"/>
  <c r="A313" i="28"/>
  <c r="D312" i="28"/>
  <c r="F312" i="28" s="1"/>
  <c r="H312" i="28" s="1"/>
  <c r="G1039" i="28"/>
  <c r="I1039" i="28"/>
  <c r="A1041" i="28"/>
  <c r="D1040" i="28"/>
  <c r="F1040" i="28" s="1"/>
  <c r="H1040" i="28" s="1"/>
  <c r="G519" i="28"/>
  <c r="I519" i="28"/>
  <c r="A521" i="28"/>
  <c r="D520" i="28"/>
  <c r="F520" i="28" s="1"/>
  <c r="H520" i="28" s="1"/>
  <c r="G415" i="28"/>
  <c r="I415" i="28"/>
  <c r="I727" i="28"/>
  <c r="G727" i="28"/>
  <c r="A729" i="28"/>
  <c r="D728" i="28"/>
  <c r="F728" i="28" s="1"/>
  <c r="H728" i="28" s="1"/>
  <c r="A417" i="28"/>
  <c r="D416" i="28"/>
  <c r="F416" i="28" s="1"/>
  <c r="H416" i="28" s="1"/>
  <c r="I623" i="28"/>
  <c r="G623" i="28"/>
  <c r="G935" i="28"/>
  <c r="I935" i="28"/>
  <c r="G832" i="28"/>
  <c r="I832" i="28"/>
  <c r="A625" i="28"/>
  <c r="D624" i="28"/>
  <c r="F624" i="28" s="1"/>
  <c r="H624" i="28" s="1"/>
  <c r="A937" i="28"/>
  <c r="D936" i="28"/>
  <c r="F936" i="28" s="1"/>
  <c r="H936" i="28" s="1"/>
  <c r="A209" i="28"/>
  <c r="D208" i="28"/>
  <c r="F208" i="28" s="1"/>
  <c r="H208" i="28" s="1"/>
  <c r="G207" i="28"/>
  <c r="I207" i="28"/>
  <c r="G833" i="28" l="1"/>
  <c r="I833" i="28"/>
  <c r="D625" i="28"/>
  <c r="F625" i="28" s="1"/>
  <c r="H625" i="28" s="1"/>
  <c r="J625" i="28"/>
  <c r="I312" i="28"/>
  <c r="G312" i="28"/>
  <c r="D417" i="28"/>
  <c r="F417" i="28" s="1"/>
  <c r="H417" i="28" s="1"/>
  <c r="J417" i="28"/>
  <c r="D521" i="28"/>
  <c r="F521" i="28" s="1"/>
  <c r="J521" i="28"/>
  <c r="D313" i="28"/>
  <c r="F313" i="28" s="1"/>
  <c r="H313" i="28" s="1"/>
  <c r="J313" i="28"/>
  <c r="D209" i="28"/>
  <c r="F209" i="28" s="1"/>
  <c r="I209" i="28" s="1"/>
  <c r="J209" i="28"/>
  <c r="D729" i="28"/>
  <c r="F729" i="28" s="1"/>
  <c r="G729" i="28" s="1"/>
  <c r="J729" i="28"/>
  <c r="D1041" i="28"/>
  <c r="F1041" i="28" s="1"/>
  <c r="J1041" i="28"/>
  <c r="D937" i="28"/>
  <c r="F937" i="28" s="1"/>
  <c r="H937" i="28" s="1"/>
  <c r="J937" i="28"/>
  <c r="I416" i="28"/>
  <c r="G416" i="28"/>
  <c r="I520" i="28"/>
  <c r="G520" i="28"/>
  <c r="I728" i="28"/>
  <c r="G728" i="28"/>
  <c r="I1040" i="28"/>
  <c r="G1040" i="28"/>
  <c r="G624" i="28"/>
  <c r="I624" i="28"/>
  <c r="G936" i="28"/>
  <c r="I936" i="28"/>
  <c r="G208" i="28"/>
  <c r="I208" i="28"/>
  <c r="G625" i="28" l="1"/>
  <c r="I625" i="28"/>
  <c r="G417" i="28"/>
  <c r="I417" i="28"/>
  <c r="G937" i="28"/>
  <c r="I937" i="28"/>
  <c r="I1041" i="28"/>
  <c r="H1041" i="28"/>
  <c r="G521" i="28"/>
  <c r="H521" i="28"/>
  <c r="I729" i="28"/>
  <c r="H729" i="28"/>
  <c r="G209" i="28"/>
  <c r="H209" i="28"/>
  <c r="I521" i="28"/>
  <c r="N10" i="27"/>
  <c r="B17" i="29"/>
  <c r="F17" i="29" s="1"/>
  <c r="B15" i="29"/>
  <c r="F15" i="29" s="1"/>
  <c r="H14" i="29"/>
  <c r="L14" i="29" s="1"/>
  <c r="B14" i="29"/>
  <c r="F14" i="29" s="1"/>
  <c r="H15" i="29"/>
  <c r="L15" i="29" s="1"/>
  <c r="B12" i="29"/>
  <c r="H13" i="29"/>
  <c r="L13" i="29" s="1"/>
  <c r="B18" i="29"/>
  <c r="F18" i="29" s="1"/>
  <c r="F9" i="27"/>
  <c r="H16" i="29"/>
  <c r="L16" i="29" s="1"/>
  <c r="B13" i="29"/>
  <c r="F13" i="29" s="1"/>
  <c r="N9" i="27"/>
  <c r="H12" i="29"/>
  <c r="L12" i="29" s="1"/>
  <c r="H17" i="29"/>
  <c r="L17" i="29" s="1"/>
  <c r="H18" i="29"/>
  <c r="L18" i="29" s="1"/>
  <c r="J9" i="27"/>
  <c r="H19" i="29"/>
  <c r="L19" i="29" s="1"/>
  <c r="B19" i="29"/>
  <c r="F19" i="29" s="1"/>
  <c r="F10" i="27"/>
  <c r="H10" i="27" s="1"/>
  <c r="F11" i="27"/>
  <c r="J10" i="27"/>
  <c r="B16" i="29"/>
  <c r="F16" i="29" s="1"/>
  <c r="J11" i="27"/>
  <c r="N11" i="27"/>
  <c r="F13" i="27"/>
  <c r="F12" i="27"/>
  <c r="J12" i="27"/>
  <c r="N12" i="27"/>
  <c r="J13" i="27"/>
  <c r="N13" i="27"/>
  <c r="N14" i="27"/>
  <c r="J14" i="27"/>
  <c r="J15" i="27"/>
  <c r="N16" i="27"/>
  <c r="F14" i="27"/>
  <c r="F15" i="27"/>
  <c r="N15" i="27"/>
  <c r="J16" i="27"/>
  <c r="F16" i="27"/>
  <c r="N24" i="27"/>
  <c r="F24" i="27"/>
  <c r="J26" i="27"/>
  <c r="N26" i="27"/>
  <c r="J25" i="27"/>
  <c r="N25" i="27"/>
  <c r="F25" i="27"/>
  <c r="F26" i="27"/>
  <c r="J24" i="27"/>
  <c r="F27" i="27"/>
  <c r="N27" i="27"/>
  <c r="J28" i="27"/>
  <c r="J27" i="27"/>
  <c r="F29" i="27"/>
  <c r="F28" i="27"/>
  <c r="J29" i="27"/>
  <c r="N31" i="27"/>
  <c r="N28" i="27"/>
  <c r="N29" i="27"/>
  <c r="J30" i="27"/>
  <c r="F30" i="27"/>
  <c r="N30" i="27"/>
  <c r="J31" i="27"/>
  <c r="F31" i="27"/>
  <c r="N56" i="27"/>
  <c r="N57" i="27"/>
  <c r="F57" i="27"/>
  <c r="F56" i="27"/>
  <c r="F58" i="27"/>
  <c r="F60" i="27"/>
  <c r="N58" i="27"/>
  <c r="F59" i="27"/>
  <c r="F61" i="27"/>
  <c r="N59" i="27"/>
  <c r="P59" i="27" s="1"/>
  <c r="N61" i="27"/>
  <c r="P61" i="27" s="1"/>
  <c r="F62" i="27"/>
  <c r="N60" i="27"/>
  <c r="F63" i="27"/>
  <c r="N62" i="27"/>
  <c r="N40" i="27"/>
  <c r="N41" i="27"/>
  <c r="F40" i="27"/>
  <c r="N63" i="27"/>
  <c r="N42" i="27"/>
  <c r="J41" i="27"/>
  <c r="L41" i="27" s="1"/>
  <c r="J40" i="27"/>
  <c r="F42" i="27"/>
  <c r="F41" i="27"/>
  <c r="F43" i="27"/>
  <c r="J42" i="27"/>
  <c r="N43" i="27"/>
  <c r="N44" i="27"/>
  <c r="N45" i="27"/>
  <c r="J43" i="27"/>
  <c r="F44" i="27"/>
  <c r="F45" i="27"/>
  <c r="H45" i="27" s="1"/>
  <c r="J45" i="27"/>
  <c r="J44" i="27"/>
  <c r="L44" i="27" s="1"/>
  <c r="F47" i="27"/>
  <c r="N46" i="27"/>
  <c r="P46" i="27" s="1"/>
  <c r="F46" i="27"/>
  <c r="J46" i="27"/>
  <c r="J47" i="27"/>
  <c r="N47" i="27"/>
  <c r="G1041" i="28"/>
  <c r="G313" i="28"/>
  <c r="I313" i="28"/>
  <c r="P47" i="27" l="1"/>
  <c r="P29" i="27"/>
  <c r="L9" i="27"/>
  <c r="P10" i="27"/>
  <c r="L11" i="27"/>
  <c r="P9" i="27"/>
  <c r="L46" i="27"/>
  <c r="H61" i="27"/>
  <c r="L25" i="27"/>
  <c r="H58" i="27"/>
  <c r="P42" i="27"/>
  <c r="H42" i="27"/>
  <c r="H29" i="27"/>
  <c r="P26" i="27"/>
  <c r="P16" i="27"/>
  <c r="L12" i="27"/>
  <c r="H57" i="27"/>
  <c r="H25" i="27"/>
  <c r="L26" i="27"/>
  <c r="H12" i="27"/>
  <c r="L29" i="27"/>
  <c r="H11" i="27"/>
  <c r="P14" i="27"/>
  <c r="H43" i="27"/>
  <c r="P62" i="27"/>
  <c r="L43" i="27"/>
  <c r="P40" i="27"/>
  <c r="H63" i="27"/>
  <c r="H47" i="27"/>
  <c r="L45" i="27"/>
  <c r="P60" i="27"/>
  <c r="H28" i="27"/>
  <c r="L28" i="27"/>
  <c r="L24" i="27"/>
  <c r="H16" i="27"/>
  <c r="H15" i="27"/>
  <c r="H9" i="27"/>
  <c r="H46" i="27"/>
  <c r="P45" i="27"/>
  <c r="H41" i="27"/>
  <c r="H59" i="27"/>
  <c r="H31" i="27"/>
  <c r="L30" i="27"/>
  <c r="H26" i="27"/>
  <c r="L16" i="27"/>
  <c r="H14" i="27"/>
  <c r="P13" i="27"/>
  <c r="L10" i="27"/>
  <c r="L31" i="27"/>
  <c r="H56" i="27"/>
  <c r="P44" i="27"/>
  <c r="L40" i="27"/>
  <c r="P63" i="27"/>
  <c r="P58" i="27"/>
  <c r="L15" i="27"/>
  <c r="H60" i="27"/>
  <c r="P27" i="27"/>
  <c r="L47" i="27"/>
  <c r="P43" i="27"/>
  <c r="H40" i="27"/>
  <c r="P57" i="27"/>
  <c r="P28" i="27"/>
  <c r="L13" i="27"/>
  <c r="H44" i="27"/>
  <c r="H62" i="27"/>
  <c r="L42" i="27"/>
  <c r="P41" i="27"/>
  <c r="P56" i="27"/>
  <c r="P30" i="27"/>
  <c r="P31" i="27"/>
  <c r="L27" i="27"/>
  <c r="H27" i="27"/>
  <c r="P25" i="27"/>
  <c r="H24" i="27"/>
  <c r="P15" i="27"/>
  <c r="L14" i="27"/>
  <c r="H13" i="27"/>
  <c r="H30" i="27"/>
  <c r="P24" i="27"/>
  <c r="P12" i="27"/>
  <c r="P11" i="27"/>
  <c r="P18" i="27" l="1"/>
  <c r="P49" i="27"/>
  <c r="H18" i="27"/>
  <c r="H49" i="27"/>
  <c r="H65" i="27"/>
  <c r="L18" i="27"/>
  <c r="L49" i="27"/>
  <c r="H33" i="27"/>
  <c r="F21" i="29"/>
  <c r="P33" i="27"/>
  <c r="P65" i="27"/>
  <c r="L21" i="29"/>
  <c r="L33" i="27"/>
  <c r="O21" i="2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seifert</author>
  </authors>
  <commentList>
    <comment ref="A4" authorId="0" shapeId="0" xr:uid="{A9731BFC-6BD8-4C5E-9707-42DA2D6BC996}">
      <text>
        <r>
          <rPr>
            <b/>
            <sz val="9"/>
            <color indexed="81"/>
            <rFont val="Tahoma"/>
            <family val="2"/>
          </rPr>
          <t>seifert:</t>
        </r>
        <r>
          <rPr>
            <sz val="9"/>
            <color indexed="81"/>
            <rFont val="Tahoma"/>
            <family val="2"/>
          </rPr>
          <t xml:space="preserve">
Pure non-magic, e.g.  Thief, fighter, barbarian
</t>
        </r>
      </text>
    </comment>
    <comment ref="A5" authorId="0" shapeId="0" xr:uid="{73121245-1BB0-4758-8711-88A2100D312A}">
      <text>
        <r>
          <rPr>
            <b/>
            <sz val="9"/>
            <color indexed="81"/>
            <rFont val="Tahoma"/>
            <family val="2"/>
          </rPr>
          <t>seifert:</t>
        </r>
        <r>
          <rPr>
            <sz val="9"/>
            <color indexed="81"/>
            <rFont val="Tahoma"/>
            <family val="2"/>
          </rPr>
          <t xml:space="preserve">
Part magic part non-magic, e.g. Paladin, Ranger, Assassin</t>
        </r>
      </text>
    </comment>
    <comment ref="A6" authorId="0" shapeId="0" xr:uid="{0DAA47F0-83FA-41B1-A5D9-181706A1B4E7}">
      <text>
        <r>
          <rPr>
            <b/>
            <sz val="9"/>
            <color indexed="81"/>
            <rFont val="Tahoma"/>
            <family val="2"/>
          </rPr>
          <t>seifert:</t>
        </r>
        <r>
          <rPr>
            <sz val="9"/>
            <color indexed="81"/>
            <rFont val="Tahoma"/>
            <family val="2"/>
          </rPr>
          <t xml:space="preserve">
Pure magic, e.g. Cleric, Mage, Necromancer, Druid</t>
        </r>
      </text>
    </comment>
  </commentList>
</comments>
</file>

<file path=xl/sharedStrings.xml><?xml version="1.0" encoding="utf-8"?>
<sst xmlns="http://schemas.openxmlformats.org/spreadsheetml/2006/main" count="4976" uniqueCount="932">
  <si>
    <t>Mag</t>
  </si>
  <si>
    <t>Div</t>
  </si>
  <si>
    <t>Str</t>
  </si>
  <si>
    <t>Dex</t>
  </si>
  <si>
    <t>Con</t>
  </si>
  <si>
    <t>Cha</t>
  </si>
  <si>
    <t>Bra</t>
  </si>
  <si>
    <t>HP</t>
  </si>
  <si>
    <t>Fighter</t>
  </si>
  <si>
    <t>Knight</t>
  </si>
  <si>
    <t>Paladin</t>
  </si>
  <si>
    <t>Ranger</t>
  </si>
  <si>
    <t>Assassin</t>
  </si>
  <si>
    <t>Thief</t>
  </si>
  <si>
    <t>Druid</t>
  </si>
  <si>
    <t>Priest</t>
  </si>
  <si>
    <t>Total</t>
  </si>
  <si>
    <t>Human</t>
  </si>
  <si>
    <t>Elf</t>
  </si>
  <si>
    <t>Dwarf</t>
  </si>
  <si>
    <t>Halfling</t>
  </si>
  <si>
    <t>Gnome</t>
  </si>
  <si>
    <t>Barbarian</t>
  </si>
  <si>
    <t>Cost</t>
  </si>
  <si>
    <t>Progression training costs</t>
  </si>
  <si>
    <t>Dump with: vme -d</t>
  </si>
  <si>
    <t>1st</t>
  </si>
  <si>
    <t>2nd</t>
  </si>
  <si>
    <t>3rd</t>
  </si>
  <si>
    <t>Profession + Race Modifier total (+7 .. -7)</t>
  </si>
  <si>
    <t>Semi</t>
  </si>
  <si>
    <t>Obsolete</t>
  </si>
  <si>
    <t>PureNM</t>
  </si>
  <si>
    <t>PureMA</t>
  </si>
  <si>
    <t>First 4</t>
  </si>
  <si>
    <t>A character has 50 ability points / level</t>
  </si>
  <si>
    <t>Practice Poitns</t>
  </si>
  <si>
    <t>Equivalent practice points</t>
  </si>
  <si>
    <t>First 5</t>
  </si>
  <si>
    <t>First 6</t>
  </si>
  <si>
    <t>NA</t>
  </si>
  <si>
    <t>Suggested profession progression for the three standard types of professions, suggest we tune these as we go along and refine abilities / races / professions</t>
  </si>
  <si>
    <t>Half-orc</t>
  </si>
  <si>
    <t>Half-ogre</t>
  </si>
  <si>
    <t>Half-elf</t>
  </si>
  <si>
    <t>Brownie</t>
  </si>
  <si>
    <t>Groll</t>
  </si>
  <si>
    <t>Darkelf</t>
  </si>
  <si>
    <t>Max skill modification, determines your max skill / ability</t>
  </si>
  <si>
    <t>Bonus</t>
  </si>
  <si>
    <t>The bonus numbers in bold are the suggested PureNM numbers</t>
  </si>
  <si>
    <t>Max Skill</t>
  </si>
  <si>
    <t>Train Cost</t>
  </si>
  <si>
    <t>Equivalent Max Stats</t>
  </si>
  <si>
    <t>Level 100 cost</t>
  </si>
  <si>
    <t>This is coincidentally the same as our current 50 points / level</t>
  </si>
  <si>
    <t>TblBonusMaxSkill</t>
  </si>
  <si>
    <t>TblPracticeCost</t>
  </si>
  <si>
    <t>A character can train up to three times for a skill if allowed in the table above</t>
  </si>
  <si>
    <t>A character can train up to twice (???) in a skill if allowed above   &lt;--- Maybe not? Or maybe only if Bonus is 3 or higher.</t>
  </si>
  <si>
    <t>Training attempt</t>
  </si>
  <si>
    <t>Example: if your modifier is +1 for a given skill, per level you may train once at 9 point cost, and once at 14 point cost, the max is 90</t>
  </si>
  <si>
    <t>Sorcerer</t>
  </si>
  <si>
    <t>Max</t>
  </si>
  <si>
    <t>RaceBonus</t>
  </si>
  <si>
    <t>ProfBonus</t>
  </si>
  <si>
    <t>Name</t>
  </si>
  <si>
    <t>Points</t>
  </si>
  <si>
    <t>Practice Cost Sample, examples of neutral, good &amp; bad combos</t>
  </si>
  <si>
    <t>FIGHTERS</t>
  </si>
  <si>
    <t>THIEVES</t>
  </si>
  <si>
    <t>MAGE</t>
  </si>
  <si>
    <t>Extreme Race</t>
  </si>
  <si>
    <t>Strong Race</t>
  </si>
  <si>
    <t>Worst Combo</t>
  </si>
  <si>
    <t>PRIEST</t>
  </si>
  <si>
    <t>WE ARE LACKING A STRONG DIVINE RACE</t>
  </si>
  <si>
    <t>WE ARE LACKING AN EXTREME DIVINE RACE, BUT I THINK THAT’S OK</t>
  </si>
  <si>
    <t>Ability points to level 100 is 5,000. Some of the combos use more, meaning you can't fully train to max in all abilities</t>
  </si>
  <si>
    <t xml:space="preserve">For example the Brownie Fighter need to save 1,035 points. </t>
  </si>
  <si>
    <t>Sample of radical profession change at level 50ish</t>
  </si>
  <si>
    <t>FIGHTER/CLERIC</t>
  </si>
  <si>
    <t>LVL</t>
  </si>
  <si>
    <t>Cost2</t>
  </si>
  <si>
    <t>TrainTo</t>
  </si>
  <si>
    <t>FINAL</t>
  </si>
  <si>
    <t xml:space="preserve">In this example, the player's aim was to get MAX stats in STR,HP,CON while a Dwarf fighter. </t>
  </si>
  <si>
    <t>Because the MAX of HP is 110, it took the player 55 levels of double training.</t>
  </si>
  <si>
    <t>At level 55 the player changed to Priest (Cleric)</t>
  </si>
  <si>
    <t>The final result is out on the right.</t>
  </si>
  <si>
    <t>Note that this will only be possible if we allow double training of abilities. If so, I suggest you need at least +3 bonus to double train an ability</t>
  </si>
  <si>
    <t>Necromancer</t>
  </si>
  <si>
    <t>Mage</t>
  </si>
  <si>
    <t>No Extreme Dex Race</t>
  </si>
  <si>
    <t>Suggested Race templates</t>
  </si>
  <si>
    <t>Generic</t>
  </si>
  <si>
    <t xml:space="preserve">Specialized </t>
  </si>
  <si>
    <t>Extreme</t>
  </si>
  <si>
    <t>Deep</t>
  </si>
  <si>
    <t>Specialized</t>
  </si>
  <si>
    <t>Mage/Thief</t>
  </si>
  <si>
    <t>Knight is (oddly) an evil Paladin, so they are identical</t>
  </si>
  <si>
    <t>Ranger, Druid, Priest, Necromancer are powered by divine magic</t>
  </si>
  <si>
    <t>Thieves can evolve into magic users, but not great in priestly duties.</t>
  </si>
  <si>
    <t>The fighter is more of a tank, the Barbarian the strongman</t>
  </si>
  <si>
    <t>Dwarves are very poor with magic, can make decent priests.</t>
  </si>
  <si>
    <t>Gnomes are magic experts. Brownies magic extreme.</t>
  </si>
  <si>
    <t>Half-elves are stongest class in divine (I was tempted to human, but humans are all 0, the generic class)</t>
  </si>
  <si>
    <t>Brownies and Grolls are extreme classes.</t>
  </si>
  <si>
    <t>Skill Profession Table</t>
  </si>
  <si>
    <t>GUILD LEVEL</t>
  </si>
  <si>
    <t>fighter</t>
  </si>
  <si>
    <t>knight</t>
  </si>
  <si>
    <t>paladin</t>
  </si>
  <si>
    <t>ranger</t>
  </si>
  <si>
    <t>thief</t>
  </si>
  <si>
    <t>assassin</t>
  </si>
  <si>
    <t>priest</t>
  </si>
  <si>
    <t>druid</t>
  </si>
  <si>
    <t>obsolete</t>
  </si>
  <si>
    <t>necromancer</t>
  </si>
  <si>
    <t>mage</t>
  </si>
  <si>
    <t>sorcerer</t>
  </si>
  <si>
    <t>barbarian</t>
  </si>
  <si>
    <t>level</t>
  </si>
  <si>
    <t>human</t>
  </si>
  <si>
    <t>elf</t>
  </si>
  <si>
    <t>dwarf</t>
  </si>
  <si>
    <t>halfling</t>
  </si>
  <si>
    <t>gnome</t>
  </si>
  <si>
    <t>half-orc</t>
  </si>
  <si>
    <t>half-ogre</t>
  </si>
  <si>
    <t>half-elf</t>
  </si>
  <si>
    <t>brownie</t>
  </si>
  <si>
    <t>groll</t>
  </si>
  <si>
    <t>darkelf</t>
  </si>
  <si>
    <t>magic</t>
  </si>
  <si>
    <t>divine</t>
  </si>
  <si>
    <t>strength</t>
  </si>
  <si>
    <t>dexterity</t>
  </si>
  <si>
    <t>constitution</t>
  </si>
  <si>
    <t>charisma</t>
  </si>
  <si>
    <t>brain</t>
  </si>
  <si>
    <t>hitpoints</t>
  </si>
  <si>
    <t>turn undead</t>
  </si>
  <si>
    <t>scroll use</t>
  </si>
  <si>
    <t>wand use</t>
  </si>
  <si>
    <t>consider</t>
  </si>
  <si>
    <t>diagnostics</t>
  </si>
  <si>
    <t>appraisal</t>
  </si>
  <si>
    <t>ventriloquate</t>
  </si>
  <si>
    <t>weather watching</t>
  </si>
  <si>
    <t>fleeing</t>
  </si>
  <si>
    <t>sneak</t>
  </si>
  <si>
    <t>backstab</t>
  </si>
  <si>
    <t>hide</t>
  </si>
  <si>
    <t>first aid</t>
  </si>
  <si>
    <t>pick lock</t>
  </si>
  <si>
    <t>stealing</t>
  </si>
  <si>
    <t>rescue</t>
  </si>
  <si>
    <t>search</t>
  </si>
  <si>
    <t>leadership</t>
  </si>
  <si>
    <t>kick</t>
  </si>
  <si>
    <t>swimming</t>
  </si>
  <si>
    <t>bash</t>
  </si>
  <si>
    <t>climb</t>
  </si>
  <si>
    <t>shield</t>
  </si>
  <si>
    <t>tripping</t>
  </si>
  <si>
    <t>two weapon style</t>
  </si>
  <si>
    <t>hand cuffing</t>
  </si>
  <si>
    <t>resize clothes</t>
  </si>
  <si>
    <t>resize leather</t>
  </si>
  <si>
    <t>resize metal</t>
  </si>
  <si>
    <t>Evaluating</t>
  </si>
  <si>
    <t>peeking</t>
  </si>
  <si>
    <t>pick pockets</t>
  </si>
  <si>
    <t>filching</t>
  </si>
  <si>
    <t>disarming</t>
  </si>
  <si>
    <t>skin</t>
  </si>
  <si>
    <t>shelter</t>
  </si>
  <si>
    <t>soothe</t>
  </si>
  <si>
    <t>ambush</t>
  </si>
  <si>
    <t>curare</t>
  </si>
  <si>
    <t>fashion weapon</t>
  </si>
  <si>
    <t>butcher</t>
  </si>
  <si>
    <t>lay trap</t>
  </si>
  <si>
    <t>shoot</t>
  </si>
  <si>
    <t>herbs</t>
  </si>
  <si>
    <t>forage</t>
  </si>
  <si>
    <t>dowse</t>
  </si>
  <si>
    <t>track</t>
  </si>
  <si>
    <t>hunt</t>
  </si>
  <si>
    <t>throw</t>
  </si>
  <si>
    <t>cook</t>
  </si>
  <si>
    <t>scan</t>
  </si>
  <si>
    <t>slip</t>
  </si>
  <si>
    <t>palm</t>
  </si>
  <si>
    <t>plant</t>
  </si>
  <si>
    <t>stalk</t>
  </si>
  <si>
    <t>knee</t>
  </si>
  <si>
    <t>elbow</t>
  </si>
  <si>
    <t>hit</t>
  </si>
  <si>
    <t>punch</t>
  </si>
  <si>
    <t>glance</t>
  </si>
  <si>
    <t>armor soft leather</t>
  </si>
  <si>
    <t>armor hard leather</t>
  </si>
  <si>
    <t>armor chain</t>
  </si>
  <si>
    <t>armor plate</t>
  </si>
  <si>
    <t>frenzy</t>
  </si>
  <si>
    <t>berserk</t>
  </si>
  <si>
    <t>rage</t>
  </si>
  <si>
    <t>taunt</t>
  </si>
  <si>
    <t>charge</t>
  </si>
  <si>
    <t>leap</t>
  </si>
  <si>
    <t>defend</t>
  </si>
  <si>
    <t>whirl</t>
  </si>
  <si>
    <t>cleave</t>
  </si>
  <si>
    <t>rend</t>
  </si>
  <si>
    <t>slam</t>
  </si>
  <si>
    <t>unholy blessing</t>
  </si>
  <si>
    <t>night globe</t>
  </si>
  <si>
    <t>mire</t>
  </si>
  <si>
    <t>soulfire</t>
  </si>
  <si>
    <t>brimstone</t>
  </si>
  <si>
    <t>hellfire</t>
  </si>
  <si>
    <t>lava flow</t>
  </si>
  <si>
    <t>displace magic</t>
  </si>
  <si>
    <t>condemn</t>
  </si>
  <si>
    <t>unholy shout</t>
  </si>
  <si>
    <t>unholy grasp</t>
  </si>
  <si>
    <t>unholy touch</t>
  </si>
  <si>
    <t>holy shout</t>
  </si>
  <si>
    <t>holy grasp</t>
  </si>
  <si>
    <t>holy touch</t>
  </si>
  <si>
    <t>deathly grasp</t>
  </si>
  <si>
    <t>stinking breath</t>
  </si>
  <si>
    <t>flashing grip</t>
  </si>
  <si>
    <t>acid swirl</t>
  </si>
  <si>
    <t>lightning storm</t>
  </si>
  <si>
    <t>icestorm</t>
  </si>
  <si>
    <t>fire blast</t>
  </si>
  <si>
    <t>focus</t>
  </si>
  <si>
    <t>wizard mark</t>
  </si>
  <si>
    <t>ice thorn</t>
  </si>
  <si>
    <t>summon lightning</t>
  </si>
  <si>
    <t>polarity</t>
  </si>
  <si>
    <t>brambles</t>
  </si>
  <si>
    <t>earthquake</t>
  </si>
  <si>
    <t>mud puddle</t>
  </si>
  <si>
    <t>petrify</t>
  </si>
  <si>
    <t>wind slash</t>
  </si>
  <si>
    <t>thorn strike</t>
  </si>
  <si>
    <t>poison ivy</t>
  </si>
  <si>
    <t>hedge wall</t>
  </si>
  <si>
    <t>quicksand</t>
  </si>
  <si>
    <t>tsunami</t>
  </si>
  <si>
    <t>mana boost</t>
  </si>
  <si>
    <t>sense invisible</t>
  </si>
  <si>
    <t>glowing fungus</t>
  </si>
  <si>
    <t>travel</t>
  </si>
  <si>
    <t>portal</t>
  </si>
  <si>
    <t>raise horde</t>
  </si>
  <si>
    <t>raise skeletal champion</t>
  </si>
  <si>
    <t>raise skeleton</t>
  </si>
  <si>
    <t>final rest</t>
  </si>
  <si>
    <t>unholy word</t>
  </si>
  <si>
    <t>holy word</t>
  </si>
  <si>
    <t>aid undead</t>
  </si>
  <si>
    <t>soul shift</t>
  </si>
  <si>
    <t>raise hitpoints</t>
  </si>
  <si>
    <t>group teleport</t>
  </si>
  <si>
    <t>eagle cry</t>
  </si>
  <si>
    <t>tiger claw</t>
  </si>
  <si>
    <t>refresh</t>
  </si>
  <si>
    <t>entangle</t>
  </si>
  <si>
    <t>locate animal</t>
  </si>
  <si>
    <t>charm animal</t>
  </si>
  <si>
    <t>hold animal</t>
  </si>
  <si>
    <t>heal animal</t>
  </si>
  <si>
    <t>summon animal</t>
  </si>
  <si>
    <t>blizzard</t>
  </si>
  <si>
    <t>blinding flash</t>
  </si>
  <si>
    <t>hold flight</t>
  </si>
  <si>
    <t>banish</t>
  </si>
  <si>
    <t>cause panic</t>
  </si>
  <si>
    <t>hammer hand</t>
  </si>
  <si>
    <t>slow rot</t>
  </si>
  <si>
    <t>cause cowardly flight</t>
  </si>
  <si>
    <t>cause instability</t>
  </si>
  <si>
    <t>sacred</t>
  </si>
  <si>
    <t>cone of shards</t>
  </si>
  <si>
    <t>shard breath</t>
  </si>
  <si>
    <t>sonic breath</t>
  </si>
  <si>
    <t>magic candle</t>
  </si>
  <si>
    <t>sun globe</t>
  </si>
  <si>
    <t>storm gate</t>
  </si>
  <si>
    <t>locate wanted</t>
  </si>
  <si>
    <t>find wanted</t>
  </si>
  <si>
    <t>refit</t>
  </si>
  <si>
    <t>sending</t>
  </si>
  <si>
    <t>reconstruct</t>
  </si>
  <si>
    <t>repair</t>
  </si>
  <si>
    <t>mending</t>
  </si>
  <si>
    <t>charge staff</t>
  </si>
  <si>
    <t>charge wand</t>
  </si>
  <si>
    <t>summon earth</t>
  </si>
  <si>
    <t>summon air</t>
  </si>
  <si>
    <t>summon water</t>
  </si>
  <si>
    <t>summon fire</t>
  </si>
  <si>
    <t>summon demon</t>
  </si>
  <si>
    <t>summon devil</t>
  </si>
  <si>
    <t>solar flare</t>
  </si>
  <si>
    <t>sun beam</t>
  </si>
  <si>
    <t>meteor shower</t>
  </si>
  <si>
    <t>clenched fist</t>
  </si>
  <si>
    <t>energy bolt</t>
  </si>
  <si>
    <t>life protection</t>
  </si>
  <si>
    <t>undead door</t>
  </si>
  <si>
    <t>total recall</t>
  </si>
  <si>
    <t>resurrection</t>
  </si>
  <si>
    <t>raise dead</t>
  </si>
  <si>
    <t>hold undead</t>
  </si>
  <si>
    <t>hold monster</t>
  </si>
  <si>
    <t>light breath</t>
  </si>
  <si>
    <t>gas breath</t>
  </si>
  <si>
    <t>acid breath</t>
  </si>
  <si>
    <t>lightning breath</t>
  </si>
  <si>
    <t>frost breath</t>
  </si>
  <si>
    <t>fire breath</t>
  </si>
  <si>
    <t>transport</t>
  </si>
  <si>
    <t>protection from good</t>
  </si>
  <si>
    <t>dispel good</t>
  </si>
  <si>
    <t>find path</t>
  </si>
  <si>
    <t>leaf shield</t>
  </si>
  <si>
    <t>acid ball</t>
  </si>
  <si>
    <t>spray of acid</t>
  </si>
  <si>
    <t>acid drop</t>
  </si>
  <si>
    <t>remove disease</t>
  </si>
  <si>
    <t>plague</t>
  </si>
  <si>
    <t>madness</t>
  </si>
  <si>
    <t>energy drain</t>
  </si>
  <si>
    <t>remove poison</t>
  </si>
  <si>
    <t>toxicate</t>
  </si>
  <si>
    <t>stinking cloud</t>
  </si>
  <si>
    <t>bad breath</t>
  </si>
  <si>
    <t>fart</t>
  </si>
  <si>
    <t>lightning bolt</t>
  </si>
  <si>
    <t>jolt</t>
  </si>
  <si>
    <t>electrical shock</t>
  </si>
  <si>
    <t>iceball</t>
  </si>
  <si>
    <t>frostball</t>
  </si>
  <si>
    <t>snowball</t>
  </si>
  <si>
    <t>firestorm</t>
  </si>
  <si>
    <t>fireball</t>
  </si>
  <si>
    <t>burn</t>
  </si>
  <si>
    <t>leaving</t>
  </si>
  <si>
    <t>command</t>
  </si>
  <si>
    <t>summer rain</t>
  </si>
  <si>
    <t>calm</t>
  </si>
  <si>
    <t>xray vision</t>
  </si>
  <si>
    <t>sleep</t>
  </si>
  <si>
    <t>confusion</t>
  </si>
  <si>
    <t>fear</t>
  </si>
  <si>
    <t>wizard eye</t>
  </si>
  <si>
    <t>invisibility</t>
  </si>
  <si>
    <t>colourspray</t>
  </si>
  <si>
    <t>colourbeam</t>
  </si>
  <si>
    <t>flash</t>
  </si>
  <si>
    <t>aid</t>
  </si>
  <si>
    <t>stone skin</t>
  </si>
  <si>
    <t>bone skin</t>
  </si>
  <si>
    <t>control undead</t>
  </si>
  <si>
    <t>bark skin</t>
  </si>
  <si>
    <t>leather skin</t>
  </si>
  <si>
    <t>animate dead</t>
  </si>
  <si>
    <t>hold</t>
  </si>
  <si>
    <t>stun</t>
  </si>
  <si>
    <t>continual darkness</t>
  </si>
  <si>
    <t>darkness</t>
  </si>
  <si>
    <t>continual light</t>
  </si>
  <si>
    <t>light</t>
  </si>
  <si>
    <t>create water</t>
  </si>
  <si>
    <t>create food</t>
  </si>
  <si>
    <t>gate</t>
  </si>
  <si>
    <t>minor gate</t>
  </si>
  <si>
    <t>controlled teleport</t>
  </si>
  <si>
    <t>word of recall</t>
  </si>
  <si>
    <t>storm call</t>
  </si>
  <si>
    <t>clear skies</t>
  </si>
  <si>
    <t>random teleport</t>
  </si>
  <si>
    <t>improved identify</t>
  </si>
  <si>
    <t>identify</t>
  </si>
  <si>
    <t>sense life</t>
  </si>
  <si>
    <t>detect curse</t>
  </si>
  <si>
    <t>detect undead</t>
  </si>
  <si>
    <t>detect poison</t>
  </si>
  <si>
    <t>detect magic</t>
  </si>
  <si>
    <t>detect invisible</t>
  </si>
  <si>
    <t>detect alignment</t>
  </si>
  <si>
    <t>dust devil</t>
  </si>
  <si>
    <t>slow</t>
  </si>
  <si>
    <t>drowse</t>
  </si>
  <si>
    <t>unlock</t>
  </si>
  <si>
    <t>lock</t>
  </si>
  <si>
    <t>sustain</t>
  </si>
  <si>
    <t>dispel magic</t>
  </si>
  <si>
    <t>sanctuary</t>
  </si>
  <si>
    <t>protection from evil</t>
  </si>
  <si>
    <t>acid resistance</t>
  </si>
  <si>
    <t>poison resistance</t>
  </si>
  <si>
    <t>electricity resistance</t>
  </si>
  <si>
    <t>cold resistance</t>
  </si>
  <si>
    <t>heat resistance</t>
  </si>
  <si>
    <t>mind shield</t>
  </si>
  <si>
    <t>awaken</t>
  </si>
  <si>
    <t>summoning resistance</t>
  </si>
  <si>
    <t>haste</t>
  </si>
  <si>
    <t>quicken</t>
  </si>
  <si>
    <t>divine resistance</t>
  </si>
  <si>
    <t>sun ray</t>
  </si>
  <si>
    <t>raise divine</t>
  </si>
  <si>
    <t>raise magic</t>
  </si>
  <si>
    <t>locate person</t>
  </si>
  <si>
    <t>locate object</t>
  </si>
  <si>
    <t>cure blind</t>
  </si>
  <si>
    <t>blind</t>
  </si>
  <si>
    <t>repel greater undead</t>
  </si>
  <si>
    <t>repel lesser undead</t>
  </si>
  <si>
    <t>dispel evil</t>
  </si>
  <si>
    <t>harm</t>
  </si>
  <si>
    <t>cause serious wounds</t>
  </si>
  <si>
    <t>cause light wounds</t>
  </si>
  <si>
    <t>heal</t>
  </si>
  <si>
    <t>cure serious wounds</t>
  </si>
  <si>
    <t>cure light wounds</t>
  </si>
  <si>
    <t>remove curse</t>
  </si>
  <si>
    <t>curse</t>
  </si>
  <si>
    <t>bless</t>
  </si>
  <si>
    <t>call lightning</t>
  </si>
  <si>
    <t>acid sphere</t>
  </si>
  <si>
    <t>poison sphere</t>
  </si>
  <si>
    <t>electricity sphere</t>
  </si>
  <si>
    <t>frost sphere</t>
  </si>
  <si>
    <t>fire sphere</t>
  </si>
  <si>
    <t>mind sphere</t>
  </si>
  <si>
    <t>creation sphere</t>
  </si>
  <si>
    <t>summoning sphere</t>
  </si>
  <si>
    <t>detection sphere</t>
  </si>
  <si>
    <t>protection sphere</t>
  </si>
  <si>
    <t>divine sphere</t>
  </si>
  <si>
    <t>theory</t>
  </si>
  <si>
    <t>Spell Tables</t>
  </si>
  <si>
    <t>brass knuckles</t>
  </si>
  <si>
    <t>stiletto</t>
  </si>
  <si>
    <t>javelin</t>
  </si>
  <si>
    <t>adze mattock</t>
  </si>
  <si>
    <t>main gauche</t>
  </si>
  <si>
    <t>maul</t>
  </si>
  <si>
    <t>claymore</t>
  </si>
  <si>
    <t>lance</t>
  </si>
  <si>
    <t>sling</t>
  </si>
  <si>
    <t>crossbow</t>
  </si>
  <si>
    <t>bow</t>
  </si>
  <si>
    <t>whip</t>
  </si>
  <si>
    <t>fist</t>
  </si>
  <si>
    <t>trident</t>
  </si>
  <si>
    <t>scythe</t>
  </si>
  <si>
    <t>sickle</t>
  </si>
  <si>
    <t>bardiche</t>
  </si>
  <si>
    <t>halberd</t>
  </si>
  <si>
    <t>spear</t>
  </si>
  <si>
    <t>quarterstaff</t>
  </si>
  <si>
    <t>2H V Heavy</t>
  </si>
  <si>
    <t>flail</t>
  </si>
  <si>
    <t>morning star</t>
  </si>
  <si>
    <t>club</t>
  </si>
  <si>
    <t>battle club</t>
  </si>
  <si>
    <t>mace</t>
  </si>
  <si>
    <t>battle mace</t>
  </si>
  <si>
    <t>dagger</t>
  </si>
  <si>
    <t>short sword</t>
  </si>
  <si>
    <t>rapier</t>
  </si>
  <si>
    <t>long sword</t>
  </si>
  <si>
    <t>broad sword</t>
  </si>
  <si>
    <t>falchion</t>
  </si>
  <si>
    <t>scimitar</t>
  </si>
  <si>
    <t>2H heavy</t>
  </si>
  <si>
    <t>great sword</t>
  </si>
  <si>
    <t>Think Mjolnir. Very heavy to use in 1H</t>
  </si>
  <si>
    <t>war hammer</t>
  </si>
  <si>
    <t>war mattock</t>
  </si>
  <si>
    <t>hand axe</t>
  </si>
  <si>
    <t>battle axe</t>
  </si>
  <si>
    <t>category special</t>
  </si>
  <si>
    <t>category natural</t>
  </si>
  <si>
    <t>category polearm</t>
  </si>
  <si>
    <t>category club mace</t>
  </si>
  <si>
    <t>category sword</t>
  </si>
  <si>
    <t>category axe hammer</t>
  </si>
  <si>
    <t>Notes</t>
  </si>
  <si>
    <t>Guild Level</t>
  </si>
  <si>
    <t>Weapon Tables</t>
  </si>
  <si>
    <t>Evil Paladin</t>
  </si>
  <si>
    <t>NOTES</t>
  </si>
  <si>
    <t>Some skills are locked to particular professions. Make sure they have -7 everywhere except for the profession</t>
  </si>
  <si>
    <t>As always, the bonus value from -7 to +7 both indicates the training cost and also the maximum skill</t>
  </si>
  <si>
    <t>-7 means inaccessible</t>
  </si>
  <si>
    <t>The level is the guild level. So e.g. if the unique defend skill for Barbarian require level 40, that means 40 guild levels in Barbarians</t>
  </si>
  <si>
    <t>Circle</t>
  </si>
  <si>
    <t>Weapon Circles</t>
  </si>
  <si>
    <t>Clothes</t>
  </si>
  <si>
    <t>Sleather</t>
  </si>
  <si>
    <t>Hleather</t>
  </si>
  <si>
    <t>Chain</t>
  </si>
  <si>
    <t>Plate</t>
  </si>
  <si>
    <t>Circle 1</t>
  </si>
  <si>
    <t>Circle 2</t>
  </si>
  <si>
    <t>Circle 3</t>
  </si>
  <si>
    <t>Circle 4</t>
  </si>
  <si>
    <t>Circle 5</t>
  </si>
  <si>
    <t>Circle 6</t>
  </si>
  <si>
    <t>1H Weapons</t>
  </si>
  <si>
    <t>Light 1H Weapons</t>
  </si>
  <si>
    <t>Ranged weapons</t>
  </si>
  <si>
    <t>Thoughts</t>
  </si>
  <si>
    <t>For 2H weapons, the minimum to hit is inversed from 1H weapons.</t>
  </si>
  <si>
    <t>For the 1H light weapon, you're very fast, hard to evade for anyone. But you need a serious amount of power to penetrate a plate</t>
  </si>
  <si>
    <t>Natural attacks (circle 6) are more like martial arts attacks</t>
  </si>
  <si>
    <t>That is an expression of that it is a slower weapon, harder to hit someone in clothes. But once you hit it hurts a lot. A person in plate doesn't move fast, easier to hit</t>
  </si>
  <si>
    <t>2H</t>
  </si>
  <si>
    <t>Herb cutter</t>
  </si>
  <si>
    <t>Tiny</t>
  </si>
  <si>
    <t>Bite</t>
  </si>
  <si>
    <t>Small</t>
  </si>
  <si>
    <t xml:space="preserve">Medium </t>
  </si>
  <si>
    <t>Large</t>
  </si>
  <si>
    <t>Huge</t>
  </si>
  <si>
    <t>Circle 7</t>
  </si>
  <si>
    <t>Huge Natural Attacks (beasts)</t>
  </si>
  <si>
    <t>Humanoid Natural Attacks (martial arts)</t>
  </si>
  <si>
    <t>Spell Circles</t>
  </si>
  <si>
    <t>Call lightning</t>
  </si>
  <si>
    <t>Sunray</t>
  </si>
  <si>
    <t>Dispel Evil, good</t>
  </si>
  <si>
    <t>2H weapons</t>
  </si>
  <si>
    <t>Even though it is 2H, it is mainly for mages, and hits "only" as a 1H weapon</t>
  </si>
  <si>
    <t>Not used currently</t>
  </si>
  <si>
    <t>bite tiny</t>
  </si>
  <si>
    <t>bite small</t>
  </si>
  <si>
    <t>bite medium</t>
  </si>
  <si>
    <t>bite large</t>
  </si>
  <si>
    <t>bite huge</t>
  </si>
  <si>
    <t>sting tiny</t>
  </si>
  <si>
    <t>sting small</t>
  </si>
  <si>
    <t>sting medium</t>
  </si>
  <si>
    <t>sting large</t>
  </si>
  <si>
    <t>sting huge</t>
  </si>
  <si>
    <t>claw tiny</t>
  </si>
  <si>
    <t>claw small</t>
  </si>
  <si>
    <t>claw medium</t>
  </si>
  <si>
    <t>claw large</t>
  </si>
  <si>
    <t>claw huge</t>
  </si>
  <si>
    <t>crush tiny</t>
  </si>
  <si>
    <t>crush small</t>
  </si>
  <si>
    <t>crush medium</t>
  </si>
  <si>
    <t>crush large</t>
  </si>
  <si>
    <t>crush huge</t>
  </si>
  <si>
    <t>kick tiny</t>
  </si>
  <si>
    <t>kick medium</t>
  </si>
  <si>
    <t>kick large</t>
  </si>
  <si>
    <t>kick huge</t>
  </si>
  <si>
    <t>Soft Leather</t>
  </si>
  <si>
    <t>Hard Leather</t>
  </si>
  <si>
    <t>Mana</t>
  </si>
  <si>
    <t>Divine</t>
  </si>
  <si>
    <t>Fire</t>
  </si>
  <si>
    <t>Frost</t>
  </si>
  <si>
    <t>Acid</t>
  </si>
  <si>
    <t>Shards</t>
  </si>
  <si>
    <t>Light</t>
  </si>
  <si>
    <t>Electricity</t>
  </si>
  <si>
    <t>Gas</t>
  </si>
  <si>
    <t>Sonic</t>
  </si>
  <si>
    <t>1H</t>
  </si>
  <si>
    <t>1HL</t>
  </si>
  <si>
    <t>2H DPR</t>
  </si>
  <si>
    <t>Normal</t>
  </si>
  <si>
    <t>Hasted</t>
  </si>
  <si>
    <t>1H DPR</t>
  </si>
  <si>
    <t>1H+1HL DPR</t>
  </si>
  <si>
    <t>1H+1H DPR</t>
  </si>
  <si>
    <t>//_CUTBEGIN theory</t>
  </si>
  <si>
    <t>profession fighter = -7</t>
  </si>
  <si>
    <t>profession knight = -7</t>
  </si>
  <si>
    <t>profession paladin = -7</t>
  </si>
  <si>
    <t>profession ranger = -7</t>
  </si>
  <si>
    <t>profession thief = -7</t>
  </si>
  <si>
    <t>profession assassin = -7</t>
  </si>
  <si>
    <t>profession priest = -7</t>
  </si>
  <si>
    <t>profession druid = -7</t>
  </si>
  <si>
    <t>profession obsolete = -7</t>
  </si>
  <si>
    <t>profession necromancer = -7</t>
  </si>
  <si>
    <t>profession mage = -7</t>
  </si>
  <si>
    <t>profession sorcerer = -7</t>
  </si>
  <si>
    <t>profession barbarian = -7</t>
  </si>
  <si>
    <t>// no attack circle</t>
  </si>
  <si>
    <t>//_CUTEND theory</t>
  </si>
  <si>
    <t>//_CUTBEGIN category axe hammer</t>
  </si>
  <si>
    <t>//_CUTEND category axe hammer</t>
  </si>
  <si>
    <t>//_CUTBEGIN category sword</t>
  </si>
  <si>
    <t>//_CUTEND category sword</t>
  </si>
  <si>
    <t>//_CUTBEGIN category club mace</t>
  </si>
  <si>
    <t>//_CUTEND category club mace</t>
  </si>
  <si>
    <t>//_CUTBEGIN category polearm</t>
  </si>
  <si>
    <t>//_CUTEND category polearm</t>
  </si>
  <si>
    <t>//_CUTBEGIN category natural</t>
  </si>
  <si>
    <t>//_CUTEND category natural</t>
  </si>
  <si>
    <t>//_CUTBEGIN category special</t>
  </si>
  <si>
    <t>//_CUTEND category special</t>
  </si>
  <si>
    <t>//_CUTBEGIN battle axe</t>
  </si>
  <si>
    <t>profession fighter = 2</t>
  </si>
  <si>
    <t>profession knight = 2</t>
  </si>
  <si>
    <t>profession ranger = -2</t>
  </si>
  <si>
    <t>profession barbarian = 3</t>
  </si>
  <si>
    <t>race elf = -1</t>
  </si>
  <si>
    <t>race dwarf = 3</t>
  </si>
  <si>
    <t>race halfling = -4</t>
  </si>
  <si>
    <t>race gnome = -5</t>
  </si>
  <si>
    <t>race brownie = -6</t>
  </si>
  <si>
    <t>race half-orc = -1</t>
  </si>
  <si>
    <t>race half-ogre = 1</t>
  </si>
  <si>
    <t>race groll = 2</t>
  </si>
  <si>
    <t>restrict strength = 30</t>
  </si>
  <si>
    <t>restrict level = 22</t>
  </si>
  <si>
    <t>// Circle 1, 2H swords, maces, etc</t>
  </si>
  <si>
    <t>attack clothes  = {60, 10,  4}</t>
  </si>
  <si>
    <t>attack sleather = {50,  9,  5}</t>
  </si>
  <si>
    <t>attack hleather = {40,  8,  6}</t>
  </si>
  <si>
    <t>attack chain    = {35,  7,  7}</t>
  </si>
  <si>
    <t>attack plate    = {30,  6,  8}</t>
  </si>
  <si>
    <t>//_CUTEND battle axe</t>
  </si>
  <si>
    <t>//_CUTBEGIN war mattock</t>
  </si>
  <si>
    <t>profession paladin = 0</t>
  </si>
  <si>
    <t>profession barbarian = 2</t>
  </si>
  <si>
    <t>race groll = -1</t>
  </si>
  <si>
    <t>restrict strength = 26</t>
  </si>
  <si>
    <t>restrict level = 25</t>
  </si>
  <si>
    <t>//_CUTEND war mattock</t>
  </si>
  <si>
    <t>//_CUTBEGIN great sword</t>
  </si>
  <si>
    <t>profession paladin = 3</t>
  </si>
  <si>
    <t>race elf = 1</t>
  </si>
  <si>
    <t>race dwarf = -3</t>
  </si>
  <si>
    <t>race half-ogre = 2</t>
  </si>
  <si>
    <t>//_CUTEND great sword</t>
  </si>
  <si>
    <t>//_CUTBEGIN battle mace</t>
  </si>
  <si>
    <t>profession paladin = 2</t>
  </si>
  <si>
    <t>profession priest = -1</t>
  </si>
  <si>
    <t>race dwarf = 2</t>
  </si>
  <si>
    <t>race groll = 3</t>
  </si>
  <si>
    <t>restrict strength = 37</t>
  </si>
  <si>
    <t>restrict level = 18</t>
  </si>
  <si>
    <t>//_CUTEND battle mace</t>
  </si>
  <si>
    <t>//_CUTBEGIN battle club</t>
  </si>
  <si>
    <t>profession knight = 1</t>
  </si>
  <si>
    <t>profession paladin = -2</t>
  </si>
  <si>
    <t>profession barbarian = 0</t>
  </si>
  <si>
    <t>restrict strength = 35</t>
  </si>
  <si>
    <t>restrict level = 16</t>
  </si>
  <si>
    <t>//_CUTEND battle club</t>
  </si>
  <si>
    <t>//_CUTBEGIN flail</t>
  </si>
  <si>
    <t>profession knight = 0</t>
  </si>
  <si>
    <t>profession paladin = 1</t>
  </si>
  <si>
    <t>profession barbarian = 1</t>
  </si>
  <si>
    <t>race groll = -2</t>
  </si>
  <si>
    <t>restrict strength = 32</t>
  </si>
  <si>
    <t>restrict level = 15</t>
  </si>
  <si>
    <t>//_CUTEND flail</t>
  </si>
  <si>
    <t>//_CUTBEGIN scythe</t>
  </si>
  <si>
    <t>profession fighter = -1</t>
  </si>
  <si>
    <t>profession knight = -2</t>
  </si>
  <si>
    <t>profession necromancer = -2</t>
  </si>
  <si>
    <t>restrict strength = 20</t>
  </si>
  <si>
    <t>restrict level = 20</t>
  </si>
  <si>
    <t>//_CUTEND scythe</t>
  </si>
  <si>
    <t>//_CUTBEGIN trident</t>
  </si>
  <si>
    <t>profession barbarian = -1</t>
  </si>
  <si>
    <t>race elf = -2</t>
  </si>
  <si>
    <t>//_CUTEND trident</t>
  </si>
  <si>
    <t>//_CUTBEGIN claymore</t>
  </si>
  <si>
    <t>restrict level = 45</t>
  </si>
  <si>
    <t>//_CUTEND claymore</t>
  </si>
  <si>
    <t>//_CUTBEGIN maul</t>
  </si>
  <si>
    <t>profession fighter = 0</t>
  </si>
  <si>
    <t>race human = -1</t>
  </si>
  <si>
    <t>race half-elf = -1</t>
  </si>
  <si>
    <t>race elf = -3</t>
  </si>
  <si>
    <t>race darkelf = -1</t>
  </si>
  <si>
    <t>race dwarf = -2</t>
  </si>
  <si>
    <t>race halfling = -5</t>
  </si>
  <si>
    <t>race gnome = -7</t>
  </si>
  <si>
    <t>race brownie = -7</t>
  </si>
  <si>
    <t>restrict strength = 70</t>
  </si>
  <si>
    <t>restrict level = 24</t>
  </si>
  <si>
    <t>//_CUTEND maul</t>
  </si>
  <si>
    <t>//_CUTBEGIN quarterstaff</t>
  </si>
  <si>
    <t>profession paladin = -3</t>
  </si>
  <si>
    <t>profession ranger = 3</t>
  </si>
  <si>
    <t>profession thief = 0</t>
  </si>
  <si>
    <t>profession assassin = 2</t>
  </si>
  <si>
    <t>profession priest = 0</t>
  </si>
  <si>
    <t>profession druid = 0</t>
  </si>
  <si>
    <t>profession necromancer = 0</t>
  </si>
  <si>
    <t>profession mage = 0</t>
  </si>
  <si>
    <t>profession sorcerer = 0</t>
  </si>
  <si>
    <t>// Circle 3, 1H Normal weapons (swords, maces, etc)</t>
  </si>
  <si>
    <t>attack clothes  = {50,  7,  6}</t>
  </si>
  <si>
    <t>attack sleather = {50,  6,  7}</t>
  </si>
  <si>
    <t>attack hleather = {50,  5,  8}</t>
  </si>
  <si>
    <t>attack chain    = {50,  4,  9}</t>
  </si>
  <si>
    <t>attack plate    = {50,  3, 10}</t>
  </si>
  <si>
    <t>//_CUTEND quarterstaff</t>
  </si>
  <si>
    <t>//_CUTBEGIN spear</t>
  </si>
  <si>
    <t>profession ranger = 1</t>
  </si>
  <si>
    <t>profession assassin = -3</t>
  </si>
  <si>
    <t>race dwarf = -1</t>
  </si>
  <si>
    <t>race halfling = -2</t>
  </si>
  <si>
    <t>race gnome = -3</t>
  </si>
  <si>
    <t>race brownie = -4</t>
  </si>
  <si>
    <t>race half-ogre = -1</t>
  </si>
  <si>
    <t>restrict level = 10</t>
  </si>
  <si>
    <t>//_CUTEND spear</t>
  </si>
  <si>
    <t>//_CUTBEGIN halberd</t>
  </si>
  <si>
    <t>profession paladin = -1</t>
  </si>
  <si>
    <t>race halfling = -3</t>
  </si>
  <si>
    <t>race gnome = -4</t>
  </si>
  <si>
    <t>race brownie = -5</t>
  </si>
  <si>
    <t>restrict strength = 25</t>
  </si>
  <si>
    <t>//_CUTEND halberd</t>
  </si>
  <si>
    <t>//_CUTBEGIN bardiche</t>
  </si>
  <si>
    <t>//_CUTEND bardiche</t>
  </si>
  <si>
    <t>//_CUTBEGIN sickle</t>
  </si>
  <si>
    <t>profession druid = 3</t>
  </si>
  <si>
    <t>race half-elf = 1</t>
  </si>
  <si>
    <t>race elf = 2</t>
  </si>
  <si>
    <t>race darkelf = 1</t>
  </si>
  <si>
    <t>race halfling = 1</t>
  </si>
  <si>
    <t>race gnome = 1</t>
  </si>
  <si>
    <t>race brownie = 2</t>
  </si>
  <si>
    <t>race half-ogre = -2</t>
  </si>
  <si>
    <t>race groll = -3</t>
  </si>
  <si>
    <t>restrict dexterity = 40</t>
  </si>
  <si>
    <t>// Circle 4, 1H light weapons (daggers,etc)</t>
  </si>
  <si>
    <t>attack clothes  = { 40,  3, 12}</t>
  </si>
  <si>
    <t>attack sleather = { 50,  2, 13}</t>
  </si>
  <si>
    <t>attack hleather = { 60,  1, 14}</t>
  </si>
  <si>
    <t>attack chain    = { 80,  1, 15}</t>
  </si>
  <si>
    <t>attack plate    = {100,  1, 16}</t>
  </si>
  <si>
    <t>//_CUTEND sickle</t>
  </si>
  <si>
    <t>//_CUTBEGIN lance</t>
  </si>
  <si>
    <t>restrict level = 21</t>
  </si>
  <si>
    <t>//_CUTEND lance</t>
  </si>
  <si>
    <t>//_CUTBEGIN javelin</t>
  </si>
  <si>
    <t>profession fighter = 1</t>
  </si>
  <si>
    <t>race dwarf = 0</t>
  </si>
  <si>
    <t>//_CUTEND javelin</t>
  </si>
  <si>
    <t>//_CUTBEGIN hand axe</t>
  </si>
  <si>
    <t>profession ranger = 0</t>
  </si>
  <si>
    <t>profession assassin = -1</t>
  </si>
  <si>
    <t>race halfling = 0</t>
  </si>
  <si>
    <t>race gnome = -1</t>
  </si>
  <si>
    <t>race brownie = -2</t>
  </si>
  <si>
    <t>//_CUTEND hand axe</t>
  </si>
  <si>
    <t>//_CUTBEGIN adze mattock</t>
  </si>
  <si>
    <t>race half-orc = 1</t>
  </si>
  <si>
    <t>restrict level = 14</t>
  </si>
  <si>
    <t>//_CUTEND adze mattock</t>
  </si>
  <si>
    <t>//_CUTBEGIN war hammer</t>
  </si>
  <si>
    <t>race dwarf = 1</t>
  </si>
  <si>
    <t>race halfling = -7</t>
  </si>
  <si>
    <t>restrict strength = 90</t>
  </si>
  <si>
    <t>//_CUTEND war hammer</t>
  </si>
  <si>
    <t>//_CUTBEGIN scimitar</t>
  </si>
  <si>
    <t>profession assassin = 0</t>
  </si>
  <si>
    <t>race halfling = -1</t>
  </si>
  <si>
    <t>race gnome = -2</t>
  </si>
  <si>
    <t>race half-orc = 3</t>
  </si>
  <si>
    <t>//_CUTEND scimitar</t>
  </si>
  <si>
    <t>//_CUTBEGIN falchion</t>
  </si>
  <si>
    <t>race half-orc = 2</t>
  </si>
  <si>
    <t>restrict level = 8</t>
  </si>
  <si>
    <t>//_CUTEND falchion</t>
  </si>
  <si>
    <t>//_CUTBEGIN broad sword</t>
  </si>
  <si>
    <t>profession ranger = -1</t>
  </si>
  <si>
    <t>//_CUTEND broad sword</t>
  </si>
  <si>
    <t>//_CUTBEGIN long sword</t>
  </si>
  <si>
    <t>profession ranger = 2</t>
  </si>
  <si>
    <t>//_CUTEND long sword</t>
  </si>
  <si>
    <t>//_CUTBEGIN rapier</t>
  </si>
  <si>
    <t>profession thief = 3</t>
  </si>
  <si>
    <t>profession assassin = 1</t>
  </si>
  <si>
    <t>race half-orc = -2</t>
  </si>
  <si>
    <t>race half-ogre = -5</t>
  </si>
  <si>
    <t>race groll = -7</t>
  </si>
  <si>
    <t>restrict dexterity = 30</t>
  </si>
  <si>
    <t>restrict level = 4</t>
  </si>
  <si>
    <t>//_CUTEND rapier</t>
  </si>
  <si>
    <t>//_CUTBEGIN short sword</t>
  </si>
  <si>
    <t>profession thief = 2</t>
  </si>
  <si>
    <t>restrict level = 1</t>
  </si>
  <si>
    <t>//_CUTEND short sword</t>
  </si>
  <si>
    <t>//_CUTBEGIN mace</t>
  </si>
  <si>
    <t>profession druid = -2</t>
  </si>
  <si>
    <t>restrict level = 3</t>
  </si>
  <si>
    <t>//_CUTEND mace</t>
  </si>
  <si>
    <t>//_CUTBEGIN club</t>
  </si>
  <si>
    <t>race brownie = -1</t>
  </si>
  <si>
    <t>race groll = 1</t>
  </si>
  <si>
    <t>restrict level = 5</t>
  </si>
  <si>
    <t>//_CUTEND club</t>
  </si>
  <si>
    <t>//_CUTBEGIN morning star</t>
  </si>
  <si>
    <t>//_CUTEND morning star</t>
  </si>
  <si>
    <t>//_CUTBEGIN bite tiny</t>
  </si>
  <si>
    <t>//_CUTEND bite tiny</t>
  </si>
  <si>
    <t>//_CUTBEGIN bite small</t>
  </si>
  <si>
    <t>// Circle 6, Natural attacks (needs work, huge bite, tiny bite, etc)</t>
  </si>
  <si>
    <t>attack clothes  = {35,  6,  8}</t>
  </si>
  <si>
    <t>attack sleather = {45,  5,  9}</t>
  </si>
  <si>
    <t>attack hleather = {55,  4, 10}</t>
  </si>
  <si>
    <t>attack chain    = {75,  3, 11}</t>
  </si>
  <si>
    <t>attack plate    = {95,  2, 12}</t>
  </si>
  <si>
    <t>//_CUTEND bite small</t>
  </si>
  <si>
    <t>//_CUTBEGIN bite medium</t>
  </si>
  <si>
    <t>//_CUTEND bite medium</t>
  </si>
  <si>
    <t>//_CUTBEGIN bite large</t>
  </si>
  <si>
    <t>//_CUTEND bite large</t>
  </si>
  <si>
    <t>//_CUTBEGIN bite huge</t>
  </si>
  <si>
    <t>// Circle 7, Huge attacks</t>
  </si>
  <si>
    <t>attack clothes  = {50, 10,  3}</t>
  </si>
  <si>
    <t>attack sleather = {40,  9,  3}</t>
  </si>
  <si>
    <t>attack hleather = {30,  8,  4}</t>
  </si>
  <si>
    <t>attack chain    = {20,  7,  4}</t>
  </si>
  <si>
    <t>attack plate    = {10,  6,  5}</t>
  </si>
  <si>
    <t>//_CUTEND bite huge</t>
  </si>
  <si>
    <t>//_CUTBEGIN sting tiny</t>
  </si>
  <si>
    <t>//_CUTEND sting tiny</t>
  </si>
  <si>
    <t>//_CUTBEGIN sting small</t>
  </si>
  <si>
    <t>//_CUTEND sting small</t>
  </si>
  <si>
    <t>//_CUTBEGIN sting medium</t>
  </si>
  <si>
    <t>//_CUTEND sting medium</t>
  </si>
  <si>
    <t>//_CUTBEGIN sting large</t>
  </si>
  <si>
    <t>//_CUTEND sting large</t>
  </si>
  <si>
    <t>//_CUTBEGIN sting huge</t>
  </si>
  <si>
    <t>//_CUTEND sting huge</t>
  </si>
  <si>
    <t>//_CUTBEGIN claw tiny</t>
  </si>
  <si>
    <t>//_CUTEND claw tiny</t>
  </si>
  <si>
    <t>//_CUTBEGIN claw small</t>
  </si>
  <si>
    <t>//_CUTEND claw small</t>
  </si>
  <si>
    <t>//_CUTBEGIN claw medium</t>
  </si>
  <si>
    <t>//_CUTEND claw medium</t>
  </si>
  <si>
    <t>//_CUTBEGIN claw large</t>
  </si>
  <si>
    <t>//_CUTEND claw large</t>
  </si>
  <si>
    <t>//_CUTBEGIN claw huge</t>
  </si>
  <si>
    <t>//_CUTEND claw huge</t>
  </si>
  <si>
    <t>//_CUTBEGIN crush tiny</t>
  </si>
  <si>
    <t>//_CUTEND crush tiny</t>
  </si>
  <si>
    <t>//_CUTBEGIN crush small</t>
  </si>
  <si>
    <t>//_CUTEND crush small</t>
  </si>
  <si>
    <t>//_CUTBEGIN crush medium</t>
  </si>
  <si>
    <t>//_CUTEND crush medium</t>
  </si>
  <si>
    <t>//_CUTBEGIN crush large</t>
  </si>
  <si>
    <t>//_CUTEND crush large</t>
  </si>
  <si>
    <t>//_CUTBEGIN crush huge</t>
  </si>
  <si>
    <t>//_CUTEND crush huge</t>
  </si>
  <si>
    <t>//_CUTBEGIN kick tiny</t>
  </si>
  <si>
    <t>//_CUTEND kick tiny</t>
  </si>
  <si>
    <t>//_CUTBEGIN kick medium</t>
  </si>
  <si>
    <t>//_CUTEND kick medium</t>
  </si>
  <si>
    <t>//_CUTBEGIN kick large</t>
  </si>
  <si>
    <t>//_CUTEND kick large</t>
  </si>
  <si>
    <t>//_CUTBEGIN kick huge</t>
  </si>
  <si>
    <t>//_CUTEND kick huge</t>
  </si>
  <si>
    <t>//_CUTBEGIN dagger</t>
  </si>
  <si>
    <t>profession assassin = 3</t>
  </si>
  <si>
    <t>race brownie = 1</t>
  </si>
  <si>
    <t>//_CUTEND dagger</t>
  </si>
  <si>
    <t>//_CUTBEGIN whip</t>
  </si>
  <si>
    <t>profession fighter = -2</t>
  </si>
  <si>
    <t>restrict dexterity = 50</t>
  </si>
  <si>
    <t>restrict level = 9</t>
  </si>
  <si>
    <t>//_CUTEND whip</t>
  </si>
  <si>
    <t>//_CUTBEGIN main gauche</t>
  </si>
  <si>
    <t>//_CUTEND main gauche</t>
  </si>
  <si>
    <t>//_CUTBEGIN stiletto</t>
  </si>
  <si>
    <t>profession necromancer = 3</t>
  </si>
  <si>
    <t>restrict level = 40</t>
  </si>
  <si>
    <t>//_CUTEND stiletto</t>
  </si>
  <si>
    <t>//_CUTBEGIN brass knuckles</t>
  </si>
  <si>
    <t>profession knight = -1</t>
  </si>
  <si>
    <t>profession thief = -1</t>
  </si>
  <si>
    <t>race brownie = -3</t>
  </si>
  <si>
    <t>restrict level = 12</t>
  </si>
  <si>
    <t>//_CUTEND brass knuckles</t>
  </si>
  <si>
    <t>//_CUTBEGIN bow</t>
  </si>
  <si>
    <t>profession barbarian = -2</t>
  </si>
  <si>
    <t>race half-ogre = -3</t>
  </si>
  <si>
    <t>// Circle 5, Ranged weapons</t>
  </si>
  <si>
    <t>attack clothes  = {40,  3,  8}</t>
  </si>
  <si>
    <t>attack sleather = {45,  2,  9}</t>
  </si>
  <si>
    <t>attack hleather = {50,  1, 10}</t>
  </si>
  <si>
    <t>attack chain    = {60,  1, 11}</t>
  </si>
  <si>
    <t>attack plate    = {70,  1, 12}</t>
  </si>
  <si>
    <t>//_CUTEND bow</t>
  </si>
  <si>
    <t>//_CUTBEGIN crossbow</t>
  </si>
  <si>
    <t>//_CUTEND crossbow</t>
  </si>
  <si>
    <t>//_CUTBEGIN sling</t>
  </si>
  <si>
    <t>profession barbarian = -3</t>
  </si>
  <si>
    <t>race halfling = 2</t>
  </si>
  <si>
    <t>race gnome = 2</t>
  </si>
  <si>
    <t>race groll = -4</t>
  </si>
  <si>
    <t>restrict dexterity = 20</t>
  </si>
  <si>
    <t>//_CUTEND sling</t>
  </si>
  <si>
    <t>//_CUTBEGIN fist</t>
  </si>
  <si>
    <t>profession thief = 1</t>
  </si>
  <si>
    <t>profession priest = -2</t>
  </si>
  <si>
    <t>//_CUTEND fist</t>
  </si>
  <si>
    <t>//_CUTBEGIN kick</t>
  </si>
  <si>
    <t>//_CUTEND kick</t>
  </si>
  <si>
    <t>//_CUTBEGIN knee</t>
  </si>
  <si>
    <t>restrict level = 35</t>
  </si>
  <si>
    <t>//_CUTEND knee</t>
  </si>
  <si>
    <t>//_CUTBEGIN elbow</t>
  </si>
  <si>
    <t>//_CUTEND elbow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</si>
</sst>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* #,##0\ _k_r_._-;\-* #,##0\ _k_r_._-;_-* &quot;-&quot;??\ _k_r_._-;_-@_-"/>
  </numFmts>
  <fonts count="1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7">
    <xf numFmtId="0" fontId="0" fillId="0" borderId="0"/>
    <xf numFmtId="0" fontId="1" fillId="0" borderId="0"/>
    <xf numFmtId="164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70">
    <xf numFmtId="0" fontId="0" fillId="0" borderId="0" xfId="0"/>
    <xf numFmtId="0" fontId="2" fillId="0" borderId="0" xfId="0" applyFont="1"/>
    <xf numFmtId="0" fontId="0" fillId="0" borderId="0" xfId="0" quotePrefix="1" applyAlignment="1">
      <alignment horizontal="center"/>
    </xf>
    <xf numFmtId="0" fontId="3" fillId="0" borderId="0" xfId="0" applyFont="1"/>
    <xf numFmtId="0" fontId="4" fillId="2" borderId="0" xfId="0" applyFont="1" applyFill="1" applyAlignment="1">
      <alignment horizontal="center"/>
    </xf>
    <xf numFmtId="165" fontId="2" fillId="0" borderId="0" xfId="3" applyNumberFormat="1" applyFont="1"/>
    <xf numFmtId="0" fontId="3" fillId="0" borderId="0" xfId="0" applyFont="1" applyAlignment="1">
      <alignment horizontal="center"/>
    </xf>
    <xf numFmtId="0" fontId="2" fillId="3" borderId="0" xfId="0" applyFont="1" applyFill="1"/>
    <xf numFmtId="0" fontId="2" fillId="0" borderId="0" xfId="0" applyFont="1" applyAlignment="1">
      <alignment horizontal="center"/>
    </xf>
    <xf numFmtId="0" fontId="2" fillId="0" borderId="0" xfId="0" applyFont="1" applyFill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9" fontId="0" fillId="0" borderId="0" xfId="4" applyFont="1"/>
    <xf numFmtId="0" fontId="6" fillId="0" borderId="0" xfId="0" applyFont="1"/>
    <xf numFmtId="9" fontId="0" fillId="0" borderId="0" xfId="0" applyNumberFormat="1"/>
    <xf numFmtId="9" fontId="7" fillId="0" borderId="0" xfId="4" applyFont="1" applyAlignment="1">
      <alignment horizontal="center"/>
    </xf>
    <xf numFmtId="166" fontId="0" fillId="0" borderId="0" xfId="0" applyNumberFormat="1"/>
    <xf numFmtId="166" fontId="2" fillId="0" borderId="0" xfId="0" applyNumberFormat="1" applyFont="1"/>
    <xf numFmtId="166" fontId="8" fillId="0" borderId="0" xfId="0" applyNumberFormat="1" applyFont="1"/>
    <xf numFmtId="0" fontId="2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ont="1" applyFill="1" applyAlignment="1">
      <alignment horizontal="center"/>
    </xf>
    <xf numFmtId="0" fontId="2" fillId="4" borderId="0" xfId="0" applyFont="1" applyFill="1"/>
    <xf numFmtId="0" fontId="0" fillId="4" borderId="0" xfId="0" applyFill="1"/>
    <xf numFmtId="0" fontId="9" fillId="0" borderId="0" xfId="0" applyFont="1"/>
    <xf numFmtId="166" fontId="6" fillId="0" borderId="0" xfId="0" applyNumberFormat="1" applyFont="1"/>
    <xf numFmtId="0" fontId="2" fillId="5" borderId="0" xfId="0" applyFont="1" applyFill="1" applyAlignment="1">
      <alignment horizontal="center"/>
    </xf>
    <xf numFmtId="0" fontId="2" fillId="5" borderId="0" xfId="0" applyFont="1" applyFill="1"/>
    <xf numFmtId="0" fontId="10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4" fillId="0" borderId="0" xfId="0" applyFont="1" applyAlignment="1">
      <alignment vertical="center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0" fontId="0" fillId="0" borderId="0" xfId="0" quotePrefix="1"/>
    <xf numFmtId="0" fontId="2" fillId="0" borderId="0" xfId="0" applyFont="1" applyAlignment="1">
      <alignment horizontal="center"/>
    </xf>
    <xf numFmtId="0" fontId="0" fillId="0" borderId="2" xfId="0" applyBorder="1"/>
    <xf numFmtId="0" fontId="0" fillId="0" borderId="0" xfId="0" applyBorder="1"/>
    <xf numFmtId="0" fontId="0" fillId="0" borderId="1" xfId="0" applyBorder="1"/>
    <xf numFmtId="0" fontId="0" fillId="0" borderId="0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/>
    <xf numFmtId="0" fontId="0" fillId="0" borderId="0" xfId="0" applyAlignment="1">
      <alignment horizontal="center"/>
    </xf>
    <xf numFmtId="0" fontId="14" fillId="0" borderId="0" xfId="0" applyFont="1" applyAlignment="1">
      <alignment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16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/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0" xfId="0" applyFont="1" applyAlignment="1">
      <alignment horizontal="center"/>
    </xf>
  </cellXfs>
  <cellStyles count="7">
    <cellStyle name="Comma" xfId="3" builtinId="3"/>
    <cellStyle name="Comma 2" xfId="2" xr:uid="{826C0E4D-B137-4581-80FF-1FC54FA45F0F}"/>
    <cellStyle name="Comma 2 2" xfId="5" xr:uid="{939C7746-AEBC-4F5F-A39B-A71EA9C07DDE}"/>
    <cellStyle name="Comma 3" xfId="6" xr:uid="{47CA336E-133F-4B0B-AC30-883E6C2828BE}"/>
    <cellStyle name="Normal" xfId="0" builtinId="0"/>
    <cellStyle name="Normal 2" xfId="1" xr:uid="{2D978E31-2C9D-42D1-BFA1-9D8C290E911A}"/>
    <cellStyle name="Percent" xfId="4" builtinId="5"/>
  </cellStyles>
  <dxfs count="34"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Table Style 1" pivot="0" count="0" xr9:uid="{9C9D0FD5-A920-4420-A6C5-6AA6FC2DD21B}"/>
  </tableStyles>
  <colors>
    <mruColors>
      <color rgb="FFFF9900"/>
      <color rgb="FFFF6600"/>
      <color rgb="FFCC3399"/>
      <color rgb="FF66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7620</xdr:rowOff>
        </xdr:from>
        <xdr:to>
          <xdr:col>6</xdr:col>
          <xdr:colOff>411480</xdr:colOff>
          <xdr:row>4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Ability .def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6</xdr:row>
          <xdr:rowOff>22860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A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Weapon .def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38100</xdr:rowOff>
        </xdr:from>
        <xdr:to>
          <xdr:col>5</xdr:col>
          <xdr:colOff>594360</xdr:colOff>
          <xdr:row>10</xdr:row>
          <xdr:rowOff>175260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A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Skill .def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</xdr:row>
          <xdr:rowOff>22860</xdr:rowOff>
        </xdr:from>
        <xdr:to>
          <xdr:col>5</xdr:col>
          <xdr:colOff>609600</xdr:colOff>
          <xdr:row>14</xdr:row>
          <xdr:rowOff>7620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A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Spell .def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F8CBC-F186-4D1F-88FC-2987053A0F7B}">
  <sheetPr codeName="Sheet1"/>
  <dimension ref="A1:W27"/>
  <sheetViews>
    <sheetView topLeftCell="A26" workbookViewId="0">
      <selection activeCell="A28" sqref="A28:XFD37"/>
    </sheetView>
  </sheetViews>
  <sheetFormatPr defaultRowHeight="14.4" x14ac:dyDescent="0.3"/>
  <cols>
    <col min="1" max="1" width="18" customWidth="1"/>
  </cols>
  <sheetData>
    <row r="1" spans="1:13" x14ac:dyDescent="0.3">
      <c r="A1" s="3" t="s">
        <v>41</v>
      </c>
    </row>
    <row r="2" spans="1:13" x14ac:dyDescent="0.3">
      <c r="A2" s="1"/>
    </row>
    <row r="3" spans="1:13" x14ac:dyDescent="0.3">
      <c r="A3" s="1"/>
      <c r="B3" s="6">
        <v>1</v>
      </c>
      <c r="C3" s="6">
        <v>2</v>
      </c>
      <c r="D3" s="6">
        <v>3</v>
      </c>
      <c r="E3" s="6">
        <v>4</v>
      </c>
      <c r="F3" s="6">
        <v>5</v>
      </c>
      <c r="G3" s="6">
        <v>6</v>
      </c>
      <c r="H3" s="6">
        <v>7</v>
      </c>
      <c r="I3" s="6">
        <v>8</v>
      </c>
      <c r="K3" s="6" t="s">
        <v>34</v>
      </c>
      <c r="L3" s="6" t="s">
        <v>38</v>
      </c>
      <c r="M3" s="6" t="s">
        <v>39</v>
      </c>
    </row>
    <row r="4" spans="1:13" x14ac:dyDescent="0.3">
      <c r="A4" s="1" t="s">
        <v>32</v>
      </c>
      <c r="B4" s="2">
        <v>3</v>
      </c>
      <c r="C4" s="2">
        <v>2</v>
      </c>
      <c r="D4" s="2">
        <v>1</v>
      </c>
      <c r="E4" s="2">
        <v>0</v>
      </c>
      <c r="F4" s="2">
        <v>-1</v>
      </c>
      <c r="G4" s="2">
        <v>-2</v>
      </c>
      <c r="H4" s="2">
        <v>-5</v>
      </c>
      <c r="I4" s="2">
        <v>-7</v>
      </c>
      <c r="K4" s="30">
        <f>SUM(B14:E14)</f>
        <v>34</v>
      </c>
      <c r="L4" s="30">
        <f>SUM(B14:F14)</f>
        <v>47</v>
      </c>
      <c r="M4" s="30">
        <f>SUM(B14:G14)</f>
        <v>63</v>
      </c>
    </row>
    <row r="5" spans="1:13" x14ac:dyDescent="0.3">
      <c r="A5" s="1" t="s">
        <v>30</v>
      </c>
      <c r="B5" s="2">
        <v>2</v>
      </c>
      <c r="C5" s="2">
        <v>1</v>
      </c>
      <c r="D5" s="2">
        <v>0</v>
      </c>
      <c r="E5" s="2">
        <v>0</v>
      </c>
      <c r="F5" s="2">
        <v>0</v>
      </c>
      <c r="G5" s="2">
        <v>-1</v>
      </c>
      <c r="H5" s="2">
        <v>-2</v>
      </c>
      <c r="I5" s="2">
        <v>-7</v>
      </c>
      <c r="K5" s="30">
        <f>SUM(B15:E15)</f>
        <v>37</v>
      </c>
      <c r="L5" s="30">
        <f>SUM(B15:F15)</f>
        <v>47</v>
      </c>
      <c r="M5" s="30">
        <f>SUM(B15:G15)</f>
        <v>60</v>
      </c>
    </row>
    <row r="6" spans="1:13" x14ac:dyDescent="0.3">
      <c r="A6" s="1" t="s">
        <v>33</v>
      </c>
      <c r="B6" s="2">
        <v>2</v>
      </c>
      <c r="C6" s="2">
        <v>2</v>
      </c>
      <c r="D6" s="2">
        <v>1</v>
      </c>
      <c r="E6" s="2">
        <v>0</v>
      </c>
      <c r="F6" s="2">
        <v>-1</v>
      </c>
      <c r="G6" s="2">
        <v>-2</v>
      </c>
      <c r="H6" s="2">
        <v>-2</v>
      </c>
      <c r="I6" s="2">
        <v>-7</v>
      </c>
      <c r="K6" s="30">
        <f>SUM(B16:E16)</f>
        <v>35</v>
      </c>
      <c r="L6" s="30">
        <f>SUM(B16:F16)</f>
        <v>48</v>
      </c>
      <c r="M6" s="30">
        <f>SUM(B16:G16)</f>
        <v>64</v>
      </c>
    </row>
    <row r="8" spans="1:13" x14ac:dyDescent="0.3">
      <c r="A8" s="3" t="s">
        <v>53</v>
      </c>
    </row>
    <row r="9" spans="1:13" x14ac:dyDescent="0.3">
      <c r="A9" s="1" t="str">
        <f>A4</f>
        <v>PureNM</v>
      </c>
      <c r="B9" s="30">
        <f t="shared" ref="B9:I11" si="0">VLOOKUP(B4,TblBonusMaxSkill, 2)</f>
        <v>105</v>
      </c>
      <c r="C9" s="30">
        <f t="shared" si="0"/>
        <v>100</v>
      </c>
      <c r="D9" s="30">
        <f t="shared" si="0"/>
        <v>90</v>
      </c>
      <c r="E9" s="30">
        <f t="shared" si="0"/>
        <v>80</v>
      </c>
      <c r="F9" s="30">
        <f t="shared" si="0"/>
        <v>70</v>
      </c>
      <c r="G9" s="30">
        <f t="shared" si="0"/>
        <v>60</v>
      </c>
      <c r="H9" s="30">
        <f t="shared" si="0"/>
        <v>30</v>
      </c>
      <c r="I9" s="30">
        <f t="shared" si="0"/>
        <v>0</v>
      </c>
    </row>
    <row r="10" spans="1:13" x14ac:dyDescent="0.3">
      <c r="A10" s="1" t="str">
        <f>A5</f>
        <v>Semi</v>
      </c>
      <c r="B10" s="30">
        <f t="shared" si="0"/>
        <v>100</v>
      </c>
      <c r="C10" s="30">
        <f t="shared" si="0"/>
        <v>90</v>
      </c>
      <c r="D10" s="30">
        <f t="shared" si="0"/>
        <v>80</v>
      </c>
      <c r="E10" s="30">
        <f t="shared" si="0"/>
        <v>80</v>
      </c>
      <c r="F10" s="30">
        <f t="shared" si="0"/>
        <v>80</v>
      </c>
      <c r="G10" s="30">
        <f t="shared" si="0"/>
        <v>70</v>
      </c>
      <c r="H10" s="30">
        <f t="shared" si="0"/>
        <v>60</v>
      </c>
      <c r="I10" s="30">
        <f t="shared" si="0"/>
        <v>0</v>
      </c>
    </row>
    <row r="11" spans="1:13" x14ac:dyDescent="0.3">
      <c r="A11" s="1" t="str">
        <f>A6</f>
        <v>PureMA</v>
      </c>
      <c r="B11" s="30">
        <f t="shared" si="0"/>
        <v>100</v>
      </c>
      <c r="C11" s="30">
        <f t="shared" si="0"/>
        <v>100</v>
      </c>
      <c r="D11" s="30">
        <f t="shared" si="0"/>
        <v>90</v>
      </c>
      <c r="E11" s="30">
        <f t="shared" si="0"/>
        <v>80</v>
      </c>
      <c r="F11" s="30">
        <f t="shared" si="0"/>
        <v>70</v>
      </c>
      <c r="G11" s="30">
        <f t="shared" si="0"/>
        <v>60</v>
      </c>
      <c r="H11" s="30">
        <f t="shared" si="0"/>
        <v>60</v>
      </c>
      <c r="I11" s="30">
        <f t="shared" si="0"/>
        <v>0</v>
      </c>
    </row>
    <row r="12" spans="1:13" x14ac:dyDescent="0.3">
      <c r="B12" s="30"/>
      <c r="C12" s="30"/>
      <c r="D12" s="30"/>
      <c r="E12" s="30"/>
      <c r="F12" s="30"/>
      <c r="G12" s="30"/>
      <c r="H12" s="30"/>
      <c r="I12" s="30"/>
    </row>
    <row r="13" spans="1:13" x14ac:dyDescent="0.3">
      <c r="A13" s="3" t="s">
        <v>37</v>
      </c>
      <c r="B13" s="30"/>
      <c r="C13" s="30"/>
      <c r="D13" s="30"/>
      <c r="E13" s="30"/>
      <c r="F13" s="30"/>
      <c r="G13" s="30"/>
      <c r="H13" s="30"/>
      <c r="I13" s="30"/>
    </row>
    <row r="14" spans="1:13" x14ac:dyDescent="0.3">
      <c r="A14" s="1" t="str">
        <f>A4</f>
        <v>PureNM</v>
      </c>
      <c r="B14" s="30">
        <f>HLOOKUP(B4,Practice!$B$5:$P$6,2)</f>
        <v>7</v>
      </c>
      <c r="C14" s="30">
        <f>HLOOKUP(C4,Practice!$B$5:$P$6,2)</f>
        <v>8</v>
      </c>
      <c r="D14" s="30">
        <f>HLOOKUP(D4,Practice!$B$5:$P$6,2)</f>
        <v>9</v>
      </c>
      <c r="E14" s="30">
        <f>HLOOKUP(E4,Practice!$B$5:$P$6,2)</f>
        <v>10</v>
      </c>
      <c r="F14" s="30">
        <f>HLOOKUP(F4,Practice!$B$5:$P$6,2)</f>
        <v>13</v>
      </c>
      <c r="G14" s="30">
        <f>HLOOKUP(G4,Practice!$B$5:$P$6,2)</f>
        <v>16</v>
      </c>
      <c r="H14" s="30">
        <f>HLOOKUP(H4,Practice!$B$5:$P$6,2)</f>
        <v>25</v>
      </c>
      <c r="I14" s="30">
        <f>HLOOKUP(I4,Practice!$B$5:$P$6,2)</f>
        <v>31</v>
      </c>
    </row>
    <row r="15" spans="1:13" x14ac:dyDescent="0.3">
      <c r="A15" s="1" t="str">
        <f>A5</f>
        <v>Semi</v>
      </c>
      <c r="B15" s="30">
        <f>HLOOKUP(B5,Practice!$B$5:$P$6,2)</f>
        <v>8</v>
      </c>
      <c r="C15" s="30">
        <f>HLOOKUP(C5,Practice!$B$5:$P$6,2)</f>
        <v>9</v>
      </c>
      <c r="D15" s="30">
        <f>HLOOKUP(D5,Practice!$B$5:$P$6,2)</f>
        <v>10</v>
      </c>
      <c r="E15" s="30">
        <f>HLOOKUP(E5,Practice!$B$5:$P$6,2)</f>
        <v>10</v>
      </c>
      <c r="F15" s="30">
        <f>HLOOKUP(F5,Practice!$B$5:$P$6,2)</f>
        <v>10</v>
      </c>
      <c r="G15" s="30">
        <f>HLOOKUP(G5,Practice!$B$5:$P$6,2)</f>
        <v>13</v>
      </c>
      <c r="H15" s="30">
        <f>HLOOKUP(H5,Practice!$B$5:$P$6,2)</f>
        <v>16</v>
      </c>
      <c r="I15" s="30">
        <f>HLOOKUP(I5,Practice!$B$5:$P$6,2)</f>
        <v>31</v>
      </c>
    </row>
    <row r="16" spans="1:13" x14ac:dyDescent="0.3">
      <c r="A16" s="1" t="str">
        <f>A6</f>
        <v>PureMA</v>
      </c>
      <c r="B16" s="30">
        <f>HLOOKUP(B6,Practice!$B$5:$P$6,2)</f>
        <v>8</v>
      </c>
      <c r="C16" s="30">
        <f>HLOOKUP(C6,Practice!$B$5:$P$6,2)</f>
        <v>8</v>
      </c>
      <c r="D16" s="30">
        <f>HLOOKUP(D6,Practice!$B$5:$P$6,2)</f>
        <v>9</v>
      </c>
      <c r="E16" s="30">
        <f>HLOOKUP(E6,Practice!$B$5:$P$6,2)</f>
        <v>10</v>
      </c>
      <c r="F16" s="30">
        <f>HLOOKUP(F6,Practice!$B$5:$P$6,2)</f>
        <v>13</v>
      </c>
      <c r="G16" s="30">
        <f>HLOOKUP(G6,Practice!$B$5:$P$6,2)</f>
        <v>16</v>
      </c>
      <c r="H16" s="30">
        <f>HLOOKUP(H6,Practice!$B$5:$P$6,2)</f>
        <v>16</v>
      </c>
      <c r="I16" s="30">
        <f>HLOOKUP(I6,Practice!$B$5:$P$6,2)</f>
        <v>31</v>
      </c>
    </row>
    <row r="17" spans="1:23" x14ac:dyDescent="0.3">
      <c r="A17" s="1"/>
      <c r="B17" s="30"/>
      <c r="C17" s="30"/>
      <c r="D17" s="30"/>
      <c r="E17" s="30"/>
      <c r="F17" s="30"/>
      <c r="G17" s="30"/>
      <c r="H17" s="30"/>
      <c r="I17" s="30"/>
    </row>
    <row r="18" spans="1:23" s="47" customFormat="1" x14ac:dyDescent="0.3"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</row>
    <row r="19" spans="1:23" s="47" customFormat="1" x14ac:dyDescent="0.3">
      <c r="A19" s="1"/>
      <c r="B19" s="46" t="s">
        <v>541</v>
      </c>
      <c r="C19" s="50"/>
      <c r="D19" s="50"/>
      <c r="E19" s="50"/>
      <c r="F19" s="46" t="s">
        <v>543</v>
      </c>
      <c r="G19" s="50"/>
      <c r="H19" s="46"/>
      <c r="I19" s="46" t="s">
        <v>542</v>
      </c>
      <c r="L19" s="46"/>
      <c r="R19" s="65"/>
      <c r="S19" s="65"/>
      <c r="T19" s="65"/>
      <c r="U19" s="65"/>
      <c r="V19" s="65"/>
      <c r="W19" s="65"/>
    </row>
    <row r="20" spans="1:23" s="47" customFormat="1" x14ac:dyDescent="0.3">
      <c r="A20" s="1" t="s">
        <v>540</v>
      </c>
      <c r="C20" s="67" t="s">
        <v>515</v>
      </c>
      <c r="D20" s="67"/>
      <c r="E20" s="68"/>
      <c r="F20" s="66" t="s">
        <v>516</v>
      </c>
      <c r="G20" s="67"/>
      <c r="H20" s="68"/>
      <c r="I20" s="66" t="s">
        <v>517</v>
      </c>
      <c r="J20" s="67"/>
      <c r="K20" s="68"/>
      <c r="L20" s="66" t="s">
        <v>518</v>
      </c>
      <c r="M20" s="67"/>
      <c r="N20" s="68"/>
      <c r="O20" s="66" t="s">
        <v>519</v>
      </c>
      <c r="P20" s="67"/>
      <c r="Q20" s="68"/>
      <c r="R20" s="66" t="s">
        <v>520</v>
      </c>
      <c r="S20" s="67"/>
      <c r="T20" s="68"/>
      <c r="U20" s="65" t="s">
        <v>537</v>
      </c>
      <c r="V20" s="65"/>
      <c r="W20" s="65"/>
    </row>
    <row r="21" spans="1:23" s="47" customFormat="1" x14ac:dyDescent="0.3">
      <c r="B21" s="47" t="s">
        <v>510</v>
      </c>
      <c r="C21" s="51">
        <v>70</v>
      </c>
      <c r="D21" s="51">
        <v>16</v>
      </c>
      <c r="E21" s="52">
        <v>4</v>
      </c>
      <c r="F21" s="53">
        <v>55</v>
      </c>
      <c r="G21" s="51">
        <v>15</v>
      </c>
      <c r="H21" s="52">
        <v>5</v>
      </c>
      <c r="I21" s="53">
        <v>60</v>
      </c>
      <c r="J21" s="51">
        <v>17</v>
      </c>
      <c r="K21" s="52">
        <v>5</v>
      </c>
      <c r="L21" s="53">
        <v>40</v>
      </c>
      <c r="M21" s="43">
        <v>3</v>
      </c>
      <c r="N21" s="52">
        <v>13</v>
      </c>
      <c r="O21" s="44">
        <v>40</v>
      </c>
      <c r="P21" s="43">
        <v>3</v>
      </c>
      <c r="Q21" s="45">
        <v>8</v>
      </c>
      <c r="R21" s="53">
        <v>35</v>
      </c>
      <c r="S21" s="43">
        <v>6</v>
      </c>
      <c r="T21" s="52">
        <v>8</v>
      </c>
      <c r="U21" s="51">
        <v>50</v>
      </c>
      <c r="V21" s="51">
        <v>10</v>
      </c>
      <c r="W21" s="52">
        <v>3</v>
      </c>
    </row>
    <row r="22" spans="1:23" x14ac:dyDescent="0.3">
      <c r="A22" s="47"/>
      <c r="B22" s="47" t="s">
        <v>511</v>
      </c>
      <c r="C22" s="51">
        <v>50</v>
      </c>
      <c r="D22" s="51">
        <v>17</v>
      </c>
      <c r="E22" s="52">
        <v>5</v>
      </c>
      <c r="F22" s="53">
        <v>60</v>
      </c>
      <c r="G22" s="51">
        <v>15</v>
      </c>
      <c r="H22" s="52">
        <v>6</v>
      </c>
      <c r="I22" s="53">
        <v>60</v>
      </c>
      <c r="J22" s="51">
        <v>16</v>
      </c>
      <c r="K22" s="52">
        <v>6</v>
      </c>
      <c r="L22" s="53">
        <v>50</v>
      </c>
      <c r="M22" s="43">
        <v>2</v>
      </c>
      <c r="N22" s="52">
        <v>14</v>
      </c>
      <c r="O22" s="44">
        <v>45</v>
      </c>
      <c r="P22" s="43">
        <v>2</v>
      </c>
      <c r="Q22" s="45">
        <v>9</v>
      </c>
      <c r="R22" s="53">
        <v>45</v>
      </c>
      <c r="S22" s="43">
        <v>5</v>
      </c>
      <c r="T22" s="52">
        <v>9</v>
      </c>
      <c r="U22" s="51">
        <v>40</v>
      </c>
      <c r="V22" s="51">
        <v>9</v>
      </c>
      <c r="W22" s="52">
        <v>4</v>
      </c>
    </row>
    <row r="23" spans="1:23" s="47" customFormat="1" x14ac:dyDescent="0.3">
      <c r="B23" s="47" t="s">
        <v>512</v>
      </c>
      <c r="C23" s="51">
        <v>40</v>
      </c>
      <c r="D23" s="51">
        <v>18</v>
      </c>
      <c r="E23" s="52">
        <v>6</v>
      </c>
      <c r="F23" s="53">
        <v>60</v>
      </c>
      <c r="G23" s="51">
        <v>15</v>
      </c>
      <c r="H23" s="52">
        <v>7</v>
      </c>
      <c r="I23" s="53">
        <v>50</v>
      </c>
      <c r="J23" s="51">
        <v>15</v>
      </c>
      <c r="K23" s="52">
        <v>7</v>
      </c>
      <c r="L23" s="53">
        <v>60</v>
      </c>
      <c r="M23" s="43">
        <v>1</v>
      </c>
      <c r="N23" s="52">
        <v>15</v>
      </c>
      <c r="O23" s="44">
        <v>50</v>
      </c>
      <c r="P23" s="43">
        <v>1</v>
      </c>
      <c r="Q23" s="45">
        <v>10</v>
      </c>
      <c r="R23" s="53">
        <v>55</v>
      </c>
      <c r="S23" s="43">
        <v>4</v>
      </c>
      <c r="T23" s="52">
        <v>10</v>
      </c>
      <c r="U23" s="51">
        <v>30</v>
      </c>
      <c r="V23" s="51">
        <v>8</v>
      </c>
      <c r="W23" s="52">
        <v>5</v>
      </c>
    </row>
    <row r="24" spans="1:23" s="47" customFormat="1" x14ac:dyDescent="0.3">
      <c r="B24" s="47" t="s">
        <v>513</v>
      </c>
      <c r="C24" s="51">
        <v>40</v>
      </c>
      <c r="D24" s="51">
        <v>19</v>
      </c>
      <c r="E24" s="52">
        <v>7</v>
      </c>
      <c r="F24" s="53">
        <v>70</v>
      </c>
      <c r="G24" s="51">
        <v>15</v>
      </c>
      <c r="H24" s="52">
        <v>8</v>
      </c>
      <c r="I24" s="53">
        <v>50</v>
      </c>
      <c r="J24" s="51">
        <v>14</v>
      </c>
      <c r="K24" s="52">
        <v>8</v>
      </c>
      <c r="L24" s="53">
        <v>80</v>
      </c>
      <c r="M24" s="51">
        <v>1</v>
      </c>
      <c r="N24" s="52">
        <v>16</v>
      </c>
      <c r="O24" s="53">
        <v>60</v>
      </c>
      <c r="P24" s="51">
        <v>1</v>
      </c>
      <c r="Q24" s="52">
        <v>11</v>
      </c>
      <c r="R24" s="53">
        <v>75</v>
      </c>
      <c r="S24" s="43">
        <v>3</v>
      </c>
      <c r="T24" s="52">
        <v>11</v>
      </c>
      <c r="U24" s="51">
        <v>20</v>
      </c>
      <c r="V24" s="51">
        <v>7</v>
      </c>
      <c r="W24" s="52">
        <v>6</v>
      </c>
    </row>
    <row r="25" spans="1:23" s="47" customFormat="1" x14ac:dyDescent="0.3">
      <c r="B25" s="47" t="s">
        <v>514</v>
      </c>
      <c r="C25" s="51">
        <v>40</v>
      </c>
      <c r="D25" s="51">
        <v>20</v>
      </c>
      <c r="E25" s="52">
        <v>8</v>
      </c>
      <c r="F25" s="53">
        <v>80</v>
      </c>
      <c r="G25" s="51">
        <v>15</v>
      </c>
      <c r="H25" s="52">
        <v>9</v>
      </c>
      <c r="I25" s="53">
        <v>55</v>
      </c>
      <c r="J25" s="51">
        <v>13</v>
      </c>
      <c r="K25" s="52">
        <v>9</v>
      </c>
      <c r="L25" s="53">
        <v>100</v>
      </c>
      <c r="M25" s="51">
        <v>1</v>
      </c>
      <c r="N25" s="52">
        <v>17</v>
      </c>
      <c r="O25" s="53">
        <v>70</v>
      </c>
      <c r="P25" s="51">
        <v>1</v>
      </c>
      <c r="Q25" s="52">
        <v>12</v>
      </c>
      <c r="R25" s="53">
        <v>95</v>
      </c>
      <c r="S25" s="43">
        <v>2</v>
      </c>
      <c r="T25" s="52">
        <v>12</v>
      </c>
      <c r="U25" s="51">
        <v>10</v>
      </c>
      <c r="V25" s="51">
        <v>6</v>
      </c>
      <c r="W25" s="52">
        <v>7</v>
      </c>
    </row>
    <row r="26" spans="1:23" s="47" customFormat="1" x14ac:dyDescent="0.3">
      <c r="C26" s="51"/>
      <c r="D26" s="51"/>
      <c r="E26" s="52"/>
      <c r="F26" s="53"/>
      <c r="G26" s="51"/>
      <c r="H26" s="52"/>
      <c r="I26" s="53"/>
      <c r="J26" s="51"/>
      <c r="K26" s="52"/>
      <c r="L26" s="53"/>
      <c r="M26" s="51"/>
      <c r="N26" s="52"/>
      <c r="O26" s="53"/>
      <c r="P26" s="51"/>
      <c r="Q26" s="52"/>
      <c r="R26" s="40"/>
      <c r="S26" s="41"/>
      <c r="T26" s="42"/>
    </row>
    <row r="27" spans="1:23" s="47" customFormat="1" x14ac:dyDescent="0.3"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</row>
  </sheetData>
  <mergeCells count="9">
    <mergeCell ref="R19:T19"/>
    <mergeCell ref="U19:W19"/>
    <mergeCell ref="R20:T20"/>
    <mergeCell ref="U20:W20"/>
    <mergeCell ref="C20:E20"/>
    <mergeCell ref="F20:H20"/>
    <mergeCell ref="I20:K20"/>
    <mergeCell ref="L20:N20"/>
    <mergeCell ref="O20:Q20"/>
  </mergeCells>
  <phoneticPr fontId="15" type="noConversion"/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B4029-69F0-4CDD-963A-C8704B62ADBC}">
  <sheetPr codeName="Sheet2"/>
  <dimension ref="A1:P35"/>
  <sheetViews>
    <sheetView workbookViewId="0">
      <selection activeCell="B7" sqref="B7"/>
    </sheetView>
  </sheetViews>
  <sheetFormatPr defaultRowHeight="14.4" x14ac:dyDescent="0.3"/>
  <cols>
    <col min="5" max="5" width="9.33203125" customWidth="1"/>
    <col min="6" max="6" width="9" bestFit="1" customWidth="1"/>
  </cols>
  <sheetData>
    <row r="1" spans="1:16" x14ac:dyDescent="0.3">
      <c r="A1" s="1" t="s">
        <v>25</v>
      </c>
    </row>
    <row r="3" spans="1:16" x14ac:dyDescent="0.3">
      <c r="A3" s="1" t="s">
        <v>24</v>
      </c>
    </row>
    <row r="4" spans="1:16" x14ac:dyDescent="0.3">
      <c r="A4" s="1" t="s">
        <v>60</v>
      </c>
      <c r="B4" s="69" t="s">
        <v>29</v>
      </c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</row>
    <row r="5" spans="1:16" x14ac:dyDescent="0.3">
      <c r="B5" s="22">
        <v>-7</v>
      </c>
      <c r="C5" s="22">
        <v>-6</v>
      </c>
      <c r="D5" s="22">
        <v>-5</v>
      </c>
      <c r="E5" s="22">
        <v>-4</v>
      </c>
      <c r="F5" s="22">
        <v>-3</v>
      </c>
      <c r="G5" s="22">
        <v>-2</v>
      </c>
      <c r="H5" s="22">
        <v>-1</v>
      </c>
      <c r="I5" s="22">
        <v>0</v>
      </c>
      <c r="J5" s="22">
        <v>1</v>
      </c>
      <c r="K5" s="22">
        <v>2</v>
      </c>
      <c r="L5" s="22">
        <v>3</v>
      </c>
      <c r="M5" s="22">
        <v>4</v>
      </c>
      <c r="N5" s="22">
        <v>5</v>
      </c>
      <c r="O5" s="22">
        <v>6</v>
      </c>
      <c r="P5" s="22">
        <v>7</v>
      </c>
    </row>
    <row r="6" spans="1:16" x14ac:dyDescent="0.3">
      <c r="A6" s="1" t="s">
        <v>26</v>
      </c>
      <c r="B6" s="23">
        <v>31</v>
      </c>
      <c r="C6" s="23">
        <v>28</v>
      </c>
      <c r="D6" s="23">
        <v>25</v>
      </c>
      <c r="E6" s="23">
        <v>22</v>
      </c>
      <c r="F6" s="23">
        <v>19</v>
      </c>
      <c r="G6" s="23">
        <v>16</v>
      </c>
      <c r="H6" s="23">
        <v>13</v>
      </c>
      <c r="I6" s="23">
        <v>10</v>
      </c>
      <c r="J6" s="23">
        <v>9</v>
      </c>
      <c r="K6" s="23">
        <v>8</v>
      </c>
      <c r="L6" s="23">
        <v>7</v>
      </c>
      <c r="M6" s="23">
        <v>6</v>
      </c>
      <c r="N6" s="23">
        <v>5</v>
      </c>
      <c r="O6" s="23">
        <v>5</v>
      </c>
      <c r="P6" s="23">
        <v>5</v>
      </c>
    </row>
    <row r="7" spans="1:16" x14ac:dyDescent="0.3">
      <c r="A7" s="1" t="s">
        <v>27</v>
      </c>
      <c r="B7" s="23">
        <v>0</v>
      </c>
      <c r="C7" s="23">
        <v>0</v>
      </c>
      <c r="D7" s="23">
        <v>0</v>
      </c>
      <c r="E7" s="23">
        <v>0</v>
      </c>
      <c r="F7" s="23">
        <v>0</v>
      </c>
      <c r="G7" s="23">
        <v>0</v>
      </c>
      <c r="H7" s="23">
        <v>0</v>
      </c>
      <c r="I7" s="23">
        <v>0</v>
      </c>
      <c r="J7" s="23">
        <v>14</v>
      </c>
      <c r="K7" s="23">
        <v>12</v>
      </c>
      <c r="L7" s="23">
        <v>11</v>
      </c>
      <c r="M7" s="23">
        <v>9</v>
      </c>
      <c r="N7" s="23">
        <v>8</v>
      </c>
      <c r="O7" s="23">
        <v>8</v>
      </c>
      <c r="P7" s="23">
        <v>8</v>
      </c>
    </row>
    <row r="8" spans="1:16" x14ac:dyDescent="0.3">
      <c r="A8" s="1" t="s">
        <v>28</v>
      </c>
      <c r="B8" s="23">
        <v>0</v>
      </c>
      <c r="C8" s="23">
        <v>0</v>
      </c>
      <c r="D8" s="23">
        <v>0</v>
      </c>
      <c r="E8" s="23">
        <v>0</v>
      </c>
      <c r="F8" s="23">
        <v>0</v>
      </c>
      <c r="G8" s="23">
        <v>0</v>
      </c>
      <c r="H8" s="23">
        <v>0</v>
      </c>
      <c r="I8" s="23">
        <v>0</v>
      </c>
      <c r="J8" s="23">
        <v>0</v>
      </c>
      <c r="K8" s="23">
        <v>0</v>
      </c>
      <c r="L8" s="23">
        <v>16</v>
      </c>
      <c r="M8" s="23">
        <v>14</v>
      </c>
      <c r="N8" s="23">
        <v>12</v>
      </c>
      <c r="O8" s="23">
        <v>12</v>
      </c>
      <c r="P8" s="23">
        <v>12</v>
      </c>
    </row>
    <row r="9" spans="1:16" x14ac:dyDescent="0.3">
      <c r="B9" s="24" t="s">
        <v>57</v>
      </c>
    </row>
    <row r="11" spans="1:16" x14ac:dyDescent="0.3">
      <c r="A11" s="1" t="s">
        <v>61</v>
      </c>
    </row>
    <row r="12" spans="1:16" x14ac:dyDescent="0.3">
      <c r="A12" s="1" t="s">
        <v>35</v>
      </c>
    </row>
    <row r="13" spans="1:16" x14ac:dyDescent="0.3">
      <c r="A13" s="1" t="s">
        <v>58</v>
      </c>
    </row>
    <row r="14" spans="1:16" x14ac:dyDescent="0.3">
      <c r="A14" s="1" t="s">
        <v>59</v>
      </c>
    </row>
    <row r="15" spans="1:16" x14ac:dyDescent="0.3">
      <c r="A15" s="1"/>
    </row>
    <row r="16" spans="1:16" x14ac:dyDescent="0.3">
      <c r="A16" s="1" t="s">
        <v>48</v>
      </c>
    </row>
    <row r="17" spans="1:6" x14ac:dyDescent="0.3">
      <c r="A17" s="1"/>
    </row>
    <row r="18" spans="1:6" x14ac:dyDescent="0.3">
      <c r="A18" s="10" t="s">
        <v>49</v>
      </c>
      <c r="B18" s="10" t="s">
        <v>51</v>
      </c>
      <c r="D18" s="1" t="s">
        <v>52</v>
      </c>
      <c r="E18" s="1" t="s">
        <v>54</v>
      </c>
    </row>
    <row r="19" spans="1:6" x14ac:dyDescent="0.3">
      <c r="A19" s="19">
        <v>-7</v>
      </c>
      <c r="B19" s="20">
        <v>0</v>
      </c>
      <c r="C19" s="15" t="s">
        <v>40</v>
      </c>
      <c r="F19" t="s">
        <v>50</v>
      </c>
    </row>
    <row r="20" spans="1:6" x14ac:dyDescent="0.3">
      <c r="A20" s="20">
        <v>-6</v>
      </c>
      <c r="B20" s="20">
        <v>15</v>
      </c>
      <c r="C20" s="12">
        <f t="shared" ref="C20:C27" si="0">$B$28/B20-1</f>
        <v>5.666666666666667</v>
      </c>
      <c r="D20" s="13"/>
    </row>
    <row r="21" spans="1:6" x14ac:dyDescent="0.3">
      <c r="A21" s="19">
        <v>-5</v>
      </c>
      <c r="B21" s="20">
        <v>30</v>
      </c>
      <c r="C21" s="12">
        <f t="shared" si="0"/>
        <v>2.3333333333333335</v>
      </c>
      <c r="D21" s="25">
        <f>HLOOKUP(A21,Practice!$B$5:$P$6,2)</f>
        <v>25</v>
      </c>
      <c r="E21" s="17">
        <f>D21*B21</f>
        <v>750</v>
      </c>
    </row>
    <row r="22" spans="1:6" x14ac:dyDescent="0.3">
      <c r="A22" s="20">
        <v>-4</v>
      </c>
      <c r="B22" s="20">
        <v>40</v>
      </c>
      <c r="C22" s="12">
        <f t="shared" si="0"/>
        <v>1.5</v>
      </c>
      <c r="D22" s="25">
        <f>HLOOKUP(A22,Practice!$B$5:$P$6,2)</f>
        <v>22</v>
      </c>
    </row>
    <row r="23" spans="1:6" x14ac:dyDescent="0.3">
      <c r="A23" s="21">
        <v>-3</v>
      </c>
      <c r="B23" s="20">
        <v>50</v>
      </c>
      <c r="C23" s="12">
        <f t="shared" si="0"/>
        <v>1</v>
      </c>
      <c r="D23" s="25">
        <f>HLOOKUP(A23,Practice!$B$5:$P$6,2)</f>
        <v>19</v>
      </c>
      <c r="E23" s="16"/>
    </row>
    <row r="24" spans="1:6" x14ac:dyDescent="0.3">
      <c r="A24" s="19">
        <v>-2</v>
      </c>
      <c r="B24" s="20">
        <v>60</v>
      </c>
      <c r="C24" s="12">
        <f t="shared" si="0"/>
        <v>0.66666666666666674</v>
      </c>
      <c r="D24" s="25">
        <f>HLOOKUP(A24,Practice!$B$5:$P$6,2)</f>
        <v>16</v>
      </c>
      <c r="E24" s="17">
        <f t="shared" ref="E24:E29" si="1">D24*B24</f>
        <v>960</v>
      </c>
    </row>
    <row r="25" spans="1:6" x14ac:dyDescent="0.3">
      <c r="A25" s="19">
        <v>-1</v>
      </c>
      <c r="B25" s="20">
        <v>70</v>
      </c>
      <c r="C25" s="12">
        <f t="shared" si="0"/>
        <v>0.4285714285714286</v>
      </c>
      <c r="D25" s="25">
        <f>HLOOKUP(A25,Practice!$B$5:$P$6,2)</f>
        <v>13</v>
      </c>
      <c r="E25" s="17">
        <f t="shared" si="1"/>
        <v>910</v>
      </c>
    </row>
    <row r="26" spans="1:6" x14ac:dyDescent="0.3">
      <c r="A26" s="19">
        <v>0</v>
      </c>
      <c r="B26" s="20">
        <v>80</v>
      </c>
      <c r="C26" s="12">
        <f t="shared" si="0"/>
        <v>0.25</v>
      </c>
      <c r="D26" s="25">
        <f>HLOOKUP(A26,Practice!$B$5:$P$6,2)</f>
        <v>10</v>
      </c>
      <c r="E26" s="17">
        <f t="shared" si="1"/>
        <v>800</v>
      </c>
    </row>
    <row r="27" spans="1:6" x14ac:dyDescent="0.3">
      <c r="A27" s="19">
        <v>1</v>
      </c>
      <c r="B27" s="20">
        <v>90</v>
      </c>
      <c r="C27" s="12">
        <f t="shared" si="0"/>
        <v>0.11111111111111116</v>
      </c>
      <c r="D27" s="25">
        <f>HLOOKUP(A27,Practice!$B$5:$P$6,2)</f>
        <v>9</v>
      </c>
      <c r="E27" s="17">
        <f t="shared" si="1"/>
        <v>810</v>
      </c>
    </row>
    <row r="28" spans="1:6" x14ac:dyDescent="0.3">
      <c r="A28" s="19">
        <v>2</v>
      </c>
      <c r="B28" s="20">
        <v>100</v>
      </c>
      <c r="C28" s="14">
        <v>0</v>
      </c>
      <c r="D28" s="25">
        <f>HLOOKUP(A28,Practice!$B$5:$P$6,2)</f>
        <v>8</v>
      </c>
      <c r="E28" s="17">
        <f t="shared" si="1"/>
        <v>800</v>
      </c>
    </row>
    <row r="29" spans="1:6" x14ac:dyDescent="0.3">
      <c r="A29" s="19">
        <v>3</v>
      </c>
      <c r="B29" s="20">
        <v>105</v>
      </c>
      <c r="C29" s="12">
        <f>-(B29/$B$28-1)</f>
        <v>-5.0000000000000044E-2</v>
      </c>
      <c r="D29" s="25">
        <f>HLOOKUP(A29,Practice!$B$5:$P$6,2)</f>
        <v>7</v>
      </c>
      <c r="E29" s="17">
        <f t="shared" si="1"/>
        <v>735</v>
      </c>
    </row>
    <row r="30" spans="1:6" x14ac:dyDescent="0.3">
      <c r="A30" s="20">
        <v>4</v>
      </c>
      <c r="B30" s="20">
        <v>108</v>
      </c>
      <c r="C30" s="12">
        <f>-(B30/$B$28-1)</f>
        <v>-8.0000000000000071E-2</v>
      </c>
      <c r="D30" s="25">
        <f>HLOOKUP(A30,Practice!$B$5:$P$6,2)</f>
        <v>6</v>
      </c>
    </row>
    <row r="31" spans="1:6" x14ac:dyDescent="0.3">
      <c r="A31" s="20">
        <v>5</v>
      </c>
      <c r="B31" s="20">
        <v>110</v>
      </c>
      <c r="C31" s="12">
        <f>-(B31/$B$28-1)</f>
        <v>-0.10000000000000009</v>
      </c>
      <c r="D31" s="25">
        <f>HLOOKUP(A31,Practice!$B$5:$P$6,2)</f>
        <v>5</v>
      </c>
    </row>
    <row r="32" spans="1:6" x14ac:dyDescent="0.3">
      <c r="A32" s="20">
        <v>6</v>
      </c>
      <c r="B32" s="20">
        <v>111</v>
      </c>
      <c r="C32" s="12">
        <f>-(B32/$B$28-1)</f>
        <v>-0.1100000000000001</v>
      </c>
      <c r="D32" s="25">
        <f>HLOOKUP(A32,Practice!$B$5:$P$6,2)</f>
        <v>5</v>
      </c>
    </row>
    <row r="33" spans="1:6" x14ac:dyDescent="0.3">
      <c r="A33" s="20">
        <v>7</v>
      </c>
      <c r="B33" s="20">
        <v>112</v>
      </c>
      <c r="C33" s="12">
        <f>-(B33/$B$28-1)</f>
        <v>-0.12000000000000011</v>
      </c>
      <c r="D33" s="25">
        <f>HLOOKUP(A33,Practice!$B$5:$P$6,2)</f>
        <v>5</v>
      </c>
    </row>
    <row r="34" spans="1:6" x14ac:dyDescent="0.3">
      <c r="A34" s="24" t="s">
        <v>56</v>
      </c>
    </row>
    <row r="35" spans="1:6" ht="16.2" x14ac:dyDescent="0.45">
      <c r="E35" s="18">
        <f>SUM(E23:E29)</f>
        <v>5015</v>
      </c>
      <c r="F35" t="s">
        <v>55</v>
      </c>
    </row>
  </sheetData>
  <mergeCells count="1">
    <mergeCell ref="B4:P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D4B62-2CFE-49D8-8A4D-05CD26ED7D66}">
  <sheetPr codeName="Sheet3"/>
  <dimension ref="A3:P20"/>
  <sheetViews>
    <sheetView topLeftCell="A3" zoomScaleNormal="100" workbookViewId="0">
      <selection activeCell="I5" sqref="I5"/>
    </sheetView>
  </sheetViews>
  <sheetFormatPr defaultRowHeight="14.4" x14ac:dyDescent="0.3"/>
  <cols>
    <col min="2" max="14" width="8.77734375" customWidth="1"/>
  </cols>
  <sheetData>
    <row r="3" spans="1:16" x14ac:dyDescent="0.3">
      <c r="B3" t="s">
        <v>32</v>
      </c>
      <c r="C3" t="s">
        <v>30</v>
      </c>
      <c r="D3" t="s">
        <v>30</v>
      </c>
      <c r="E3" t="s">
        <v>30</v>
      </c>
      <c r="F3" t="s">
        <v>30</v>
      </c>
      <c r="G3" t="s">
        <v>32</v>
      </c>
      <c r="H3" t="s">
        <v>33</v>
      </c>
      <c r="I3" t="s">
        <v>31</v>
      </c>
      <c r="J3" t="s">
        <v>33</v>
      </c>
      <c r="K3" t="s">
        <v>33</v>
      </c>
      <c r="L3" t="s">
        <v>33</v>
      </c>
      <c r="M3" t="s">
        <v>33</v>
      </c>
      <c r="N3" t="s">
        <v>32</v>
      </c>
    </row>
    <row r="4" spans="1:16" x14ac:dyDescent="0.3">
      <c r="B4" s="26" t="s">
        <v>8</v>
      </c>
      <c r="C4" s="26" t="s">
        <v>9</v>
      </c>
      <c r="D4" s="26" t="s">
        <v>10</v>
      </c>
      <c r="E4" s="26" t="s">
        <v>11</v>
      </c>
      <c r="F4" s="26" t="s">
        <v>12</v>
      </c>
      <c r="G4" s="26" t="s">
        <v>13</v>
      </c>
      <c r="H4" s="26" t="s">
        <v>14</v>
      </c>
      <c r="I4" s="26" t="s">
        <v>31</v>
      </c>
      <c r="J4" s="26" t="s">
        <v>91</v>
      </c>
      <c r="K4" s="26" t="s">
        <v>15</v>
      </c>
      <c r="L4" s="26" t="s">
        <v>92</v>
      </c>
      <c r="M4" s="26" t="s">
        <v>62</v>
      </c>
      <c r="N4" s="26" t="s">
        <v>22</v>
      </c>
      <c r="P4" t="s">
        <v>16</v>
      </c>
    </row>
    <row r="5" spans="1:16" x14ac:dyDescent="0.3">
      <c r="A5" s="1" t="s">
        <v>0</v>
      </c>
      <c r="B5">
        <v>-7</v>
      </c>
      <c r="C5">
        <v>-7</v>
      </c>
      <c r="D5">
        <v>-7</v>
      </c>
      <c r="E5">
        <v>-7</v>
      </c>
      <c r="F5">
        <v>0</v>
      </c>
      <c r="G5">
        <v>-5</v>
      </c>
      <c r="H5">
        <v>-7</v>
      </c>
      <c r="I5">
        <v>2</v>
      </c>
      <c r="J5">
        <v>-7</v>
      </c>
      <c r="K5">
        <v>-7</v>
      </c>
      <c r="L5">
        <v>2</v>
      </c>
      <c r="M5">
        <v>3</v>
      </c>
      <c r="N5">
        <v>-5</v>
      </c>
      <c r="P5">
        <f t="shared" ref="P5:P12" si="0">SUM(B5:N5)</f>
        <v>-52</v>
      </c>
    </row>
    <row r="6" spans="1:16" x14ac:dyDescent="0.3">
      <c r="A6" s="1" t="s">
        <v>1</v>
      </c>
      <c r="B6">
        <v>-5</v>
      </c>
      <c r="C6">
        <v>0</v>
      </c>
      <c r="D6">
        <v>0</v>
      </c>
      <c r="E6">
        <v>0</v>
      </c>
      <c r="F6">
        <v>-7</v>
      </c>
      <c r="G6">
        <v>-7</v>
      </c>
      <c r="H6">
        <v>2</v>
      </c>
      <c r="I6">
        <v>2</v>
      </c>
      <c r="J6">
        <v>0</v>
      </c>
      <c r="K6">
        <v>3</v>
      </c>
      <c r="L6">
        <v>-7</v>
      </c>
      <c r="M6">
        <v>-7</v>
      </c>
      <c r="N6">
        <v>-7</v>
      </c>
      <c r="P6">
        <f t="shared" si="0"/>
        <v>-33</v>
      </c>
    </row>
    <row r="7" spans="1:16" x14ac:dyDescent="0.3">
      <c r="A7" s="1" t="s">
        <v>2</v>
      </c>
      <c r="B7">
        <v>2</v>
      </c>
      <c r="C7">
        <v>2</v>
      </c>
      <c r="D7">
        <v>2</v>
      </c>
      <c r="E7">
        <v>1</v>
      </c>
      <c r="F7">
        <v>0</v>
      </c>
      <c r="G7">
        <v>0</v>
      </c>
      <c r="H7">
        <v>-2</v>
      </c>
      <c r="I7">
        <v>-2</v>
      </c>
      <c r="J7">
        <v>-1</v>
      </c>
      <c r="K7">
        <v>0</v>
      </c>
      <c r="L7">
        <v>-3</v>
      </c>
      <c r="M7">
        <v>-3</v>
      </c>
      <c r="N7">
        <v>3</v>
      </c>
      <c r="P7">
        <f t="shared" si="0"/>
        <v>-1</v>
      </c>
    </row>
    <row r="8" spans="1:16" x14ac:dyDescent="0.3">
      <c r="A8" s="1" t="s">
        <v>3</v>
      </c>
      <c r="B8">
        <v>0</v>
      </c>
      <c r="C8">
        <v>-1</v>
      </c>
      <c r="D8">
        <v>-1</v>
      </c>
      <c r="E8">
        <v>2</v>
      </c>
      <c r="F8">
        <v>2</v>
      </c>
      <c r="G8">
        <v>3</v>
      </c>
      <c r="H8">
        <v>0</v>
      </c>
      <c r="I8">
        <v>-1</v>
      </c>
      <c r="J8">
        <v>1</v>
      </c>
      <c r="K8">
        <v>-2</v>
      </c>
      <c r="L8">
        <v>0</v>
      </c>
      <c r="M8">
        <v>0</v>
      </c>
      <c r="N8">
        <v>2</v>
      </c>
      <c r="P8">
        <f t="shared" si="0"/>
        <v>5</v>
      </c>
    </row>
    <row r="9" spans="1:16" x14ac:dyDescent="0.3">
      <c r="A9" s="1" t="s">
        <v>4</v>
      </c>
      <c r="B9">
        <v>1</v>
      </c>
      <c r="C9">
        <v>0</v>
      </c>
      <c r="D9">
        <v>0</v>
      </c>
      <c r="E9">
        <v>0</v>
      </c>
      <c r="F9">
        <v>0</v>
      </c>
      <c r="G9">
        <v>-1</v>
      </c>
      <c r="H9">
        <v>-3</v>
      </c>
      <c r="I9">
        <v>-2</v>
      </c>
      <c r="J9">
        <v>-3</v>
      </c>
      <c r="K9">
        <v>-3</v>
      </c>
      <c r="L9">
        <v>-1</v>
      </c>
      <c r="M9">
        <v>-2</v>
      </c>
      <c r="N9">
        <v>0</v>
      </c>
      <c r="P9">
        <f t="shared" si="0"/>
        <v>-14</v>
      </c>
    </row>
    <row r="10" spans="1:16" x14ac:dyDescent="0.3">
      <c r="A10" s="1" t="s">
        <v>5</v>
      </c>
      <c r="B10">
        <v>-2</v>
      </c>
      <c r="C10">
        <v>-2</v>
      </c>
      <c r="D10">
        <v>-2</v>
      </c>
      <c r="E10">
        <v>-2</v>
      </c>
      <c r="F10">
        <v>-2</v>
      </c>
      <c r="G10">
        <v>-2</v>
      </c>
      <c r="H10">
        <v>1</v>
      </c>
      <c r="I10">
        <v>1</v>
      </c>
      <c r="J10">
        <v>2</v>
      </c>
      <c r="K10">
        <v>2</v>
      </c>
      <c r="L10">
        <v>1</v>
      </c>
      <c r="M10">
        <v>1</v>
      </c>
      <c r="N10">
        <v>-1</v>
      </c>
      <c r="P10">
        <f t="shared" si="0"/>
        <v>-5</v>
      </c>
    </row>
    <row r="11" spans="1:16" x14ac:dyDescent="0.3">
      <c r="A11" s="1" t="s">
        <v>6</v>
      </c>
      <c r="B11">
        <v>-1</v>
      </c>
      <c r="C11">
        <v>0</v>
      </c>
      <c r="D11">
        <v>0</v>
      </c>
      <c r="E11">
        <v>-1</v>
      </c>
      <c r="F11">
        <v>1</v>
      </c>
      <c r="G11">
        <v>2</v>
      </c>
      <c r="H11">
        <v>3</v>
      </c>
      <c r="I11">
        <v>2</v>
      </c>
      <c r="J11">
        <v>3</v>
      </c>
      <c r="K11">
        <v>1</v>
      </c>
      <c r="L11">
        <v>3</v>
      </c>
      <c r="M11">
        <v>2</v>
      </c>
      <c r="N11">
        <v>-2</v>
      </c>
      <c r="P11">
        <f t="shared" si="0"/>
        <v>13</v>
      </c>
    </row>
    <row r="12" spans="1:16" x14ac:dyDescent="0.3">
      <c r="A12" s="1" t="s">
        <v>7</v>
      </c>
      <c r="B12">
        <v>3</v>
      </c>
      <c r="C12">
        <v>1</v>
      </c>
      <c r="D12">
        <v>1</v>
      </c>
      <c r="E12">
        <v>0</v>
      </c>
      <c r="F12">
        <v>-1</v>
      </c>
      <c r="G12">
        <v>1</v>
      </c>
      <c r="H12">
        <v>-1</v>
      </c>
      <c r="I12">
        <v>0</v>
      </c>
      <c r="J12">
        <v>-2</v>
      </c>
      <c r="K12">
        <v>-1</v>
      </c>
      <c r="L12">
        <v>-2</v>
      </c>
      <c r="M12">
        <v>-1</v>
      </c>
      <c r="N12">
        <v>1</v>
      </c>
      <c r="P12">
        <f t="shared" si="0"/>
        <v>-1</v>
      </c>
    </row>
    <row r="14" spans="1:16" x14ac:dyDescent="0.3">
      <c r="A14" t="s">
        <v>16</v>
      </c>
      <c r="B14">
        <f>SUM(B5:B12)</f>
        <v>-9</v>
      </c>
      <c r="C14">
        <f t="shared" ref="C14:N14" si="1">SUM(C5:C12)</f>
        <v>-7</v>
      </c>
      <c r="D14">
        <f t="shared" si="1"/>
        <v>-7</v>
      </c>
      <c r="E14">
        <f t="shared" si="1"/>
        <v>-7</v>
      </c>
      <c r="F14">
        <f t="shared" si="1"/>
        <v>-7</v>
      </c>
      <c r="G14">
        <f t="shared" si="1"/>
        <v>-9</v>
      </c>
      <c r="H14">
        <f t="shared" si="1"/>
        <v>-7</v>
      </c>
      <c r="I14">
        <f t="shared" si="1"/>
        <v>2</v>
      </c>
      <c r="J14">
        <f t="shared" si="1"/>
        <v>-7</v>
      </c>
      <c r="K14">
        <f t="shared" si="1"/>
        <v>-7</v>
      </c>
      <c r="L14">
        <f>SUM(L5:L12)</f>
        <v>-7</v>
      </c>
      <c r="M14">
        <f>SUM(M5:M12)</f>
        <v>-7</v>
      </c>
      <c r="N14">
        <f t="shared" si="1"/>
        <v>-9</v>
      </c>
    </row>
    <row r="17" spans="1:1" x14ac:dyDescent="0.3">
      <c r="A17" t="s">
        <v>104</v>
      </c>
    </row>
    <row r="18" spans="1:1" x14ac:dyDescent="0.3">
      <c r="A18" t="s">
        <v>102</v>
      </c>
    </row>
    <row r="19" spans="1:1" x14ac:dyDescent="0.3">
      <c r="A19" t="s">
        <v>101</v>
      </c>
    </row>
    <row r="20" spans="1:1" x14ac:dyDescent="0.3">
      <c r="A20" t="s">
        <v>103</v>
      </c>
    </row>
  </sheetData>
  <conditionalFormatting sqref="B14:N14">
    <cfRule type="cellIs" dxfId="33" priority="3" operator="lessThan">
      <formula>$B$16</formula>
    </cfRule>
    <cfRule type="cellIs" dxfId="32" priority="4" operator="greaterThan">
      <formula>$B$16</formula>
    </cfRule>
  </conditionalFormatting>
  <conditionalFormatting sqref="B5:N12">
    <cfRule type="cellIs" dxfId="31" priority="1" operator="lessThan">
      <formula>0</formula>
    </cfRule>
    <cfRule type="cellIs" dxfId="30" priority="2" operator="greaterThan">
      <formula>0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CE763-80B1-4FAD-8D47-19F22C2DB85D}">
  <sheetPr codeName="Sheet4"/>
  <dimension ref="A1:N38"/>
  <sheetViews>
    <sheetView workbookViewId="0">
      <selection activeCell="A17" sqref="A17"/>
    </sheetView>
  </sheetViews>
  <sheetFormatPr defaultRowHeight="14.4" x14ac:dyDescent="0.3"/>
  <cols>
    <col min="1" max="1" width="12.77734375" customWidth="1"/>
    <col min="4" max="6" width="9.6640625" bestFit="1" customWidth="1"/>
    <col min="8" max="9" width="9.6640625" bestFit="1" customWidth="1"/>
  </cols>
  <sheetData>
    <row r="1" spans="1:14" x14ac:dyDescent="0.3">
      <c r="B1" s="30" t="s">
        <v>95</v>
      </c>
      <c r="C1" s="30" t="s">
        <v>98</v>
      </c>
      <c r="D1" s="30" t="s">
        <v>99</v>
      </c>
      <c r="E1" s="30" t="s">
        <v>99</v>
      </c>
      <c r="F1" s="30" t="s">
        <v>99</v>
      </c>
      <c r="G1" s="30" t="s">
        <v>98</v>
      </c>
      <c r="H1" s="30" t="s">
        <v>99</v>
      </c>
      <c r="I1" s="30" t="s">
        <v>99</v>
      </c>
      <c r="J1" s="30" t="s">
        <v>97</v>
      </c>
      <c r="K1" s="30" t="s">
        <v>97</v>
      </c>
      <c r="L1" s="30" t="s">
        <v>98</v>
      </c>
    </row>
    <row r="2" spans="1:14" x14ac:dyDescent="0.3">
      <c r="B2" s="26" t="s">
        <v>17</v>
      </c>
      <c r="C2" s="26" t="s">
        <v>18</v>
      </c>
      <c r="D2" s="26" t="s">
        <v>19</v>
      </c>
      <c r="E2" s="26" t="s">
        <v>20</v>
      </c>
      <c r="F2" s="26" t="s">
        <v>21</v>
      </c>
      <c r="G2" s="26" t="s">
        <v>42</v>
      </c>
      <c r="H2" s="26" t="s">
        <v>43</v>
      </c>
      <c r="I2" s="26" t="s">
        <v>44</v>
      </c>
      <c r="J2" s="26" t="s">
        <v>45</v>
      </c>
      <c r="K2" s="26" t="s">
        <v>46</v>
      </c>
      <c r="L2" s="26" t="s">
        <v>47</v>
      </c>
      <c r="N2" t="s">
        <v>16</v>
      </c>
    </row>
    <row r="3" spans="1:14" x14ac:dyDescent="0.3">
      <c r="A3" s="27" t="s">
        <v>0</v>
      </c>
      <c r="B3">
        <v>0</v>
      </c>
      <c r="C3">
        <v>2</v>
      </c>
      <c r="D3" s="1">
        <v>-3</v>
      </c>
      <c r="E3">
        <v>0</v>
      </c>
      <c r="F3" s="1">
        <v>3</v>
      </c>
      <c r="G3">
        <v>-1</v>
      </c>
      <c r="H3">
        <v>-3</v>
      </c>
      <c r="I3">
        <v>-2</v>
      </c>
      <c r="J3" s="1">
        <v>4</v>
      </c>
      <c r="K3">
        <v>-3</v>
      </c>
      <c r="L3">
        <v>-1</v>
      </c>
      <c r="N3">
        <f>SUM(B3:L3)</f>
        <v>-4</v>
      </c>
    </row>
    <row r="4" spans="1:14" x14ac:dyDescent="0.3">
      <c r="A4" s="27" t="s">
        <v>1</v>
      </c>
      <c r="B4">
        <v>0</v>
      </c>
      <c r="C4" s="1">
        <v>-2</v>
      </c>
      <c r="D4">
        <v>0</v>
      </c>
      <c r="E4">
        <v>-1</v>
      </c>
      <c r="F4" s="1">
        <v>-3</v>
      </c>
      <c r="G4">
        <v>1</v>
      </c>
      <c r="H4">
        <v>-2</v>
      </c>
      <c r="I4">
        <v>3</v>
      </c>
      <c r="J4">
        <v>-2</v>
      </c>
      <c r="K4">
        <v>-2</v>
      </c>
      <c r="L4">
        <v>2</v>
      </c>
      <c r="N4">
        <f t="shared" ref="N4:N10" si="0">SUM(B4:L4)</f>
        <v>-6</v>
      </c>
    </row>
    <row r="5" spans="1:14" x14ac:dyDescent="0.3">
      <c r="A5" s="27" t="s">
        <v>2</v>
      </c>
      <c r="B5">
        <v>0</v>
      </c>
      <c r="C5">
        <v>0</v>
      </c>
      <c r="D5">
        <v>3</v>
      </c>
      <c r="E5">
        <v>0</v>
      </c>
      <c r="F5">
        <v>-1</v>
      </c>
      <c r="G5">
        <v>0</v>
      </c>
      <c r="H5" s="1">
        <v>3</v>
      </c>
      <c r="I5">
        <v>0</v>
      </c>
      <c r="J5">
        <v>-1</v>
      </c>
      <c r="K5" s="1">
        <v>4</v>
      </c>
      <c r="L5">
        <v>0</v>
      </c>
      <c r="N5">
        <f t="shared" si="0"/>
        <v>8</v>
      </c>
    </row>
    <row r="6" spans="1:14" x14ac:dyDescent="0.3">
      <c r="A6" s="27" t="s">
        <v>3</v>
      </c>
      <c r="B6">
        <v>0</v>
      </c>
      <c r="C6">
        <v>0</v>
      </c>
      <c r="D6">
        <v>-1</v>
      </c>
      <c r="E6" s="1">
        <v>3</v>
      </c>
      <c r="F6">
        <v>0</v>
      </c>
      <c r="G6">
        <v>-2</v>
      </c>
      <c r="H6">
        <v>-1</v>
      </c>
      <c r="I6">
        <v>1</v>
      </c>
      <c r="J6" s="1">
        <v>2</v>
      </c>
      <c r="K6">
        <v>0</v>
      </c>
      <c r="L6">
        <v>1</v>
      </c>
      <c r="N6">
        <f t="shared" si="0"/>
        <v>3</v>
      </c>
    </row>
    <row r="7" spans="1:14" x14ac:dyDescent="0.3">
      <c r="A7" s="27" t="s">
        <v>4</v>
      </c>
      <c r="B7">
        <v>0</v>
      </c>
      <c r="C7">
        <v>-1</v>
      </c>
      <c r="D7">
        <v>1</v>
      </c>
      <c r="E7">
        <v>0</v>
      </c>
      <c r="F7">
        <v>0</v>
      </c>
      <c r="G7">
        <v>2</v>
      </c>
      <c r="H7">
        <v>1</v>
      </c>
      <c r="I7">
        <v>-3</v>
      </c>
      <c r="J7">
        <v>-1</v>
      </c>
      <c r="K7">
        <v>1</v>
      </c>
      <c r="L7">
        <v>0</v>
      </c>
      <c r="N7">
        <f t="shared" si="0"/>
        <v>0</v>
      </c>
    </row>
    <row r="8" spans="1:14" x14ac:dyDescent="0.3">
      <c r="A8" s="27" t="s">
        <v>5</v>
      </c>
      <c r="B8">
        <v>0</v>
      </c>
      <c r="C8">
        <v>1</v>
      </c>
      <c r="D8">
        <v>-2</v>
      </c>
      <c r="E8">
        <v>0</v>
      </c>
      <c r="F8">
        <v>1</v>
      </c>
      <c r="G8">
        <v>0</v>
      </c>
      <c r="H8">
        <v>0</v>
      </c>
      <c r="I8">
        <v>2</v>
      </c>
      <c r="J8">
        <v>0</v>
      </c>
      <c r="K8">
        <v>-1</v>
      </c>
      <c r="L8">
        <v>-2</v>
      </c>
      <c r="N8">
        <f t="shared" si="0"/>
        <v>-1</v>
      </c>
    </row>
    <row r="9" spans="1:14" x14ac:dyDescent="0.3">
      <c r="A9" s="27" t="s">
        <v>6</v>
      </c>
      <c r="B9">
        <v>0</v>
      </c>
      <c r="C9">
        <v>0</v>
      </c>
      <c r="D9">
        <v>0</v>
      </c>
      <c r="E9">
        <v>-1</v>
      </c>
      <c r="F9">
        <v>2</v>
      </c>
      <c r="G9">
        <v>0</v>
      </c>
      <c r="H9">
        <v>0</v>
      </c>
      <c r="I9">
        <v>0</v>
      </c>
      <c r="J9">
        <v>1</v>
      </c>
      <c r="K9">
        <v>-1</v>
      </c>
      <c r="L9">
        <v>0</v>
      </c>
      <c r="N9">
        <f t="shared" si="0"/>
        <v>1</v>
      </c>
    </row>
    <row r="10" spans="1:14" x14ac:dyDescent="0.3">
      <c r="A10" s="27" t="s">
        <v>7</v>
      </c>
      <c r="B10">
        <v>0</v>
      </c>
      <c r="C10">
        <v>0</v>
      </c>
      <c r="D10">
        <v>2</v>
      </c>
      <c r="E10">
        <v>-1</v>
      </c>
      <c r="F10">
        <v>-2</v>
      </c>
      <c r="G10">
        <v>0</v>
      </c>
      <c r="H10">
        <v>2</v>
      </c>
      <c r="I10">
        <v>-1</v>
      </c>
      <c r="J10">
        <v>-3</v>
      </c>
      <c r="K10">
        <v>2</v>
      </c>
      <c r="L10">
        <v>0</v>
      </c>
      <c r="N10">
        <f t="shared" si="0"/>
        <v>-1</v>
      </c>
    </row>
    <row r="12" spans="1:14" x14ac:dyDescent="0.3">
      <c r="A12" t="s">
        <v>16</v>
      </c>
      <c r="B12">
        <f>SUM(B3:B10)</f>
        <v>0</v>
      </c>
      <c r="C12">
        <f t="shared" ref="C12:L12" si="1">SUM(C3:C10)</f>
        <v>0</v>
      </c>
      <c r="D12">
        <f t="shared" si="1"/>
        <v>0</v>
      </c>
      <c r="E12">
        <f t="shared" si="1"/>
        <v>0</v>
      </c>
      <c r="F12">
        <f t="shared" si="1"/>
        <v>0</v>
      </c>
      <c r="G12">
        <f t="shared" si="1"/>
        <v>0</v>
      </c>
      <c r="H12">
        <f t="shared" si="1"/>
        <v>0</v>
      </c>
      <c r="I12">
        <f t="shared" si="1"/>
        <v>0</v>
      </c>
      <c r="J12">
        <f>SUM(J3:J10)</f>
        <v>0</v>
      </c>
      <c r="K12">
        <f t="shared" si="1"/>
        <v>0</v>
      </c>
      <c r="L12">
        <f t="shared" si="1"/>
        <v>0</v>
      </c>
    </row>
    <row r="14" spans="1:14" x14ac:dyDescent="0.3">
      <c r="A14" t="s">
        <v>105</v>
      </c>
    </row>
    <row r="15" spans="1:14" x14ac:dyDescent="0.3">
      <c r="A15" t="s">
        <v>106</v>
      </c>
    </row>
    <row r="16" spans="1:14" x14ac:dyDescent="0.3">
      <c r="A16" t="s">
        <v>107</v>
      </c>
    </row>
    <row r="17" spans="1:12" x14ac:dyDescent="0.3">
      <c r="A17" t="s">
        <v>108</v>
      </c>
    </row>
    <row r="19" spans="1:12" x14ac:dyDescent="0.3">
      <c r="A19" s="3" t="s">
        <v>94</v>
      </c>
    </row>
    <row r="20" spans="1:12" x14ac:dyDescent="0.3">
      <c r="B20" s="6">
        <v>1</v>
      </c>
      <c r="C20" s="6">
        <v>2</v>
      </c>
      <c r="D20" s="6">
        <v>3</v>
      </c>
      <c r="E20" s="6">
        <v>4</v>
      </c>
      <c r="F20" s="6">
        <v>5</v>
      </c>
      <c r="G20" s="6">
        <v>6</v>
      </c>
      <c r="H20" s="6">
        <v>7</v>
      </c>
      <c r="I20" s="6">
        <v>8</v>
      </c>
    </row>
    <row r="21" spans="1:12" x14ac:dyDescent="0.3">
      <c r="A21" t="s">
        <v>95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K21">
        <f>SUM(B21:I21)</f>
        <v>0</v>
      </c>
    </row>
    <row r="22" spans="1:12" x14ac:dyDescent="0.3">
      <c r="A22" t="s">
        <v>98</v>
      </c>
      <c r="B22">
        <v>2</v>
      </c>
      <c r="C22">
        <v>1</v>
      </c>
      <c r="D22">
        <v>0</v>
      </c>
      <c r="E22">
        <v>0</v>
      </c>
      <c r="F22">
        <v>0</v>
      </c>
      <c r="G22">
        <v>0</v>
      </c>
      <c r="H22">
        <v>-1</v>
      </c>
      <c r="I22">
        <v>-2</v>
      </c>
    </row>
    <row r="23" spans="1:12" x14ac:dyDescent="0.3">
      <c r="A23" t="s">
        <v>96</v>
      </c>
      <c r="B23">
        <v>3</v>
      </c>
      <c r="C23">
        <v>2</v>
      </c>
      <c r="D23">
        <v>1</v>
      </c>
      <c r="E23">
        <v>0</v>
      </c>
      <c r="F23">
        <v>0</v>
      </c>
      <c r="G23">
        <v>-1</v>
      </c>
      <c r="H23">
        <v>-2</v>
      </c>
      <c r="I23">
        <v>-3</v>
      </c>
      <c r="K23">
        <f>SUM(B23:I23)</f>
        <v>0</v>
      </c>
    </row>
    <row r="24" spans="1:12" x14ac:dyDescent="0.3">
      <c r="A24" t="s">
        <v>97</v>
      </c>
      <c r="B24">
        <v>4</v>
      </c>
      <c r="C24">
        <v>2</v>
      </c>
      <c r="D24">
        <v>1</v>
      </c>
      <c r="E24">
        <v>0</v>
      </c>
      <c r="F24">
        <v>-1</v>
      </c>
      <c r="G24">
        <v>-1</v>
      </c>
      <c r="H24">
        <v>-2</v>
      </c>
      <c r="I24">
        <v>-3</v>
      </c>
      <c r="K24">
        <f>SUM(B24:I24)</f>
        <v>0</v>
      </c>
    </row>
    <row r="26" spans="1:12" x14ac:dyDescent="0.3">
      <c r="B26" s="69" t="s">
        <v>36</v>
      </c>
      <c r="C26" s="69"/>
      <c r="D26" s="69"/>
      <c r="E26" s="69"/>
      <c r="F26" s="69"/>
      <c r="G26" s="69"/>
      <c r="H26" s="69"/>
      <c r="I26" s="69"/>
      <c r="J26" s="69"/>
      <c r="K26" s="69"/>
      <c r="L26" s="69"/>
    </row>
    <row r="27" spans="1:12" x14ac:dyDescent="0.3">
      <c r="A27" t="str">
        <f t="shared" ref="A27:A34" si="2">A3</f>
        <v>Mag</v>
      </c>
      <c r="B27">
        <f t="shared" ref="B27:L27" si="3">HLOOKUP(B3,TblPracticeCost,2)</f>
        <v>10</v>
      </c>
      <c r="C27">
        <f t="shared" si="3"/>
        <v>8</v>
      </c>
      <c r="D27">
        <f t="shared" si="3"/>
        <v>19</v>
      </c>
      <c r="E27">
        <f t="shared" si="3"/>
        <v>10</v>
      </c>
      <c r="F27">
        <f t="shared" si="3"/>
        <v>7</v>
      </c>
      <c r="G27">
        <f t="shared" si="3"/>
        <v>13</v>
      </c>
      <c r="H27">
        <f t="shared" si="3"/>
        <v>19</v>
      </c>
      <c r="I27">
        <f t="shared" si="3"/>
        <v>16</v>
      </c>
      <c r="J27">
        <f t="shared" si="3"/>
        <v>6</v>
      </c>
      <c r="K27">
        <f t="shared" si="3"/>
        <v>19</v>
      </c>
      <c r="L27">
        <f t="shared" si="3"/>
        <v>13</v>
      </c>
    </row>
    <row r="28" spans="1:12" x14ac:dyDescent="0.3">
      <c r="A28" t="str">
        <f t="shared" si="2"/>
        <v>Div</v>
      </c>
      <c r="B28">
        <f t="shared" ref="B28:L28" si="4">HLOOKUP(B4,TblPracticeCost,2)</f>
        <v>10</v>
      </c>
      <c r="C28">
        <f t="shared" si="4"/>
        <v>16</v>
      </c>
      <c r="D28">
        <f t="shared" si="4"/>
        <v>10</v>
      </c>
      <c r="E28">
        <f t="shared" si="4"/>
        <v>13</v>
      </c>
      <c r="F28">
        <f t="shared" si="4"/>
        <v>19</v>
      </c>
      <c r="G28">
        <f t="shared" si="4"/>
        <v>9</v>
      </c>
      <c r="H28">
        <f t="shared" si="4"/>
        <v>16</v>
      </c>
      <c r="I28">
        <f t="shared" si="4"/>
        <v>7</v>
      </c>
      <c r="J28">
        <f t="shared" si="4"/>
        <v>16</v>
      </c>
      <c r="K28">
        <f t="shared" si="4"/>
        <v>16</v>
      </c>
      <c r="L28">
        <f t="shared" si="4"/>
        <v>8</v>
      </c>
    </row>
    <row r="29" spans="1:12" x14ac:dyDescent="0.3">
      <c r="A29" t="str">
        <f t="shared" si="2"/>
        <v>Str</v>
      </c>
      <c r="B29">
        <f t="shared" ref="B29:L29" si="5">HLOOKUP(B5,TblPracticeCost,2)</f>
        <v>10</v>
      </c>
      <c r="C29">
        <f t="shared" si="5"/>
        <v>10</v>
      </c>
      <c r="D29">
        <f t="shared" si="5"/>
        <v>7</v>
      </c>
      <c r="E29">
        <f t="shared" si="5"/>
        <v>10</v>
      </c>
      <c r="F29">
        <f t="shared" si="5"/>
        <v>13</v>
      </c>
      <c r="G29">
        <f t="shared" si="5"/>
        <v>10</v>
      </c>
      <c r="H29">
        <f t="shared" si="5"/>
        <v>7</v>
      </c>
      <c r="I29">
        <f t="shared" si="5"/>
        <v>10</v>
      </c>
      <c r="J29">
        <f t="shared" si="5"/>
        <v>13</v>
      </c>
      <c r="K29">
        <f t="shared" si="5"/>
        <v>6</v>
      </c>
      <c r="L29">
        <f t="shared" si="5"/>
        <v>10</v>
      </c>
    </row>
    <row r="30" spans="1:12" x14ac:dyDescent="0.3">
      <c r="A30" t="str">
        <f t="shared" si="2"/>
        <v>Dex</v>
      </c>
      <c r="B30">
        <f t="shared" ref="B30:L30" si="6">HLOOKUP(B6,TblPracticeCost,2)</f>
        <v>10</v>
      </c>
      <c r="C30">
        <f t="shared" si="6"/>
        <v>10</v>
      </c>
      <c r="D30">
        <f t="shared" si="6"/>
        <v>13</v>
      </c>
      <c r="E30">
        <f t="shared" si="6"/>
        <v>7</v>
      </c>
      <c r="F30">
        <f t="shared" si="6"/>
        <v>10</v>
      </c>
      <c r="G30">
        <f t="shared" si="6"/>
        <v>16</v>
      </c>
      <c r="H30">
        <f t="shared" si="6"/>
        <v>13</v>
      </c>
      <c r="I30">
        <f t="shared" si="6"/>
        <v>9</v>
      </c>
      <c r="J30">
        <f t="shared" si="6"/>
        <v>8</v>
      </c>
      <c r="K30">
        <f t="shared" si="6"/>
        <v>10</v>
      </c>
      <c r="L30">
        <f t="shared" si="6"/>
        <v>9</v>
      </c>
    </row>
    <row r="31" spans="1:12" x14ac:dyDescent="0.3">
      <c r="A31" t="str">
        <f t="shared" si="2"/>
        <v>Con</v>
      </c>
      <c r="B31">
        <f t="shared" ref="B31:L31" si="7">HLOOKUP(B7,TblPracticeCost,2)</f>
        <v>10</v>
      </c>
      <c r="C31">
        <f t="shared" si="7"/>
        <v>13</v>
      </c>
      <c r="D31">
        <f t="shared" si="7"/>
        <v>9</v>
      </c>
      <c r="E31">
        <f t="shared" si="7"/>
        <v>10</v>
      </c>
      <c r="F31">
        <f t="shared" si="7"/>
        <v>10</v>
      </c>
      <c r="G31">
        <f t="shared" si="7"/>
        <v>8</v>
      </c>
      <c r="H31">
        <f t="shared" si="7"/>
        <v>9</v>
      </c>
      <c r="I31">
        <f t="shared" si="7"/>
        <v>19</v>
      </c>
      <c r="J31">
        <f t="shared" si="7"/>
        <v>13</v>
      </c>
      <c r="K31">
        <f t="shared" si="7"/>
        <v>9</v>
      </c>
      <c r="L31">
        <f t="shared" si="7"/>
        <v>10</v>
      </c>
    </row>
    <row r="32" spans="1:12" x14ac:dyDescent="0.3">
      <c r="A32" t="str">
        <f t="shared" si="2"/>
        <v>Cha</v>
      </c>
      <c r="B32">
        <f t="shared" ref="B32:L32" si="8">HLOOKUP(B8,TblPracticeCost,2)</f>
        <v>10</v>
      </c>
      <c r="C32">
        <f t="shared" si="8"/>
        <v>9</v>
      </c>
      <c r="D32">
        <f t="shared" si="8"/>
        <v>16</v>
      </c>
      <c r="E32">
        <f t="shared" si="8"/>
        <v>10</v>
      </c>
      <c r="F32">
        <f t="shared" si="8"/>
        <v>9</v>
      </c>
      <c r="G32">
        <f t="shared" si="8"/>
        <v>10</v>
      </c>
      <c r="H32">
        <f t="shared" si="8"/>
        <v>10</v>
      </c>
      <c r="I32">
        <f t="shared" si="8"/>
        <v>8</v>
      </c>
      <c r="J32">
        <f t="shared" si="8"/>
        <v>10</v>
      </c>
      <c r="K32">
        <f t="shared" si="8"/>
        <v>13</v>
      </c>
      <c r="L32">
        <f t="shared" si="8"/>
        <v>16</v>
      </c>
    </row>
    <row r="33" spans="1:12" x14ac:dyDescent="0.3">
      <c r="A33" t="str">
        <f t="shared" si="2"/>
        <v>Bra</v>
      </c>
      <c r="B33">
        <f t="shared" ref="B33:L33" si="9">HLOOKUP(B9,TblPracticeCost,2)</f>
        <v>10</v>
      </c>
      <c r="C33">
        <f t="shared" si="9"/>
        <v>10</v>
      </c>
      <c r="D33">
        <f t="shared" si="9"/>
        <v>10</v>
      </c>
      <c r="E33">
        <f t="shared" si="9"/>
        <v>13</v>
      </c>
      <c r="F33">
        <f t="shared" si="9"/>
        <v>8</v>
      </c>
      <c r="G33">
        <f t="shared" si="9"/>
        <v>10</v>
      </c>
      <c r="H33">
        <f t="shared" si="9"/>
        <v>10</v>
      </c>
      <c r="I33">
        <f t="shared" si="9"/>
        <v>10</v>
      </c>
      <c r="J33">
        <f t="shared" si="9"/>
        <v>9</v>
      </c>
      <c r="K33">
        <f t="shared" si="9"/>
        <v>13</v>
      </c>
      <c r="L33">
        <f t="shared" si="9"/>
        <v>10</v>
      </c>
    </row>
    <row r="34" spans="1:12" x14ac:dyDescent="0.3">
      <c r="A34" t="str">
        <f t="shared" si="2"/>
        <v>HP</v>
      </c>
      <c r="B34">
        <f t="shared" ref="B34:L34" si="10">HLOOKUP(B10,TblPracticeCost,2)</f>
        <v>10</v>
      </c>
      <c r="C34">
        <f t="shared" si="10"/>
        <v>10</v>
      </c>
      <c r="D34">
        <f t="shared" si="10"/>
        <v>8</v>
      </c>
      <c r="E34">
        <f t="shared" si="10"/>
        <v>13</v>
      </c>
      <c r="F34">
        <f t="shared" si="10"/>
        <v>16</v>
      </c>
      <c r="G34">
        <f t="shared" si="10"/>
        <v>10</v>
      </c>
      <c r="H34">
        <f t="shared" si="10"/>
        <v>8</v>
      </c>
      <c r="I34">
        <f t="shared" si="10"/>
        <v>13</v>
      </c>
      <c r="J34">
        <f t="shared" si="10"/>
        <v>19</v>
      </c>
      <c r="K34">
        <f t="shared" si="10"/>
        <v>8</v>
      </c>
      <c r="L34">
        <f t="shared" si="10"/>
        <v>10</v>
      </c>
    </row>
    <row r="36" spans="1:12" x14ac:dyDescent="0.3">
      <c r="A36" s="1" t="s">
        <v>34</v>
      </c>
      <c r="B36">
        <f t="shared" ref="B36:L36" si="11">SMALL(B27:B34,1)+SMALL(B27:B34,2)+SMALL(B27:B34,3)+SMALL(B27:B34,4)</f>
        <v>40</v>
      </c>
      <c r="C36">
        <f t="shared" si="11"/>
        <v>37</v>
      </c>
      <c r="D36">
        <f t="shared" si="11"/>
        <v>34</v>
      </c>
      <c r="E36">
        <f t="shared" si="11"/>
        <v>37</v>
      </c>
      <c r="F36">
        <f t="shared" si="11"/>
        <v>34</v>
      </c>
      <c r="G36">
        <f t="shared" si="11"/>
        <v>37</v>
      </c>
      <c r="H36">
        <f t="shared" si="11"/>
        <v>34</v>
      </c>
      <c r="I36">
        <f t="shared" si="11"/>
        <v>34</v>
      </c>
      <c r="J36">
        <f t="shared" si="11"/>
        <v>33</v>
      </c>
      <c r="K36">
        <f t="shared" si="11"/>
        <v>33</v>
      </c>
      <c r="L36">
        <f t="shared" si="11"/>
        <v>37</v>
      </c>
    </row>
    <row r="37" spans="1:12" x14ac:dyDescent="0.3">
      <c r="A37" s="1" t="s">
        <v>38</v>
      </c>
      <c r="B37">
        <f t="shared" ref="B37:L37" si="12">B36+SMALL(B27:B34,5)</f>
        <v>50</v>
      </c>
      <c r="C37">
        <f t="shared" si="12"/>
        <v>47</v>
      </c>
      <c r="D37">
        <f t="shared" si="12"/>
        <v>44</v>
      </c>
      <c r="E37">
        <f t="shared" si="12"/>
        <v>47</v>
      </c>
      <c r="F37">
        <f t="shared" si="12"/>
        <v>44</v>
      </c>
      <c r="G37">
        <f t="shared" si="12"/>
        <v>47</v>
      </c>
      <c r="H37">
        <f t="shared" si="12"/>
        <v>44</v>
      </c>
      <c r="I37">
        <f t="shared" si="12"/>
        <v>44</v>
      </c>
      <c r="J37">
        <f t="shared" si="12"/>
        <v>46</v>
      </c>
      <c r="K37">
        <f t="shared" si="12"/>
        <v>46</v>
      </c>
      <c r="L37">
        <f t="shared" si="12"/>
        <v>47</v>
      </c>
    </row>
    <row r="38" spans="1:12" x14ac:dyDescent="0.3">
      <c r="A38" s="1" t="s">
        <v>39</v>
      </c>
      <c r="B38">
        <f t="shared" ref="B38:L38" si="13">B37+SMALL(B27:B34,6)</f>
        <v>60</v>
      </c>
      <c r="C38">
        <f t="shared" si="13"/>
        <v>57</v>
      </c>
      <c r="D38">
        <f t="shared" si="13"/>
        <v>57</v>
      </c>
      <c r="E38">
        <f t="shared" si="13"/>
        <v>60</v>
      </c>
      <c r="F38">
        <f t="shared" si="13"/>
        <v>57</v>
      </c>
      <c r="G38">
        <f t="shared" si="13"/>
        <v>57</v>
      </c>
      <c r="H38">
        <f t="shared" si="13"/>
        <v>57</v>
      </c>
      <c r="I38">
        <f t="shared" si="13"/>
        <v>57</v>
      </c>
      <c r="J38">
        <f t="shared" si="13"/>
        <v>59</v>
      </c>
      <c r="K38">
        <f t="shared" si="13"/>
        <v>59</v>
      </c>
      <c r="L38">
        <f t="shared" si="13"/>
        <v>57</v>
      </c>
    </row>
  </sheetData>
  <mergeCells count="1">
    <mergeCell ref="B26:L26"/>
  </mergeCells>
  <conditionalFormatting sqref="B3:L10">
    <cfRule type="cellIs" dxfId="29" priority="1" operator="lessThan">
      <formula>0</formula>
    </cfRule>
    <cfRule type="cellIs" dxfId="28" priority="2" operator="greaterThan">
      <formula>0</formula>
    </cfRule>
  </conditionalFormatting>
  <conditionalFormatting sqref="B12:L12">
    <cfRule type="cellIs" dxfId="27" priority="22" operator="lessThan">
      <formula>$C$33</formula>
    </cfRule>
    <cfRule type="cellIs" dxfId="26" priority="23" operator="greaterThan">
      <formula>$C$33</formula>
    </cfRule>
  </conditionalFormatting>
  <pageMargins left="0.7" right="0.7" top="0.75" bottom="0.75" header="0.3" footer="0.3"/>
  <pageSetup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01FD7-FA63-46E6-AB5B-917BEE690304}">
  <sheetPr codeName="Sheet5"/>
  <dimension ref="A1:J1145"/>
  <sheetViews>
    <sheetView workbookViewId="0">
      <selection activeCell="A2" sqref="A2"/>
    </sheetView>
  </sheetViews>
  <sheetFormatPr defaultRowHeight="14.4" x14ac:dyDescent="0.3"/>
  <cols>
    <col min="1" max="2" width="8.77734375" style="1"/>
    <col min="4" max="9" width="9.5546875" customWidth="1"/>
  </cols>
  <sheetData>
    <row r="1" spans="1:10" x14ac:dyDescent="0.3">
      <c r="D1" s="4" t="s">
        <v>64</v>
      </c>
      <c r="E1" s="4" t="s">
        <v>65</v>
      </c>
      <c r="F1" s="4" t="s">
        <v>49</v>
      </c>
      <c r="G1" s="4" t="s">
        <v>23</v>
      </c>
      <c r="H1" s="4" t="s">
        <v>83</v>
      </c>
      <c r="I1" s="4" t="s">
        <v>63</v>
      </c>
      <c r="J1" s="4" t="s">
        <v>66</v>
      </c>
    </row>
    <row r="2" spans="1:10" x14ac:dyDescent="0.3">
      <c r="A2" s="1" t="s">
        <v>17</v>
      </c>
      <c r="B2" s="1" t="s">
        <v>8</v>
      </c>
      <c r="C2" s="1" t="str">
        <f>race_modifier!A3</f>
        <v>Mag</v>
      </c>
      <c r="D2">
        <f t="shared" ref="D2:D65" si="0">INDEX(TblRaceValues,MATCH(C2, TblAbilities, 0),MATCH(A2,TblRaces,0))</f>
        <v>0</v>
      </c>
      <c r="E2">
        <f t="shared" ref="E2:E65" si="1">INDEX(TblProfessionValues,MATCH(C2,TblAbilities,0),MATCH(B2,TblProfessions,0))</f>
        <v>-7</v>
      </c>
      <c r="F2">
        <f>E2+D2</f>
        <v>-7</v>
      </c>
      <c r="G2">
        <f t="shared" ref="G2:G65" si="2">HLOOKUP(MIN(MAX(-7,F2),7),TblPracticeCost,2)</f>
        <v>31</v>
      </c>
      <c r="H2">
        <f t="shared" ref="H2:H65" si="3">HLOOKUP(MIN(MAX(-7,F2),7),TblPracticeCost,3)</f>
        <v>0</v>
      </c>
      <c r="I2">
        <f t="shared" ref="I2:I65" si="4">VLOOKUP(MIN(MAX(-7,F2),7),TblBonusMaxSkill,2)</f>
        <v>0</v>
      </c>
      <c r="J2" t="str">
        <f>A2&amp;B2&amp;C2</f>
        <v>HumanFighterMag</v>
      </c>
    </row>
    <row r="3" spans="1:10" x14ac:dyDescent="0.3">
      <c r="A3" s="1" t="s">
        <v>17</v>
      </c>
      <c r="B3" s="1" t="s">
        <v>8</v>
      </c>
      <c r="C3" s="1" t="str">
        <f>race_modifier!A4</f>
        <v>Div</v>
      </c>
      <c r="D3">
        <f t="shared" si="0"/>
        <v>0</v>
      </c>
      <c r="E3">
        <f t="shared" si="1"/>
        <v>-5</v>
      </c>
      <c r="F3">
        <f t="shared" ref="F3:F66" si="5">E3+D3</f>
        <v>-5</v>
      </c>
      <c r="G3">
        <f t="shared" si="2"/>
        <v>25</v>
      </c>
      <c r="H3">
        <f t="shared" si="3"/>
        <v>0</v>
      </c>
      <c r="I3">
        <f t="shared" si="4"/>
        <v>30</v>
      </c>
      <c r="J3" t="str">
        <f t="shared" ref="J3:J66" si="6">A3&amp;B3&amp;C3</f>
        <v>HumanFighterDiv</v>
      </c>
    </row>
    <row r="4" spans="1:10" x14ac:dyDescent="0.3">
      <c r="A4" s="1" t="s">
        <v>17</v>
      </c>
      <c r="B4" s="1" t="s">
        <v>8</v>
      </c>
      <c r="C4" s="1" t="str">
        <f>race_modifier!A5</f>
        <v>Str</v>
      </c>
      <c r="D4">
        <f t="shared" si="0"/>
        <v>0</v>
      </c>
      <c r="E4">
        <f t="shared" si="1"/>
        <v>2</v>
      </c>
      <c r="F4">
        <f t="shared" si="5"/>
        <v>2</v>
      </c>
      <c r="G4">
        <f t="shared" si="2"/>
        <v>8</v>
      </c>
      <c r="H4">
        <f t="shared" si="3"/>
        <v>12</v>
      </c>
      <c r="I4">
        <f t="shared" si="4"/>
        <v>100</v>
      </c>
      <c r="J4" t="str">
        <f t="shared" si="6"/>
        <v>HumanFighterStr</v>
      </c>
    </row>
    <row r="5" spans="1:10" x14ac:dyDescent="0.3">
      <c r="A5" s="1" t="s">
        <v>17</v>
      </c>
      <c r="B5" s="1" t="s">
        <v>8</v>
      </c>
      <c r="C5" s="1" t="str">
        <f>race_modifier!A6</f>
        <v>Dex</v>
      </c>
      <c r="D5">
        <f t="shared" si="0"/>
        <v>0</v>
      </c>
      <c r="E5">
        <f t="shared" si="1"/>
        <v>0</v>
      </c>
      <c r="F5">
        <f t="shared" si="5"/>
        <v>0</v>
      </c>
      <c r="G5">
        <f t="shared" si="2"/>
        <v>10</v>
      </c>
      <c r="H5">
        <f t="shared" si="3"/>
        <v>0</v>
      </c>
      <c r="I5">
        <f t="shared" si="4"/>
        <v>80</v>
      </c>
      <c r="J5" t="str">
        <f t="shared" si="6"/>
        <v>HumanFighterDex</v>
      </c>
    </row>
    <row r="6" spans="1:10" x14ac:dyDescent="0.3">
      <c r="A6" s="1" t="s">
        <v>17</v>
      </c>
      <c r="B6" s="1" t="s">
        <v>8</v>
      </c>
      <c r="C6" s="1" t="str">
        <f>race_modifier!A7</f>
        <v>Con</v>
      </c>
      <c r="D6">
        <f t="shared" si="0"/>
        <v>0</v>
      </c>
      <c r="E6">
        <f t="shared" si="1"/>
        <v>1</v>
      </c>
      <c r="F6">
        <f t="shared" si="5"/>
        <v>1</v>
      </c>
      <c r="G6">
        <f t="shared" si="2"/>
        <v>9</v>
      </c>
      <c r="H6">
        <f t="shared" si="3"/>
        <v>14</v>
      </c>
      <c r="I6">
        <f t="shared" si="4"/>
        <v>90</v>
      </c>
      <c r="J6" t="str">
        <f t="shared" si="6"/>
        <v>HumanFighterCon</v>
      </c>
    </row>
    <row r="7" spans="1:10" x14ac:dyDescent="0.3">
      <c r="A7" s="1" t="s">
        <v>17</v>
      </c>
      <c r="B7" s="1" t="s">
        <v>8</v>
      </c>
      <c r="C7" s="1" t="str">
        <f>race_modifier!A8</f>
        <v>Cha</v>
      </c>
      <c r="D7">
        <f t="shared" si="0"/>
        <v>0</v>
      </c>
      <c r="E7">
        <f t="shared" si="1"/>
        <v>-2</v>
      </c>
      <c r="F7">
        <f t="shared" si="5"/>
        <v>-2</v>
      </c>
      <c r="G7">
        <f t="shared" si="2"/>
        <v>16</v>
      </c>
      <c r="H7">
        <f t="shared" si="3"/>
        <v>0</v>
      </c>
      <c r="I7">
        <f t="shared" si="4"/>
        <v>60</v>
      </c>
      <c r="J7" t="str">
        <f t="shared" si="6"/>
        <v>HumanFighterCha</v>
      </c>
    </row>
    <row r="8" spans="1:10" x14ac:dyDescent="0.3">
      <c r="A8" s="1" t="s">
        <v>17</v>
      </c>
      <c r="B8" s="1" t="s">
        <v>8</v>
      </c>
      <c r="C8" s="1" t="str">
        <f>race_modifier!A9</f>
        <v>Bra</v>
      </c>
      <c r="D8">
        <f t="shared" si="0"/>
        <v>0</v>
      </c>
      <c r="E8">
        <f t="shared" si="1"/>
        <v>-1</v>
      </c>
      <c r="F8">
        <f t="shared" si="5"/>
        <v>-1</v>
      </c>
      <c r="G8">
        <f t="shared" si="2"/>
        <v>13</v>
      </c>
      <c r="H8">
        <f t="shared" si="3"/>
        <v>0</v>
      </c>
      <c r="I8">
        <f t="shared" si="4"/>
        <v>70</v>
      </c>
      <c r="J8" t="str">
        <f t="shared" si="6"/>
        <v>HumanFighterBra</v>
      </c>
    </row>
    <row r="9" spans="1:10" x14ac:dyDescent="0.3">
      <c r="A9" s="1" t="s">
        <v>17</v>
      </c>
      <c r="B9" s="1" t="s">
        <v>8</v>
      </c>
      <c r="C9" s="1" t="str">
        <f>race_modifier!A10</f>
        <v>HP</v>
      </c>
      <c r="D9">
        <f t="shared" si="0"/>
        <v>0</v>
      </c>
      <c r="E9">
        <f t="shared" si="1"/>
        <v>3</v>
      </c>
      <c r="F9">
        <f t="shared" si="5"/>
        <v>3</v>
      </c>
      <c r="G9">
        <f t="shared" si="2"/>
        <v>7</v>
      </c>
      <c r="H9">
        <f t="shared" si="3"/>
        <v>11</v>
      </c>
      <c r="I9">
        <f t="shared" si="4"/>
        <v>105</v>
      </c>
      <c r="J9" t="str">
        <f t="shared" si="6"/>
        <v>HumanFighterHP</v>
      </c>
    </row>
    <row r="10" spans="1:10" x14ac:dyDescent="0.3">
      <c r="A10" s="1" t="s">
        <v>17</v>
      </c>
      <c r="B10" s="1" t="s">
        <v>9</v>
      </c>
      <c r="C10" s="1" t="str">
        <f>C2</f>
        <v>Mag</v>
      </c>
      <c r="D10">
        <f t="shared" si="0"/>
        <v>0</v>
      </c>
      <c r="E10">
        <f t="shared" si="1"/>
        <v>-7</v>
      </c>
      <c r="F10">
        <f t="shared" si="5"/>
        <v>-7</v>
      </c>
      <c r="G10">
        <f t="shared" si="2"/>
        <v>31</v>
      </c>
      <c r="H10">
        <f t="shared" si="3"/>
        <v>0</v>
      </c>
      <c r="I10">
        <f t="shared" si="4"/>
        <v>0</v>
      </c>
      <c r="J10" t="str">
        <f t="shared" si="6"/>
        <v>HumanKnightMag</v>
      </c>
    </row>
    <row r="11" spans="1:10" x14ac:dyDescent="0.3">
      <c r="A11" s="1" t="s">
        <v>17</v>
      </c>
      <c r="B11" s="1" t="s">
        <v>9</v>
      </c>
      <c r="C11" s="1" t="str">
        <f t="shared" ref="C11:C74" si="7">C3</f>
        <v>Div</v>
      </c>
      <c r="D11">
        <f t="shared" si="0"/>
        <v>0</v>
      </c>
      <c r="E11">
        <f t="shared" si="1"/>
        <v>0</v>
      </c>
      <c r="F11">
        <f t="shared" si="5"/>
        <v>0</v>
      </c>
      <c r="G11">
        <f t="shared" si="2"/>
        <v>10</v>
      </c>
      <c r="H11">
        <f t="shared" si="3"/>
        <v>0</v>
      </c>
      <c r="I11">
        <f t="shared" si="4"/>
        <v>80</v>
      </c>
      <c r="J11" t="str">
        <f t="shared" si="6"/>
        <v>HumanKnightDiv</v>
      </c>
    </row>
    <row r="12" spans="1:10" x14ac:dyDescent="0.3">
      <c r="A12" s="1" t="s">
        <v>17</v>
      </c>
      <c r="B12" s="1" t="s">
        <v>9</v>
      </c>
      <c r="C12" s="1" t="str">
        <f t="shared" si="7"/>
        <v>Str</v>
      </c>
      <c r="D12">
        <f t="shared" si="0"/>
        <v>0</v>
      </c>
      <c r="E12">
        <f t="shared" si="1"/>
        <v>2</v>
      </c>
      <c r="F12">
        <f t="shared" si="5"/>
        <v>2</v>
      </c>
      <c r="G12">
        <f t="shared" si="2"/>
        <v>8</v>
      </c>
      <c r="H12">
        <f t="shared" si="3"/>
        <v>12</v>
      </c>
      <c r="I12">
        <f t="shared" si="4"/>
        <v>100</v>
      </c>
      <c r="J12" t="str">
        <f t="shared" si="6"/>
        <v>HumanKnightStr</v>
      </c>
    </row>
    <row r="13" spans="1:10" x14ac:dyDescent="0.3">
      <c r="A13" s="1" t="s">
        <v>17</v>
      </c>
      <c r="B13" s="1" t="s">
        <v>9</v>
      </c>
      <c r="C13" s="1" t="str">
        <f t="shared" si="7"/>
        <v>Dex</v>
      </c>
      <c r="D13">
        <f t="shared" si="0"/>
        <v>0</v>
      </c>
      <c r="E13">
        <f t="shared" si="1"/>
        <v>-1</v>
      </c>
      <c r="F13">
        <f t="shared" si="5"/>
        <v>-1</v>
      </c>
      <c r="G13">
        <f t="shared" si="2"/>
        <v>13</v>
      </c>
      <c r="H13">
        <f t="shared" si="3"/>
        <v>0</v>
      </c>
      <c r="I13">
        <f t="shared" si="4"/>
        <v>70</v>
      </c>
      <c r="J13" t="str">
        <f t="shared" si="6"/>
        <v>HumanKnightDex</v>
      </c>
    </row>
    <row r="14" spans="1:10" x14ac:dyDescent="0.3">
      <c r="A14" s="1" t="s">
        <v>17</v>
      </c>
      <c r="B14" s="1" t="s">
        <v>9</v>
      </c>
      <c r="C14" s="1" t="str">
        <f t="shared" si="7"/>
        <v>Con</v>
      </c>
      <c r="D14">
        <f t="shared" si="0"/>
        <v>0</v>
      </c>
      <c r="E14">
        <f t="shared" si="1"/>
        <v>0</v>
      </c>
      <c r="F14">
        <f t="shared" si="5"/>
        <v>0</v>
      </c>
      <c r="G14">
        <f t="shared" si="2"/>
        <v>10</v>
      </c>
      <c r="H14">
        <f t="shared" si="3"/>
        <v>0</v>
      </c>
      <c r="I14">
        <f t="shared" si="4"/>
        <v>80</v>
      </c>
      <c r="J14" t="str">
        <f t="shared" si="6"/>
        <v>HumanKnightCon</v>
      </c>
    </row>
    <row r="15" spans="1:10" x14ac:dyDescent="0.3">
      <c r="A15" s="1" t="s">
        <v>17</v>
      </c>
      <c r="B15" s="1" t="s">
        <v>9</v>
      </c>
      <c r="C15" s="1" t="str">
        <f t="shared" si="7"/>
        <v>Cha</v>
      </c>
      <c r="D15">
        <f t="shared" si="0"/>
        <v>0</v>
      </c>
      <c r="E15">
        <f t="shared" si="1"/>
        <v>-2</v>
      </c>
      <c r="F15">
        <f t="shared" si="5"/>
        <v>-2</v>
      </c>
      <c r="G15">
        <f t="shared" si="2"/>
        <v>16</v>
      </c>
      <c r="H15">
        <f t="shared" si="3"/>
        <v>0</v>
      </c>
      <c r="I15">
        <f t="shared" si="4"/>
        <v>60</v>
      </c>
      <c r="J15" t="str">
        <f t="shared" si="6"/>
        <v>HumanKnightCha</v>
      </c>
    </row>
    <row r="16" spans="1:10" x14ac:dyDescent="0.3">
      <c r="A16" s="1" t="s">
        <v>17</v>
      </c>
      <c r="B16" s="1" t="s">
        <v>9</v>
      </c>
      <c r="C16" s="1" t="str">
        <f t="shared" si="7"/>
        <v>Bra</v>
      </c>
      <c r="D16">
        <f t="shared" si="0"/>
        <v>0</v>
      </c>
      <c r="E16">
        <f t="shared" si="1"/>
        <v>0</v>
      </c>
      <c r="F16">
        <f t="shared" si="5"/>
        <v>0</v>
      </c>
      <c r="G16">
        <f t="shared" si="2"/>
        <v>10</v>
      </c>
      <c r="H16">
        <f t="shared" si="3"/>
        <v>0</v>
      </c>
      <c r="I16">
        <f t="shared" si="4"/>
        <v>80</v>
      </c>
      <c r="J16" t="str">
        <f t="shared" si="6"/>
        <v>HumanKnightBra</v>
      </c>
    </row>
    <row r="17" spans="1:10" x14ac:dyDescent="0.3">
      <c r="A17" s="1" t="s">
        <v>17</v>
      </c>
      <c r="B17" s="1" t="s">
        <v>9</v>
      </c>
      <c r="C17" s="1" t="str">
        <f t="shared" si="7"/>
        <v>HP</v>
      </c>
      <c r="D17">
        <f t="shared" si="0"/>
        <v>0</v>
      </c>
      <c r="E17">
        <f t="shared" si="1"/>
        <v>1</v>
      </c>
      <c r="F17">
        <f t="shared" si="5"/>
        <v>1</v>
      </c>
      <c r="G17">
        <f t="shared" si="2"/>
        <v>9</v>
      </c>
      <c r="H17">
        <f t="shared" si="3"/>
        <v>14</v>
      </c>
      <c r="I17">
        <f t="shared" si="4"/>
        <v>90</v>
      </c>
      <c r="J17" t="str">
        <f t="shared" si="6"/>
        <v>HumanKnightHP</v>
      </c>
    </row>
    <row r="18" spans="1:10" x14ac:dyDescent="0.3">
      <c r="A18" s="1" t="s">
        <v>17</v>
      </c>
      <c r="B18" s="1" t="s">
        <v>10</v>
      </c>
      <c r="C18" s="1" t="str">
        <f t="shared" si="7"/>
        <v>Mag</v>
      </c>
      <c r="D18">
        <f t="shared" si="0"/>
        <v>0</v>
      </c>
      <c r="E18">
        <f t="shared" si="1"/>
        <v>-7</v>
      </c>
      <c r="F18">
        <f t="shared" si="5"/>
        <v>-7</v>
      </c>
      <c r="G18">
        <f t="shared" si="2"/>
        <v>31</v>
      </c>
      <c r="H18">
        <f t="shared" si="3"/>
        <v>0</v>
      </c>
      <c r="I18">
        <f t="shared" si="4"/>
        <v>0</v>
      </c>
      <c r="J18" t="str">
        <f t="shared" si="6"/>
        <v>HumanPaladinMag</v>
      </c>
    </row>
    <row r="19" spans="1:10" x14ac:dyDescent="0.3">
      <c r="A19" s="1" t="s">
        <v>17</v>
      </c>
      <c r="B19" s="1" t="s">
        <v>10</v>
      </c>
      <c r="C19" s="1" t="str">
        <f t="shared" si="7"/>
        <v>Div</v>
      </c>
      <c r="D19">
        <f t="shared" si="0"/>
        <v>0</v>
      </c>
      <c r="E19">
        <f t="shared" si="1"/>
        <v>0</v>
      </c>
      <c r="F19">
        <f t="shared" si="5"/>
        <v>0</v>
      </c>
      <c r="G19">
        <f t="shared" si="2"/>
        <v>10</v>
      </c>
      <c r="H19">
        <f t="shared" si="3"/>
        <v>0</v>
      </c>
      <c r="I19">
        <f t="shared" si="4"/>
        <v>80</v>
      </c>
      <c r="J19" t="str">
        <f t="shared" si="6"/>
        <v>HumanPaladinDiv</v>
      </c>
    </row>
    <row r="20" spans="1:10" x14ac:dyDescent="0.3">
      <c r="A20" s="1" t="s">
        <v>17</v>
      </c>
      <c r="B20" s="1" t="s">
        <v>10</v>
      </c>
      <c r="C20" s="1" t="str">
        <f t="shared" si="7"/>
        <v>Str</v>
      </c>
      <c r="D20">
        <f t="shared" si="0"/>
        <v>0</v>
      </c>
      <c r="E20">
        <f t="shared" si="1"/>
        <v>2</v>
      </c>
      <c r="F20">
        <f t="shared" si="5"/>
        <v>2</v>
      </c>
      <c r="G20">
        <f t="shared" si="2"/>
        <v>8</v>
      </c>
      <c r="H20">
        <f t="shared" si="3"/>
        <v>12</v>
      </c>
      <c r="I20">
        <f t="shared" si="4"/>
        <v>100</v>
      </c>
      <c r="J20" t="str">
        <f t="shared" si="6"/>
        <v>HumanPaladinStr</v>
      </c>
    </row>
    <row r="21" spans="1:10" x14ac:dyDescent="0.3">
      <c r="A21" s="1" t="s">
        <v>17</v>
      </c>
      <c r="B21" s="1" t="s">
        <v>10</v>
      </c>
      <c r="C21" s="1" t="str">
        <f t="shared" si="7"/>
        <v>Dex</v>
      </c>
      <c r="D21">
        <f t="shared" si="0"/>
        <v>0</v>
      </c>
      <c r="E21">
        <f t="shared" si="1"/>
        <v>-1</v>
      </c>
      <c r="F21">
        <f t="shared" si="5"/>
        <v>-1</v>
      </c>
      <c r="G21">
        <f t="shared" si="2"/>
        <v>13</v>
      </c>
      <c r="H21">
        <f t="shared" si="3"/>
        <v>0</v>
      </c>
      <c r="I21">
        <f t="shared" si="4"/>
        <v>70</v>
      </c>
      <c r="J21" t="str">
        <f t="shared" si="6"/>
        <v>HumanPaladinDex</v>
      </c>
    </row>
    <row r="22" spans="1:10" x14ac:dyDescent="0.3">
      <c r="A22" s="1" t="s">
        <v>17</v>
      </c>
      <c r="B22" s="1" t="s">
        <v>10</v>
      </c>
      <c r="C22" s="1" t="str">
        <f t="shared" si="7"/>
        <v>Con</v>
      </c>
      <c r="D22">
        <f t="shared" si="0"/>
        <v>0</v>
      </c>
      <c r="E22">
        <f t="shared" si="1"/>
        <v>0</v>
      </c>
      <c r="F22">
        <f t="shared" si="5"/>
        <v>0</v>
      </c>
      <c r="G22">
        <f t="shared" si="2"/>
        <v>10</v>
      </c>
      <c r="H22">
        <f t="shared" si="3"/>
        <v>0</v>
      </c>
      <c r="I22">
        <f t="shared" si="4"/>
        <v>80</v>
      </c>
      <c r="J22" t="str">
        <f t="shared" si="6"/>
        <v>HumanPaladinCon</v>
      </c>
    </row>
    <row r="23" spans="1:10" x14ac:dyDescent="0.3">
      <c r="A23" s="1" t="s">
        <v>17</v>
      </c>
      <c r="B23" s="1" t="s">
        <v>10</v>
      </c>
      <c r="C23" s="1" t="str">
        <f t="shared" si="7"/>
        <v>Cha</v>
      </c>
      <c r="D23">
        <f t="shared" si="0"/>
        <v>0</v>
      </c>
      <c r="E23">
        <f t="shared" si="1"/>
        <v>-2</v>
      </c>
      <c r="F23">
        <f t="shared" si="5"/>
        <v>-2</v>
      </c>
      <c r="G23">
        <f t="shared" si="2"/>
        <v>16</v>
      </c>
      <c r="H23">
        <f t="shared" si="3"/>
        <v>0</v>
      </c>
      <c r="I23">
        <f t="shared" si="4"/>
        <v>60</v>
      </c>
      <c r="J23" t="str">
        <f t="shared" si="6"/>
        <v>HumanPaladinCha</v>
      </c>
    </row>
    <row r="24" spans="1:10" x14ac:dyDescent="0.3">
      <c r="A24" s="1" t="s">
        <v>17</v>
      </c>
      <c r="B24" s="1" t="s">
        <v>10</v>
      </c>
      <c r="C24" s="1" t="str">
        <f t="shared" si="7"/>
        <v>Bra</v>
      </c>
      <c r="D24">
        <f t="shared" si="0"/>
        <v>0</v>
      </c>
      <c r="E24">
        <f t="shared" si="1"/>
        <v>0</v>
      </c>
      <c r="F24">
        <f t="shared" si="5"/>
        <v>0</v>
      </c>
      <c r="G24">
        <f t="shared" si="2"/>
        <v>10</v>
      </c>
      <c r="H24">
        <f t="shared" si="3"/>
        <v>0</v>
      </c>
      <c r="I24">
        <f t="shared" si="4"/>
        <v>80</v>
      </c>
      <c r="J24" t="str">
        <f t="shared" si="6"/>
        <v>HumanPaladinBra</v>
      </c>
    </row>
    <row r="25" spans="1:10" x14ac:dyDescent="0.3">
      <c r="A25" s="1" t="s">
        <v>17</v>
      </c>
      <c r="B25" s="1" t="s">
        <v>10</v>
      </c>
      <c r="C25" s="1" t="str">
        <f t="shared" si="7"/>
        <v>HP</v>
      </c>
      <c r="D25">
        <f t="shared" si="0"/>
        <v>0</v>
      </c>
      <c r="E25">
        <f t="shared" si="1"/>
        <v>1</v>
      </c>
      <c r="F25">
        <f t="shared" si="5"/>
        <v>1</v>
      </c>
      <c r="G25">
        <f t="shared" si="2"/>
        <v>9</v>
      </c>
      <c r="H25">
        <f t="shared" si="3"/>
        <v>14</v>
      </c>
      <c r="I25">
        <f t="shared" si="4"/>
        <v>90</v>
      </c>
      <c r="J25" t="str">
        <f t="shared" si="6"/>
        <v>HumanPaladinHP</v>
      </c>
    </row>
    <row r="26" spans="1:10" x14ac:dyDescent="0.3">
      <c r="A26" s="1" t="s">
        <v>17</v>
      </c>
      <c r="B26" s="1" t="s">
        <v>11</v>
      </c>
      <c r="C26" s="1" t="str">
        <f t="shared" si="7"/>
        <v>Mag</v>
      </c>
      <c r="D26">
        <f t="shared" si="0"/>
        <v>0</v>
      </c>
      <c r="E26">
        <f t="shared" si="1"/>
        <v>-7</v>
      </c>
      <c r="F26">
        <f t="shared" si="5"/>
        <v>-7</v>
      </c>
      <c r="G26">
        <f t="shared" si="2"/>
        <v>31</v>
      </c>
      <c r="H26">
        <f t="shared" si="3"/>
        <v>0</v>
      </c>
      <c r="I26">
        <f t="shared" si="4"/>
        <v>0</v>
      </c>
      <c r="J26" t="str">
        <f t="shared" si="6"/>
        <v>HumanRangerMag</v>
      </c>
    </row>
    <row r="27" spans="1:10" x14ac:dyDescent="0.3">
      <c r="A27" s="1" t="s">
        <v>17</v>
      </c>
      <c r="B27" s="1" t="s">
        <v>11</v>
      </c>
      <c r="C27" s="1" t="str">
        <f t="shared" si="7"/>
        <v>Div</v>
      </c>
      <c r="D27">
        <f t="shared" si="0"/>
        <v>0</v>
      </c>
      <c r="E27">
        <f t="shared" si="1"/>
        <v>0</v>
      </c>
      <c r="F27">
        <f t="shared" si="5"/>
        <v>0</v>
      </c>
      <c r="G27">
        <f t="shared" si="2"/>
        <v>10</v>
      </c>
      <c r="H27">
        <f t="shared" si="3"/>
        <v>0</v>
      </c>
      <c r="I27">
        <f t="shared" si="4"/>
        <v>80</v>
      </c>
      <c r="J27" t="str">
        <f t="shared" si="6"/>
        <v>HumanRangerDiv</v>
      </c>
    </row>
    <row r="28" spans="1:10" x14ac:dyDescent="0.3">
      <c r="A28" s="1" t="s">
        <v>17</v>
      </c>
      <c r="B28" s="1" t="s">
        <v>11</v>
      </c>
      <c r="C28" s="1" t="str">
        <f t="shared" si="7"/>
        <v>Str</v>
      </c>
      <c r="D28">
        <f t="shared" si="0"/>
        <v>0</v>
      </c>
      <c r="E28">
        <f t="shared" si="1"/>
        <v>1</v>
      </c>
      <c r="F28">
        <f t="shared" si="5"/>
        <v>1</v>
      </c>
      <c r="G28">
        <f t="shared" si="2"/>
        <v>9</v>
      </c>
      <c r="H28">
        <f t="shared" si="3"/>
        <v>14</v>
      </c>
      <c r="I28">
        <f t="shared" si="4"/>
        <v>90</v>
      </c>
      <c r="J28" t="str">
        <f t="shared" si="6"/>
        <v>HumanRangerStr</v>
      </c>
    </row>
    <row r="29" spans="1:10" x14ac:dyDescent="0.3">
      <c r="A29" s="1" t="s">
        <v>17</v>
      </c>
      <c r="B29" s="1" t="s">
        <v>11</v>
      </c>
      <c r="C29" s="1" t="str">
        <f t="shared" si="7"/>
        <v>Dex</v>
      </c>
      <c r="D29">
        <f t="shared" si="0"/>
        <v>0</v>
      </c>
      <c r="E29">
        <f t="shared" si="1"/>
        <v>2</v>
      </c>
      <c r="F29">
        <f t="shared" si="5"/>
        <v>2</v>
      </c>
      <c r="G29">
        <f t="shared" si="2"/>
        <v>8</v>
      </c>
      <c r="H29">
        <f t="shared" si="3"/>
        <v>12</v>
      </c>
      <c r="I29">
        <f t="shared" si="4"/>
        <v>100</v>
      </c>
      <c r="J29" t="str">
        <f t="shared" si="6"/>
        <v>HumanRangerDex</v>
      </c>
    </row>
    <row r="30" spans="1:10" x14ac:dyDescent="0.3">
      <c r="A30" s="1" t="s">
        <v>17</v>
      </c>
      <c r="B30" s="1" t="s">
        <v>11</v>
      </c>
      <c r="C30" s="1" t="str">
        <f t="shared" si="7"/>
        <v>Con</v>
      </c>
      <c r="D30">
        <f t="shared" si="0"/>
        <v>0</v>
      </c>
      <c r="E30">
        <f t="shared" si="1"/>
        <v>0</v>
      </c>
      <c r="F30">
        <f t="shared" si="5"/>
        <v>0</v>
      </c>
      <c r="G30">
        <f t="shared" si="2"/>
        <v>10</v>
      </c>
      <c r="H30">
        <f t="shared" si="3"/>
        <v>0</v>
      </c>
      <c r="I30">
        <f t="shared" si="4"/>
        <v>80</v>
      </c>
      <c r="J30" t="str">
        <f t="shared" si="6"/>
        <v>HumanRangerCon</v>
      </c>
    </row>
    <row r="31" spans="1:10" x14ac:dyDescent="0.3">
      <c r="A31" s="1" t="s">
        <v>17</v>
      </c>
      <c r="B31" s="1" t="s">
        <v>11</v>
      </c>
      <c r="C31" s="1" t="str">
        <f t="shared" si="7"/>
        <v>Cha</v>
      </c>
      <c r="D31">
        <f t="shared" si="0"/>
        <v>0</v>
      </c>
      <c r="E31">
        <f t="shared" si="1"/>
        <v>-2</v>
      </c>
      <c r="F31">
        <f t="shared" si="5"/>
        <v>-2</v>
      </c>
      <c r="G31">
        <f t="shared" si="2"/>
        <v>16</v>
      </c>
      <c r="H31">
        <f t="shared" si="3"/>
        <v>0</v>
      </c>
      <c r="I31">
        <f t="shared" si="4"/>
        <v>60</v>
      </c>
      <c r="J31" t="str">
        <f t="shared" si="6"/>
        <v>HumanRangerCha</v>
      </c>
    </row>
    <row r="32" spans="1:10" x14ac:dyDescent="0.3">
      <c r="A32" s="1" t="s">
        <v>17</v>
      </c>
      <c r="B32" s="1" t="s">
        <v>11</v>
      </c>
      <c r="C32" s="1" t="str">
        <f t="shared" si="7"/>
        <v>Bra</v>
      </c>
      <c r="D32">
        <f t="shared" si="0"/>
        <v>0</v>
      </c>
      <c r="E32">
        <f t="shared" si="1"/>
        <v>-1</v>
      </c>
      <c r="F32">
        <f t="shared" si="5"/>
        <v>-1</v>
      </c>
      <c r="G32">
        <f t="shared" si="2"/>
        <v>13</v>
      </c>
      <c r="H32">
        <f t="shared" si="3"/>
        <v>0</v>
      </c>
      <c r="I32">
        <f t="shared" si="4"/>
        <v>70</v>
      </c>
      <c r="J32" t="str">
        <f t="shared" si="6"/>
        <v>HumanRangerBra</v>
      </c>
    </row>
    <row r="33" spans="1:10" x14ac:dyDescent="0.3">
      <c r="A33" s="1" t="s">
        <v>17</v>
      </c>
      <c r="B33" s="1" t="s">
        <v>11</v>
      </c>
      <c r="C33" s="1" t="str">
        <f t="shared" si="7"/>
        <v>HP</v>
      </c>
      <c r="D33">
        <f t="shared" si="0"/>
        <v>0</v>
      </c>
      <c r="E33">
        <f t="shared" si="1"/>
        <v>0</v>
      </c>
      <c r="F33">
        <f t="shared" si="5"/>
        <v>0</v>
      </c>
      <c r="G33">
        <f t="shared" si="2"/>
        <v>10</v>
      </c>
      <c r="H33">
        <f t="shared" si="3"/>
        <v>0</v>
      </c>
      <c r="I33">
        <f t="shared" si="4"/>
        <v>80</v>
      </c>
      <c r="J33" t="str">
        <f t="shared" si="6"/>
        <v>HumanRangerHP</v>
      </c>
    </row>
    <row r="34" spans="1:10" x14ac:dyDescent="0.3">
      <c r="A34" s="1" t="s">
        <v>17</v>
      </c>
      <c r="B34" s="1" t="s">
        <v>12</v>
      </c>
      <c r="C34" s="1" t="str">
        <f t="shared" si="7"/>
        <v>Mag</v>
      </c>
      <c r="D34">
        <f t="shared" si="0"/>
        <v>0</v>
      </c>
      <c r="E34">
        <f t="shared" si="1"/>
        <v>0</v>
      </c>
      <c r="F34">
        <f t="shared" si="5"/>
        <v>0</v>
      </c>
      <c r="G34">
        <f t="shared" si="2"/>
        <v>10</v>
      </c>
      <c r="H34">
        <f t="shared" si="3"/>
        <v>0</v>
      </c>
      <c r="I34">
        <f t="shared" si="4"/>
        <v>80</v>
      </c>
      <c r="J34" t="str">
        <f t="shared" si="6"/>
        <v>HumanAssassinMag</v>
      </c>
    </row>
    <row r="35" spans="1:10" x14ac:dyDescent="0.3">
      <c r="A35" s="1" t="s">
        <v>17</v>
      </c>
      <c r="B35" s="1" t="s">
        <v>12</v>
      </c>
      <c r="C35" s="1" t="str">
        <f t="shared" si="7"/>
        <v>Div</v>
      </c>
      <c r="D35">
        <f t="shared" si="0"/>
        <v>0</v>
      </c>
      <c r="E35">
        <f t="shared" si="1"/>
        <v>-7</v>
      </c>
      <c r="F35">
        <f t="shared" si="5"/>
        <v>-7</v>
      </c>
      <c r="G35">
        <f t="shared" si="2"/>
        <v>31</v>
      </c>
      <c r="H35">
        <f t="shared" si="3"/>
        <v>0</v>
      </c>
      <c r="I35">
        <f t="shared" si="4"/>
        <v>0</v>
      </c>
      <c r="J35" t="str">
        <f t="shared" si="6"/>
        <v>HumanAssassinDiv</v>
      </c>
    </row>
    <row r="36" spans="1:10" x14ac:dyDescent="0.3">
      <c r="A36" s="1" t="s">
        <v>17</v>
      </c>
      <c r="B36" s="1" t="s">
        <v>12</v>
      </c>
      <c r="C36" s="1" t="str">
        <f t="shared" si="7"/>
        <v>Str</v>
      </c>
      <c r="D36">
        <f t="shared" si="0"/>
        <v>0</v>
      </c>
      <c r="E36">
        <f t="shared" si="1"/>
        <v>0</v>
      </c>
      <c r="F36">
        <f t="shared" si="5"/>
        <v>0</v>
      </c>
      <c r="G36">
        <f t="shared" si="2"/>
        <v>10</v>
      </c>
      <c r="H36">
        <f t="shared" si="3"/>
        <v>0</v>
      </c>
      <c r="I36">
        <f t="shared" si="4"/>
        <v>80</v>
      </c>
      <c r="J36" t="str">
        <f t="shared" si="6"/>
        <v>HumanAssassinStr</v>
      </c>
    </row>
    <row r="37" spans="1:10" x14ac:dyDescent="0.3">
      <c r="A37" s="1" t="s">
        <v>17</v>
      </c>
      <c r="B37" s="1" t="s">
        <v>12</v>
      </c>
      <c r="C37" s="1" t="str">
        <f t="shared" si="7"/>
        <v>Dex</v>
      </c>
      <c r="D37">
        <f t="shared" si="0"/>
        <v>0</v>
      </c>
      <c r="E37">
        <f t="shared" si="1"/>
        <v>2</v>
      </c>
      <c r="F37">
        <f t="shared" si="5"/>
        <v>2</v>
      </c>
      <c r="G37">
        <f t="shared" si="2"/>
        <v>8</v>
      </c>
      <c r="H37">
        <f t="shared" si="3"/>
        <v>12</v>
      </c>
      <c r="I37">
        <f t="shared" si="4"/>
        <v>100</v>
      </c>
      <c r="J37" t="str">
        <f t="shared" si="6"/>
        <v>HumanAssassinDex</v>
      </c>
    </row>
    <row r="38" spans="1:10" x14ac:dyDescent="0.3">
      <c r="A38" s="1" t="s">
        <v>17</v>
      </c>
      <c r="B38" s="1" t="s">
        <v>12</v>
      </c>
      <c r="C38" s="1" t="str">
        <f t="shared" si="7"/>
        <v>Con</v>
      </c>
      <c r="D38">
        <f t="shared" si="0"/>
        <v>0</v>
      </c>
      <c r="E38">
        <f t="shared" si="1"/>
        <v>0</v>
      </c>
      <c r="F38">
        <f t="shared" si="5"/>
        <v>0</v>
      </c>
      <c r="G38">
        <f t="shared" si="2"/>
        <v>10</v>
      </c>
      <c r="H38">
        <f t="shared" si="3"/>
        <v>0</v>
      </c>
      <c r="I38">
        <f t="shared" si="4"/>
        <v>80</v>
      </c>
      <c r="J38" t="str">
        <f t="shared" si="6"/>
        <v>HumanAssassinCon</v>
      </c>
    </row>
    <row r="39" spans="1:10" x14ac:dyDescent="0.3">
      <c r="A39" s="1" t="s">
        <v>17</v>
      </c>
      <c r="B39" s="1" t="s">
        <v>12</v>
      </c>
      <c r="C39" s="1" t="str">
        <f t="shared" si="7"/>
        <v>Cha</v>
      </c>
      <c r="D39">
        <f t="shared" si="0"/>
        <v>0</v>
      </c>
      <c r="E39">
        <f t="shared" si="1"/>
        <v>-2</v>
      </c>
      <c r="F39">
        <f t="shared" si="5"/>
        <v>-2</v>
      </c>
      <c r="G39">
        <f t="shared" si="2"/>
        <v>16</v>
      </c>
      <c r="H39">
        <f t="shared" si="3"/>
        <v>0</v>
      </c>
      <c r="I39">
        <f t="shared" si="4"/>
        <v>60</v>
      </c>
      <c r="J39" t="str">
        <f t="shared" si="6"/>
        <v>HumanAssassinCha</v>
      </c>
    </row>
    <row r="40" spans="1:10" x14ac:dyDescent="0.3">
      <c r="A40" s="1" t="s">
        <v>17</v>
      </c>
      <c r="B40" s="1" t="s">
        <v>12</v>
      </c>
      <c r="C40" s="1" t="str">
        <f t="shared" si="7"/>
        <v>Bra</v>
      </c>
      <c r="D40">
        <f t="shared" si="0"/>
        <v>0</v>
      </c>
      <c r="E40">
        <f t="shared" si="1"/>
        <v>1</v>
      </c>
      <c r="F40">
        <f t="shared" si="5"/>
        <v>1</v>
      </c>
      <c r="G40">
        <f t="shared" si="2"/>
        <v>9</v>
      </c>
      <c r="H40">
        <f t="shared" si="3"/>
        <v>14</v>
      </c>
      <c r="I40">
        <f t="shared" si="4"/>
        <v>90</v>
      </c>
      <c r="J40" t="str">
        <f t="shared" si="6"/>
        <v>HumanAssassinBra</v>
      </c>
    </row>
    <row r="41" spans="1:10" x14ac:dyDescent="0.3">
      <c r="A41" s="1" t="s">
        <v>17</v>
      </c>
      <c r="B41" s="1" t="s">
        <v>12</v>
      </c>
      <c r="C41" s="1" t="str">
        <f t="shared" si="7"/>
        <v>HP</v>
      </c>
      <c r="D41">
        <f t="shared" si="0"/>
        <v>0</v>
      </c>
      <c r="E41">
        <f t="shared" si="1"/>
        <v>-1</v>
      </c>
      <c r="F41">
        <f t="shared" si="5"/>
        <v>-1</v>
      </c>
      <c r="G41">
        <f t="shared" si="2"/>
        <v>13</v>
      </c>
      <c r="H41">
        <f t="shared" si="3"/>
        <v>0</v>
      </c>
      <c r="I41">
        <f t="shared" si="4"/>
        <v>70</v>
      </c>
      <c r="J41" t="str">
        <f t="shared" si="6"/>
        <v>HumanAssassinHP</v>
      </c>
    </row>
    <row r="42" spans="1:10" x14ac:dyDescent="0.3">
      <c r="A42" s="1" t="s">
        <v>17</v>
      </c>
      <c r="B42" s="1" t="s">
        <v>13</v>
      </c>
      <c r="C42" s="1" t="str">
        <f t="shared" si="7"/>
        <v>Mag</v>
      </c>
      <c r="D42">
        <f t="shared" si="0"/>
        <v>0</v>
      </c>
      <c r="E42">
        <f t="shared" si="1"/>
        <v>-5</v>
      </c>
      <c r="F42">
        <f t="shared" si="5"/>
        <v>-5</v>
      </c>
      <c r="G42">
        <f t="shared" si="2"/>
        <v>25</v>
      </c>
      <c r="H42">
        <f t="shared" si="3"/>
        <v>0</v>
      </c>
      <c r="I42">
        <f t="shared" si="4"/>
        <v>30</v>
      </c>
      <c r="J42" t="str">
        <f t="shared" si="6"/>
        <v>HumanThiefMag</v>
      </c>
    </row>
    <row r="43" spans="1:10" x14ac:dyDescent="0.3">
      <c r="A43" s="1" t="s">
        <v>17</v>
      </c>
      <c r="B43" s="1" t="s">
        <v>13</v>
      </c>
      <c r="C43" s="1" t="str">
        <f t="shared" si="7"/>
        <v>Div</v>
      </c>
      <c r="D43">
        <f t="shared" si="0"/>
        <v>0</v>
      </c>
      <c r="E43">
        <f t="shared" si="1"/>
        <v>-7</v>
      </c>
      <c r="F43">
        <f t="shared" si="5"/>
        <v>-7</v>
      </c>
      <c r="G43">
        <f t="shared" si="2"/>
        <v>31</v>
      </c>
      <c r="H43">
        <f t="shared" si="3"/>
        <v>0</v>
      </c>
      <c r="I43">
        <f t="shared" si="4"/>
        <v>0</v>
      </c>
      <c r="J43" t="str">
        <f t="shared" si="6"/>
        <v>HumanThiefDiv</v>
      </c>
    </row>
    <row r="44" spans="1:10" x14ac:dyDescent="0.3">
      <c r="A44" s="1" t="s">
        <v>17</v>
      </c>
      <c r="B44" s="1" t="s">
        <v>13</v>
      </c>
      <c r="C44" s="1" t="str">
        <f t="shared" si="7"/>
        <v>Str</v>
      </c>
      <c r="D44">
        <f t="shared" si="0"/>
        <v>0</v>
      </c>
      <c r="E44">
        <f t="shared" si="1"/>
        <v>0</v>
      </c>
      <c r="F44">
        <f t="shared" si="5"/>
        <v>0</v>
      </c>
      <c r="G44">
        <f t="shared" si="2"/>
        <v>10</v>
      </c>
      <c r="H44">
        <f t="shared" si="3"/>
        <v>0</v>
      </c>
      <c r="I44">
        <f t="shared" si="4"/>
        <v>80</v>
      </c>
      <c r="J44" t="str">
        <f t="shared" si="6"/>
        <v>HumanThiefStr</v>
      </c>
    </row>
    <row r="45" spans="1:10" x14ac:dyDescent="0.3">
      <c r="A45" s="1" t="s">
        <v>17</v>
      </c>
      <c r="B45" s="1" t="s">
        <v>13</v>
      </c>
      <c r="C45" s="1" t="str">
        <f t="shared" si="7"/>
        <v>Dex</v>
      </c>
      <c r="D45">
        <f t="shared" si="0"/>
        <v>0</v>
      </c>
      <c r="E45">
        <f t="shared" si="1"/>
        <v>3</v>
      </c>
      <c r="F45">
        <f t="shared" si="5"/>
        <v>3</v>
      </c>
      <c r="G45">
        <f t="shared" si="2"/>
        <v>7</v>
      </c>
      <c r="H45">
        <f t="shared" si="3"/>
        <v>11</v>
      </c>
      <c r="I45">
        <f t="shared" si="4"/>
        <v>105</v>
      </c>
      <c r="J45" t="str">
        <f t="shared" si="6"/>
        <v>HumanThiefDex</v>
      </c>
    </row>
    <row r="46" spans="1:10" x14ac:dyDescent="0.3">
      <c r="A46" s="1" t="s">
        <v>17</v>
      </c>
      <c r="B46" s="1" t="s">
        <v>13</v>
      </c>
      <c r="C46" s="1" t="str">
        <f t="shared" si="7"/>
        <v>Con</v>
      </c>
      <c r="D46">
        <f t="shared" si="0"/>
        <v>0</v>
      </c>
      <c r="E46">
        <f t="shared" si="1"/>
        <v>-1</v>
      </c>
      <c r="F46">
        <f t="shared" si="5"/>
        <v>-1</v>
      </c>
      <c r="G46">
        <f t="shared" si="2"/>
        <v>13</v>
      </c>
      <c r="H46">
        <f t="shared" si="3"/>
        <v>0</v>
      </c>
      <c r="I46">
        <f t="shared" si="4"/>
        <v>70</v>
      </c>
      <c r="J46" t="str">
        <f t="shared" si="6"/>
        <v>HumanThiefCon</v>
      </c>
    </row>
    <row r="47" spans="1:10" x14ac:dyDescent="0.3">
      <c r="A47" s="1" t="s">
        <v>17</v>
      </c>
      <c r="B47" s="1" t="s">
        <v>13</v>
      </c>
      <c r="C47" s="1" t="str">
        <f t="shared" si="7"/>
        <v>Cha</v>
      </c>
      <c r="D47">
        <f t="shared" si="0"/>
        <v>0</v>
      </c>
      <c r="E47">
        <f t="shared" si="1"/>
        <v>-2</v>
      </c>
      <c r="F47">
        <f t="shared" si="5"/>
        <v>-2</v>
      </c>
      <c r="G47">
        <f t="shared" si="2"/>
        <v>16</v>
      </c>
      <c r="H47">
        <f t="shared" si="3"/>
        <v>0</v>
      </c>
      <c r="I47">
        <f t="shared" si="4"/>
        <v>60</v>
      </c>
      <c r="J47" t="str">
        <f t="shared" si="6"/>
        <v>HumanThiefCha</v>
      </c>
    </row>
    <row r="48" spans="1:10" x14ac:dyDescent="0.3">
      <c r="A48" s="1" t="s">
        <v>17</v>
      </c>
      <c r="B48" s="1" t="s">
        <v>13</v>
      </c>
      <c r="C48" s="1" t="str">
        <f t="shared" si="7"/>
        <v>Bra</v>
      </c>
      <c r="D48">
        <f t="shared" si="0"/>
        <v>0</v>
      </c>
      <c r="E48">
        <f t="shared" si="1"/>
        <v>2</v>
      </c>
      <c r="F48">
        <f t="shared" si="5"/>
        <v>2</v>
      </c>
      <c r="G48">
        <f t="shared" si="2"/>
        <v>8</v>
      </c>
      <c r="H48">
        <f t="shared" si="3"/>
        <v>12</v>
      </c>
      <c r="I48">
        <f t="shared" si="4"/>
        <v>100</v>
      </c>
      <c r="J48" t="str">
        <f t="shared" si="6"/>
        <v>HumanThiefBra</v>
      </c>
    </row>
    <row r="49" spans="1:10" x14ac:dyDescent="0.3">
      <c r="A49" s="1" t="s">
        <v>17</v>
      </c>
      <c r="B49" s="1" t="s">
        <v>13</v>
      </c>
      <c r="C49" s="1" t="str">
        <f t="shared" si="7"/>
        <v>HP</v>
      </c>
      <c r="D49">
        <f t="shared" si="0"/>
        <v>0</v>
      </c>
      <c r="E49">
        <f t="shared" si="1"/>
        <v>1</v>
      </c>
      <c r="F49">
        <f t="shared" si="5"/>
        <v>1</v>
      </c>
      <c r="G49">
        <f t="shared" si="2"/>
        <v>9</v>
      </c>
      <c r="H49">
        <f t="shared" si="3"/>
        <v>14</v>
      </c>
      <c r="I49">
        <f t="shared" si="4"/>
        <v>90</v>
      </c>
      <c r="J49" t="str">
        <f t="shared" si="6"/>
        <v>HumanThiefHP</v>
      </c>
    </row>
    <row r="50" spans="1:10" x14ac:dyDescent="0.3">
      <c r="A50" s="1" t="s">
        <v>17</v>
      </c>
      <c r="B50" s="1" t="s">
        <v>14</v>
      </c>
      <c r="C50" s="1" t="str">
        <f t="shared" si="7"/>
        <v>Mag</v>
      </c>
      <c r="D50">
        <f t="shared" si="0"/>
        <v>0</v>
      </c>
      <c r="E50">
        <f t="shared" si="1"/>
        <v>-7</v>
      </c>
      <c r="F50">
        <f t="shared" si="5"/>
        <v>-7</v>
      </c>
      <c r="G50">
        <f t="shared" si="2"/>
        <v>31</v>
      </c>
      <c r="H50">
        <f t="shared" si="3"/>
        <v>0</v>
      </c>
      <c r="I50">
        <f t="shared" si="4"/>
        <v>0</v>
      </c>
      <c r="J50" t="str">
        <f t="shared" si="6"/>
        <v>HumanDruidMag</v>
      </c>
    </row>
    <row r="51" spans="1:10" x14ac:dyDescent="0.3">
      <c r="A51" s="1" t="s">
        <v>17</v>
      </c>
      <c r="B51" s="1" t="s">
        <v>14</v>
      </c>
      <c r="C51" s="1" t="str">
        <f t="shared" si="7"/>
        <v>Div</v>
      </c>
      <c r="D51">
        <f t="shared" si="0"/>
        <v>0</v>
      </c>
      <c r="E51">
        <f t="shared" si="1"/>
        <v>2</v>
      </c>
      <c r="F51">
        <f t="shared" si="5"/>
        <v>2</v>
      </c>
      <c r="G51">
        <f t="shared" si="2"/>
        <v>8</v>
      </c>
      <c r="H51">
        <f t="shared" si="3"/>
        <v>12</v>
      </c>
      <c r="I51">
        <f t="shared" si="4"/>
        <v>100</v>
      </c>
      <c r="J51" t="str">
        <f t="shared" si="6"/>
        <v>HumanDruidDiv</v>
      </c>
    </row>
    <row r="52" spans="1:10" x14ac:dyDescent="0.3">
      <c r="A52" s="1" t="s">
        <v>17</v>
      </c>
      <c r="B52" s="1" t="s">
        <v>14</v>
      </c>
      <c r="C52" s="1" t="str">
        <f t="shared" si="7"/>
        <v>Str</v>
      </c>
      <c r="D52">
        <f t="shared" si="0"/>
        <v>0</v>
      </c>
      <c r="E52">
        <f t="shared" si="1"/>
        <v>-2</v>
      </c>
      <c r="F52">
        <f t="shared" si="5"/>
        <v>-2</v>
      </c>
      <c r="G52">
        <f t="shared" si="2"/>
        <v>16</v>
      </c>
      <c r="H52">
        <f t="shared" si="3"/>
        <v>0</v>
      </c>
      <c r="I52">
        <f t="shared" si="4"/>
        <v>60</v>
      </c>
      <c r="J52" t="str">
        <f t="shared" si="6"/>
        <v>HumanDruidStr</v>
      </c>
    </row>
    <row r="53" spans="1:10" x14ac:dyDescent="0.3">
      <c r="A53" s="1" t="s">
        <v>17</v>
      </c>
      <c r="B53" s="1" t="s">
        <v>14</v>
      </c>
      <c r="C53" s="1" t="str">
        <f t="shared" si="7"/>
        <v>Dex</v>
      </c>
      <c r="D53">
        <f t="shared" si="0"/>
        <v>0</v>
      </c>
      <c r="E53">
        <f t="shared" si="1"/>
        <v>0</v>
      </c>
      <c r="F53">
        <f t="shared" si="5"/>
        <v>0</v>
      </c>
      <c r="G53">
        <f t="shared" si="2"/>
        <v>10</v>
      </c>
      <c r="H53">
        <f t="shared" si="3"/>
        <v>0</v>
      </c>
      <c r="I53">
        <f t="shared" si="4"/>
        <v>80</v>
      </c>
      <c r="J53" t="str">
        <f t="shared" si="6"/>
        <v>HumanDruidDex</v>
      </c>
    </row>
    <row r="54" spans="1:10" x14ac:dyDescent="0.3">
      <c r="A54" s="1" t="s">
        <v>17</v>
      </c>
      <c r="B54" s="1" t="s">
        <v>14</v>
      </c>
      <c r="C54" s="1" t="str">
        <f t="shared" si="7"/>
        <v>Con</v>
      </c>
      <c r="D54">
        <f t="shared" si="0"/>
        <v>0</v>
      </c>
      <c r="E54">
        <f t="shared" si="1"/>
        <v>-3</v>
      </c>
      <c r="F54">
        <f t="shared" si="5"/>
        <v>-3</v>
      </c>
      <c r="G54">
        <f t="shared" si="2"/>
        <v>19</v>
      </c>
      <c r="H54">
        <f t="shared" si="3"/>
        <v>0</v>
      </c>
      <c r="I54">
        <f t="shared" si="4"/>
        <v>50</v>
      </c>
      <c r="J54" t="str">
        <f t="shared" si="6"/>
        <v>HumanDruidCon</v>
      </c>
    </row>
    <row r="55" spans="1:10" x14ac:dyDescent="0.3">
      <c r="A55" s="1" t="s">
        <v>17</v>
      </c>
      <c r="B55" s="1" t="s">
        <v>14</v>
      </c>
      <c r="C55" s="1" t="str">
        <f t="shared" si="7"/>
        <v>Cha</v>
      </c>
      <c r="D55">
        <f t="shared" si="0"/>
        <v>0</v>
      </c>
      <c r="E55">
        <f t="shared" si="1"/>
        <v>1</v>
      </c>
      <c r="F55">
        <f t="shared" si="5"/>
        <v>1</v>
      </c>
      <c r="G55">
        <f t="shared" si="2"/>
        <v>9</v>
      </c>
      <c r="H55">
        <f t="shared" si="3"/>
        <v>14</v>
      </c>
      <c r="I55">
        <f t="shared" si="4"/>
        <v>90</v>
      </c>
      <c r="J55" t="str">
        <f t="shared" si="6"/>
        <v>HumanDruidCha</v>
      </c>
    </row>
    <row r="56" spans="1:10" x14ac:dyDescent="0.3">
      <c r="A56" s="1" t="s">
        <v>17</v>
      </c>
      <c r="B56" s="1" t="s">
        <v>14</v>
      </c>
      <c r="C56" s="1" t="str">
        <f t="shared" si="7"/>
        <v>Bra</v>
      </c>
      <c r="D56">
        <f t="shared" si="0"/>
        <v>0</v>
      </c>
      <c r="E56">
        <f t="shared" si="1"/>
        <v>3</v>
      </c>
      <c r="F56">
        <f t="shared" si="5"/>
        <v>3</v>
      </c>
      <c r="G56">
        <f t="shared" si="2"/>
        <v>7</v>
      </c>
      <c r="H56">
        <f t="shared" si="3"/>
        <v>11</v>
      </c>
      <c r="I56">
        <f t="shared" si="4"/>
        <v>105</v>
      </c>
      <c r="J56" t="str">
        <f t="shared" si="6"/>
        <v>HumanDruidBra</v>
      </c>
    </row>
    <row r="57" spans="1:10" x14ac:dyDescent="0.3">
      <c r="A57" s="1" t="s">
        <v>17</v>
      </c>
      <c r="B57" s="1" t="s">
        <v>14</v>
      </c>
      <c r="C57" s="1" t="str">
        <f t="shared" si="7"/>
        <v>HP</v>
      </c>
      <c r="D57">
        <f t="shared" si="0"/>
        <v>0</v>
      </c>
      <c r="E57">
        <f t="shared" si="1"/>
        <v>-1</v>
      </c>
      <c r="F57">
        <f t="shared" si="5"/>
        <v>-1</v>
      </c>
      <c r="G57">
        <f t="shared" si="2"/>
        <v>13</v>
      </c>
      <c r="H57">
        <f t="shared" si="3"/>
        <v>0</v>
      </c>
      <c r="I57">
        <f t="shared" si="4"/>
        <v>70</v>
      </c>
      <c r="J57" t="str">
        <f t="shared" si="6"/>
        <v>HumanDruidHP</v>
      </c>
    </row>
    <row r="58" spans="1:10" x14ac:dyDescent="0.3">
      <c r="A58" s="1" t="s">
        <v>17</v>
      </c>
      <c r="B58" s="1" t="s">
        <v>31</v>
      </c>
      <c r="C58" s="1" t="str">
        <f t="shared" si="7"/>
        <v>Mag</v>
      </c>
      <c r="D58">
        <f t="shared" si="0"/>
        <v>0</v>
      </c>
      <c r="E58">
        <f t="shared" si="1"/>
        <v>2</v>
      </c>
      <c r="F58">
        <f t="shared" si="5"/>
        <v>2</v>
      </c>
      <c r="G58">
        <f t="shared" si="2"/>
        <v>8</v>
      </c>
      <c r="H58">
        <f t="shared" si="3"/>
        <v>12</v>
      </c>
      <c r="I58">
        <f t="shared" si="4"/>
        <v>100</v>
      </c>
      <c r="J58" t="str">
        <f t="shared" si="6"/>
        <v>HumanObsoleteMag</v>
      </c>
    </row>
    <row r="59" spans="1:10" x14ac:dyDescent="0.3">
      <c r="A59" s="1" t="str">
        <f t="shared" ref="A59:B65" si="8">A58</f>
        <v>Human</v>
      </c>
      <c r="B59" s="1" t="str">
        <f t="shared" si="8"/>
        <v>Obsolete</v>
      </c>
      <c r="C59" s="1" t="str">
        <f t="shared" si="7"/>
        <v>Div</v>
      </c>
      <c r="D59">
        <f t="shared" si="0"/>
        <v>0</v>
      </c>
      <c r="E59">
        <f t="shared" si="1"/>
        <v>2</v>
      </c>
      <c r="F59">
        <f t="shared" si="5"/>
        <v>2</v>
      </c>
      <c r="G59">
        <f t="shared" si="2"/>
        <v>8</v>
      </c>
      <c r="H59">
        <f t="shared" si="3"/>
        <v>12</v>
      </c>
      <c r="I59">
        <f t="shared" si="4"/>
        <v>100</v>
      </c>
      <c r="J59" t="str">
        <f t="shared" si="6"/>
        <v>HumanObsoleteDiv</v>
      </c>
    </row>
    <row r="60" spans="1:10" x14ac:dyDescent="0.3">
      <c r="A60" s="1" t="str">
        <f t="shared" si="8"/>
        <v>Human</v>
      </c>
      <c r="B60" s="1" t="str">
        <f t="shared" si="8"/>
        <v>Obsolete</v>
      </c>
      <c r="C60" s="1" t="str">
        <f t="shared" si="7"/>
        <v>Str</v>
      </c>
      <c r="D60">
        <f t="shared" si="0"/>
        <v>0</v>
      </c>
      <c r="E60">
        <f t="shared" si="1"/>
        <v>-2</v>
      </c>
      <c r="F60">
        <f t="shared" si="5"/>
        <v>-2</v>
      </c>
      <c r="G60">
        <f t="shared" si="2"/>
        <v>16</v>
      </c>
      <c r="H60">
        <f t="shared" si="3"/>
        <v>0</v>
      </c>
      <c r="I60">
        <f t="shared" si="4"/>
        <v>60</v>
      </c>
      <c r="J60" t="str">
        <f t="shared" si="6"/>
        <v>HumanObsoleteStr</v>
      </c>
    </row>
    <row r="61" spans="1:10" x14ac:dyDescent="0.3">
      <c r="A61" s="1" t="str">
        <f t="shared" si="8"/>
        <v>Human</v>
      </c>
      <c r="B61" s="1" t="str">
        <f t="shared" si="8"/>
        <v>Obsolete</v>
      </c>
      <c r="C61" s="1" t="str">
        <f t="shared" si="7"/>
        <v>Dex</v>
      </c>
      <c r="D61">
        <f t="shared" si="0"/>
        <v>0</v>
      </c>
      <c r="E61">
        <f t="shared" si="1"/>
        <v>-1</v>
      </c>
      <c r="F61">
        <f t="shared" si="5"/>
        <v>-1</v>
      </c>
      <c r="G61">
        <f t="shared" si="2"/>
        <v>13</v>
      </c>
      <c r="H61">
        <f t="shared" si="3"/>
        <v>0</v>
      </c>
      <c r="I61">
        <f t="shared" si="4"/>
        <v>70</v>
      </c>
      <c r="J61" t="str">
        <f t="shared" si="6"/>
        <v>HumanObsoleteDex</v>
      </c>
    </row>
    <row r="62" spans="1:10" x14ac:dyDescent="0.3">
      <c r="A62" s="1" t="str">
        <f t="shared" si="8"/>
        <v>Human</v>
      </c>
      <c r="B62" s="1" t="str">
        <f t="shared" si="8"/>
        <v>Obsolete</v>
      </c>
      <c r="C62" s="1" t="str">
        <f t="shared" si="7"/>
        <v>Con</v>
      </c>
      <c r="D62">
        <f t="shared" si="0"/>
        <v>0</v>
      </c>
      <c r="E62">
        <f t="shared" si="1"/>
        <v>-2</v>
      </c>
      <c r="F62">
        <f t="shared" si="5"/>
        <v>-2</v>
      </c>
      <c r="G62">
        <f t="shared" si="2"/>
        <v>16</v>
      </c>
      <c r="H62">
        <f t="shared" si="3"/>
        <v>0</v>
      </c>
      <c r="I62">
        <f t="shared" si="4"/>
        <v>60</v>
      </c>
      <c r="J62" t="str">
        <f t="shared" si="6"/>
        <v>HumanObsoleteCon</v>
      </c>
    </row>
    <row r="63" spans="1:10" x14ac:dyDescent="0.3">
      <c r="A63" s="1" t="str">
        <f t="shared" si="8"/>
        <v>Human</v>
      </c>
      <c r="B63" s="1" t="str">
        <f t="shared" si="8"/>
        <v>Obsolete</v>
      </c>
      <c r="C63" s="1" t="str">
        <f t="shared" si="7"/>
        <v>Cha</v>
      </c>
      <c r="D63">
        <f t="shared" si="0"/>
        <v>0</v>
      </c>
      <c r="E63">
        <f t="shared" si="1"/>
        <v>1</v>
      </c>
      <c r="F63">
        <f t="shared" si="5"/>
        <v>1</v>
      </c>
      <c r="G63">
        <f t="shared" si="2"/>
        <v>9</v>
      </c>
      <c r="H63">
        <f t="shared" si="3"/>
        <v>14</v>
      </c>
      <c r="I63">
        <f t="shared" si="4"/>
        <v>90</v>
      </c>
      <c r="J63" t="str">
        <f t="shared" si="6"/>
        <v>HumanObsoleteCha</v>
      </c>
    </row>
    <row r="64" spans="1:10" x14ac:dyDescent="0.3">
      <c r="A64" s="1" t="str">
        <f t="shared" si="8"/>
        <v>Human</v>
      </c>
      <c r="B64" s="1" t="str">
        <f t="shared" si="8"/>
        <v>Obsolete</v>
      </c>
      <c r="C64" s="1" t="str">
        <f t="shared" si="7"/>
        <v>Bra</v>
      </c>
      <c r="D64">
        <f t="shared" si="0"/>
        <v>0</v>
      </c>
      <c r="E64">
        <f t="shared" si="1"/>
        <v>2</v>
      </c>
      <c r="F64">
        <f t="shared" si="5"/>
        <v>2</v>
      </c>
      <c r="G64">
        <f t="shared" si="2"/>
        <v>8</v>
      </c>
      <c r="H64">
        <f t="shared" si="3"/>
        <v>12</v>
      </c>
      <c r="I64">
        <f t="shared" si="4"/>
        <v>100</v>
      </c>
      <c r="J64" t="str">
        <f t="shared" si="6"/>
        <v>HumanObsoleteBra</v>
      </c>
    </row>
    <row r="65" spans="1:10" x14ac:dyDescent="0.3">
      <c r="A65" s="1" t="str">
        <f t="shared" si="8"/>
        <v>Human</v>
      </c>
      <c r="B65" s="1" t="str">
        <f t="shared" si="8"/>
        <v>Obsolete</v>
      </c>
      <c r="C65" s="1" t="str">
        <f t="shared" si="7"/>
        <v>HP</v>
      </c>
      <c r="D65">
        <f t="shared" si="0"/>
        <v>0</v>
      </c>
      <c r="E65">
        <f t="shared" si="1"/>
        <v>0</v>
      </c>
      <c r="F65">
        <f t="shared" si="5"/>
        <v>0</v>
      </c>
      <c r="G65">
        <f t="shared" si="2"/>
        <v>10</v>
      </c>
      <c r="H65">
        <f t="shared" si="3"/>
        <v>0</v>
      </c>
      <c r="I65">
        <f t="shared" si="4"/>
        <v>80</v>
      </c>
      <c r="J65" t="str">
        <f t="shared" si="6"/>
        <v>HumanObsoleteHP</v>
      </c>
    </row>
    <row r="66" spans="1:10" x14ac:dyDescent="0.3">
      <c r="A66" s="1" t="s">
        <v>17</v>
      </c>
      <c r="B66" s="1" t="s">
        <v>91</v>
      </c>
      <c r="C66" s="1" t="str">
        <f t="shared" si="7"/>
        <v>Mag</v>
      </c>
      <c r="D66">
        <f t="shared" ref="D66:D129" si="9">INDEX(TblRaceValues,MATCH(C66, TblAbilities, 0),MATCH(A66,TblRaces,0))</f>
        <v>0</v>
      </c>
      <c r="E66">
        <f t="shared" ref="E66:E129" si="10">INDEX(TblProfessionValues,MATCH(C66,TblAbilities,0),MATCH(B66,TblProfessions,0))</f>
        <v>-7</v>
      </c>
      <c r="F66">
        <f t="shared" si="5"/>
        <v>-7</v>
      </c>
      <c r="G66">
        <f t="shared" ref="G66:G129" si="11">HLOOKUP(MIN(MAX(-7,F66),7),TblPracticeCost,2)</f>
        <v>31</v>
      </c>
      <c r="H66">
        <f t="shared" ref="H66:H129" si="12">HLOOKUP(MIN(MAX(-7,F66),7),TblPracticeCost,3)</f>
        <v>0</v>
      </c>
      <c r="I66">
        <f t="shared" ref="I66:I129" si="13">VLOOKUP(MIN(MAX(-7,F66),7),TblBonusMaxSkill,2)</f>
        <v>0</v>
      </c>
      <c r="J66" t="str">
        <f t="shared" si="6"/>
        <v>HumanNecromancerMag</v>
      </c>
    </row>
    <row r="67" spans="1:10" x14ac:dyDescent="0.3">
      <c r="A67" s="1" t="s">
        <v>17</v>
      </c>
      <c r="B67" s="1" t="str">
        <f>B66</f>
        <v>Necromancer</v>
      </c>
      <c r="C67" s="1" t="str">
        <f t="shared" si="7"/>
        <v>Div</v>
      </c>
      <c r="D67">
        <f t="shared" si="9"/>
        <v>0</v>
      </c>
      <c r="E67">
        <f t="shared" si="10"/>
        <v>0</v>
      </c>
      <c r="F67">
        <f t="shared" ref="F67:F105" si="14">E67+D67</f>
        <v>0</v>
      </c>
      <c r="G67">
        <f t="shared" si="11"/>
        <v>10</v>
      </c>
      <c r="H67">
        <f t="shared" si="12"/>
        <v>0</v>
      </c>
      <c r="I67">
        <f t="shared" si="13"/>
        <v>80</v>
      </c>
      <c r="J67" t="str">
        <f t="shared" ref="J67:J130" si="15">A67&amp;B67&amp;C67</f>
        <v>HumanNecromancerDiv</v>
      </c>
    </row>
    <row r="68" spans="1:10" x14ac:dyDescent="0.3">
      <c r="A68" s="1" t="s">
        <v>17</v>
      </c>
      <c r="B68" s="1" t="str">
        <f t="shared" ref="B68:B73" si="16">B67</f>
        <v>Necromancer</v>
      </c>
      <c r="C68" s="1" t="str">
        <f t="shared" si="7"/>
        <v>Str</v>
      </c>
      <c r="D68">
        <f t="shared" si="9"/>
        <v>0</v>
      </c>
      <c r="E68">
        <f t="shared" si="10"/>
        <v>-1</v>
      </c>
      <c r="F68">
        <f t="shared" si="14"/>
        <v>-1</v>
      </c>
      <c r="G68">
        <f t="shared" si="11"/>
        <v>13</v>
      </c>
      <c r="H68">
        <f t="shared" si="12"/>
        <v>0</v>
      </c>
      <c r="I68">
        <f t="shared" si="13"/>
        <v>70</v>
      </c>
      <c r="J68" t="str">
        <f t="shared" si="15"/>
        <v>HumanNecromancerStr</v>
      </c>
    </row>
    <row r="69" spans="1:10" x14ac:dyDescent="0.3">
      <c r="A69" s="1" t="s">
        <v>17</v>
      </c>
      <c r="B69" s="1" t="str">
        <f t="shared" si="16"/>
        <v>Necromancer</v>
      </c>
      <c r="C69" s="1" t="str">
        <f t="shared" si="7"/>
        <v>Dex</v>
      </c>
      <c r="D69">
        <f t="shared" si="9"/>
        <v>0</v>
      </c>
      <c r="E69">
        <f t="shared" si="10"/>
        <v>1</v>
      </c>
      <c r="F69">
        <f t="shared" si="14"/>
        <v>1</v>
      </c>
      <c r="G69">
        <f t="shared" si="11"/>
        <v>9</v>
      </c>
      <c r="H69">
        <f t="shared" si="12"/>
        <v>14</v>
      </c>
      <c r="I69">
        <f t="shared" si="13"/>
        <v>90</v>
      </c>
      <c r="J69" t="str">
        <f t="shared" si="15"/>
        <v>HumanNecromancerDex</v>
      </c>
    </row>
    <row r="70" spans="1:10" x14ac:dyDescent="0.3">
      <c r="A70" s="1" t="s">
        <v>17</v>
      </c>
      <c r="B70" s="1" t="str">
        <f t="shared" si="16"/>
        <v>Necromancer</v>
      </c>
      <c r="C70" s="1" t="str">
        <f t="shared" si="7"/>
        <v>Con</v>
      </c>
      <c r="D70">
        <f t="shared" si="9"/>
        <v>0</v>
      </c>
      <c r="E70">
        <f t="shared" si="10"/>
        <v>-3</v>
      </c>
      <c r="F70">
        <f t="shared" si="14"/>
        <v>-3</v>
      </c>
      <c r="G70">
        <f t="shared" si="11"/>
        <v>19</v>
      </c>
      <c r="H70">
        <f t="shared" si="12"/>
        <v>0</v>
      </c>
      <c r="I70">
        <f t="shared" si="13"/>
        <v>50</v>
      </c>
      <c r="J70" t="str">
        <f t="shared" si="15"/>
        <v>HumanNecromancerCon</v>
      </c>
    </row>
    <row r="71" spans="1:10" x14ac:dyDescent="0.3">
      <c r="A71" s="1" t="s">
        <v>17</v>
      </c>
      <c r="B71" s="1" t="str">
        <f t="shared" si="16"/>
        <v>Necromancer</v>
      </c>
      <c r="C71" s="1" t="str">
        <f t="shared" si="7"/>
        <v>Cha</v>
      </c>
      <c r="D71">
        <f t="shared" si="9"/>
        <v>0</v>
      </c>
      <c r="E71">
        <f t="shared" si="10"/>
        <v>2</v>
      </c>
      <c r="F71">
        <f t="shared" si="14"/>
        <v>2</v>
      </c>
      <c r="G71">
        <f t="shared" si="11"/>
        <v>8</v>
      </c>
      <c r="H71">
        <f t="shared" si="12"/>
        <v>12</v>
      </c>
      <c r="I71">
        <f t="shared" si="13"/>
        <v>100</v>
      </c>
      <c r="J71" t="str">
        <f t="shared" si="15"/>
        <v>HumanNecromancerCha</v>
      </c>
    </row>
    <row r="72" spans="1:10" x14ac:dyDescent="0.3">
      <c r="A72" s="1" t="s">
        <v>17</v>
      </c>
      <c r="B72" s="1" t="str">
        <f t="shared" si="16"/>
        <v>Necromancer</v>
      </c>
      <c r="C72" s="1" t="str">
        <f t="shared" si="7"/>
        <v>Bra</v>
      </c>
      <c r="D72">
        <f t="shared" si="9"/>
        <v>0</v>
      </c>
      <c r="E72">
        <f t="shared" si="10"/>
        <v>3</v>
      </c>
      <c r="F72">
        <f t="shared" si="14"/>
        <v>3</v>
      </c>
      <c r="G72">
        <f t="shared" si="11"/>
        <v>7</v>
      </c>
      <c r="H72">
        <f t="shared" si="12"/>
        <v>11</v>
      </c>
      <c r="I72">
        <f t="shared" si="13"/>
        <v>105</v>
      </c>
      <c r="J72" t="str">
        <f t="shared" si="15"/>
        <v>HumanNecromancerBra</v>
      </c>
    </row>
    <row r="73" spans="1:10" x14ac:dyDescent="0.3">
      <c r="A73" s="1" t="s">
        <v>17</v>
      </c>
      <c r="B73" s="1" t="str">
        <f t="shared" si="16"/>
        <v>Necromancer</v>
      </c>
      <c r="C73" s="1" t="str">
        <f t="shared" si="7"/>
        <v>HP</v>
      </c>
      <c r="D73">
        <f t="shared" si="9"/>
        <v>0</v>
      </c>
      <c r="E73">
        <f t="shared" si="10"/>
        <v>-2</v>
      </c>
      <c r="F73">
        <f t="shared" si="14"/>
        <v>-2</v>
      </c>
      <c r="G73">
        <f t="shared" si="11"/>
        <v>16</v>
      </c>
      <c r="H73">
        <f t="shared" si="12"/>
        <v>0</v>
      </c>
      <c r="I73">
        <f t="shared" si="13"/>
        <v>60</v>
      </c>
      <c r="J73" t="str">
        <f t="shared" si="15"/>
        <v>HumanNecromancerHP</v>
      </c>
    </row>
    <row r="74" spans="1:10" x14ac:dyDescent="0.3">
      <c r="A74" s="1" t="s">
        <v>17</v>
      </c>
      <c r="B74" s="1" t="s">
        <v>15</v>
      </c>
      <c r="C74" s="1" t="str">
        <f t="shared" si="7"/>
        <v>Mag</v>
      </c>
      <c r="D74">
        <f t="shared" si="9"/>
        <v>0</v>
      </c>
      <c r="E74">
        <f t="shared" si="10"/>
        <v>-7</v>
      </c>
      <c r="F74">
        <f t="shared" si="14"/>
        <v>-7</v>
      </c>
      <c r="G74">
        <f t="shared" si="11"/>
        <v>31</v>
      </c>
      <c r="H74">
        <f t="shared" si="12"/>
        <v>0</v>
      </c>
      <c r="I74">
        <f t="shared" si="13"/>
        <v>0</v>
      </c>
      <c r="J74" t="str">
        <f t="shared" si="15"/>
        <v>HumanPriestMag</v>
      </c>
    </row>
    <row r="75" spans="1:10" x14ac:dyDescent="0.3">
      <c r="A75" s="1" t="s">
        <v>17</v>
      </c>
      <c r="B75" s="1" t="s">
        <v>15</v>
      </c>
      <c r="C75" s="1" t="str">
        <f t="shared" ref="C75:C105" si="17">C67</f>
        <v>Div</v>
      </c>
      <c r="D75">
        <f t="shared" si="9"/>
        <v>0</v>
      </c>
      <c r="E75">
        <f t="shared" si="10"/>
        <v>3</v>
      </c>
      <c r="F75">
        <f t="shared" si="14"/>
        <v>3</v>
      </c>
      <c r="G75">
        <f t="shared" si="11"/>
        <v>7</v>
      </c>
      <c r="H75">
        <f t="shared" si="12"/>
        <v>11</v>
      </c>
      <c r="I75">
        <f t="shared" si="13"/>
        <v>105</v>
      </c>
      <c r="J75" t="str">
        <f t="shared" si="15"/>
        <v>HumanPriestDiv</v>
      </c>
    </row>
    <row r="76" spans="1:10" x14ac:dyDescent="0.3">
      <c r="A76" s="1" t="s">
        <v>17</v>
      </c>
      <c r="B76" s="1" t="s">
        <v>15</v>
      </c>
      <c r="C76" s="1" t="str">
        <f t="shared" si="17"/>
        <v>Str</v>
      </c>
      <c r="D76">
        <f t="shared" si="9"/>
        <v>0</v>
      </c>
      <c r="E76">
        <f t="shared" si="10"/>
        <v>0</v>
      </c>
      <c r="F76">
        <f t="shared" si="14"/>
        <v>0</v>
      </c>
      <c r="G76">
        <f t="shared" si="11"/>
        <v>10</v>
      </c>
      <c r="H76">
        <f t="shared" si="12"/>
        <v>0</v>
      </c>
      <c r="I76">
        <f t="shared" si="13"/>
        <v>80</v>
      </c>
      <c r="J76" t="str">
        <f t="shared" si="15"/>
        <v>HumanPriestStr</v>
      </c>
    </row>
    <row r="77" spans="1:10" x14ac:dyDescent="0.3">
      <c r="A77" s="1" t="s">
        <v>17</v>
      </c>
      <c r="B77" s="1" t="s">
        <v>15</v>
      </c>
      <c r="C77" s="1" t="str">
        <f t="shared" si="17"/>
        <v>Dex</v>
      </c>
      <c r="D77">
        <f t="shared" si="9"/>
        <v>0</v>
      </c>
      <c r="E77">
        <f t="shared" si="10"/>
        <v>-2</v>
      </c>
      <c r="F77">
        <f t="shared" si="14"/>
        <v>-2</v>
      </c>
      <c r="G77">
        <f t="shared" si="11"/>
        <v>16</v>
      </c>
      <c r="H77">
        <f t="shared" si="12"/>
        <v>0</v>
      </c>
      <c r="I77">
        <f t="shared" si="13"/>
        <v>60</v>
      </c>
      <c r="J77" t="str">
        <f t="shared" si="15"/>
        <v>HumanPriestDex</v>
      </c>
    </row>
    <row r="78" spans="1:10" x14ac:dyDescent="0.3">
      <c r="A78" s="1" t="s">
        <v>17</v>
      </c>
      <c r="B78" s="1" t="s">
        <v>15</v>
      </c>
      <c r="C78" s="1" t="str">
        <f t="shared" si="17"/>
        <v>Con</v>
      </c>
      <c r="D78">
        <f t="shared" si="9"/>
        <v>0</v>
      </c>
      <c r="E78">
        <f t="shared" si="10"/>
        <v>-3</v>
      </c>
      <c r="F78">
        <f t="shared" si="14"/>
        <v>-3</v>
      </c>
      <c r="G78">
        <f t="shared" si="11"/>
        <v>19</v>
      </c>
      <c r="H78">
        <f t="shared" si="12"/>
        <v>0</v>
      </c>
      <c r="I78">
        <f t="shared" si="13"/>
        <v>50</v>
      </c>
      <c r="J78" t="str">
        <f t="shared" si="15"/>
        <v>HumanPriestCon</v>
      </c>
    </row>
    <row r="79" spans="1:10" x14ac:dyDescent="0.3">
      <c r="A79" s="1" t="s">
        <v>17</v>
      </c>
      <c r="B79" s="1" t="s">
        <v>15</v>
      </c>
      <c r="C79" s="1" t="str">
        <f t="shared" si="17"/>
        <v>Cha</v>
      </c>
      <c r="D79">
        <f t="shared" si="9"/>
        <v>0</v>
      </c>
      <c r="E79">
        <f t="shared" si="10"/>
        <v>2</v>
      </c>
      <c r="F79">
        <f t="shared" si="14"/>
        <v>2</v>
      </c>
      <c r="G79">
        <f t="shared" si="11"/>
        <v>8</v>
      </c>
      <c r="H79">
        <f t="shared" si="12"/>
        <v>12</v>
      </c>
      <c r="I79">
        <f t="shared" si="13"/>
        <v>100</v>
      </c>
      <c r="J79" t="str">
        <f t="shared" si="15"/>
        <v>HumanPriestCha</v>
      </c>
    </row>
    <row r="80" spans="1:10" x14ac:dyDescent="0.3">
      <c r="A80" s="1" t="s">
        <v>17</v>
      </c>
      <c r="B80" s="1" t="s">
        <v>15</v>
      </c>
      <c r="C80" s="1" t="str">
        <f t="shared" si="17"/>
        <v>Bra</v>
      </c>
      <c r="D80">
        <f t="shared" si="9"/>
        <v>0</v>
      </c>
      <c r="E80">
        <f t="shared" si="10"/>
        <v>1</v>
      </c>
      <c r="F80">
        <f t="shared" si="14"/>
        <v>1</v>
      </c>
      <c r="G80">
        <f t="shared" si="11"/>
        <v>9</v>
      </c>
      <c r="H80">
        <f t="shared" si="12"/>
        <v>14</v>
      </c>
      <c r="I80">
        <f t="shared" si="13"/>
        <v>90</v>
      </c>
      <c r="J80" t="str">
        <f t="shared" si="15"/>
        <v>HumanPriestBra</v>
      </c>
    </row>
    <row r="81" spans="1:10" x14ac:dyDescent="0.3">
      <c r="A81" s="1" t="s">
        <v>17</v>
      </c>
      <c r="B81" s="1" t="s">
        <v>15</v>
      </c>
      <c r="C81" s="1" t="str">
        <f t="shared" si="17"/>
        <v>HP</v>
      </c>
      <c r="D81">
        <f t="shared" si="9"/>
        <v>0</v>
      </c>
      <c r="E81">
        <f t="shared" si="10"/>
        <v>-1</v>
      </c>
      <c r="F81">
        <f t="shared" si="14"/>
        <v>-1</v>
      </c>
      <c r="G81">
        <f t="shared" si="11"/>
        <v>13</v>
      </c>
      <c r="H81">
        <f t="shared" si="12"/>
        <v>0</v>
      </c>
      <c r="I81">
        <f t="shared" si="13"/>
        <v>70</v>
      </c>
      <c r="J81" t="str">
        <f t="shared" si="15"/>
        <v>HumanPriestHP</v>
      </c>
    </row>
    <row r="82" spans="1:10" x14ac:dyDescent="0.3">
      <c r="A82" s="1" t="s">
        <v>17</v>
      </c>
      <c r="B82" s="1" t="s">
        <v>92</v>
      </c>
      <c r="C82" s="1" t="str">
        <f t="shared" si="17"/>
        <v>Mag</v>
      </c>
      <c r="D82">
        <f t="shared" si="9"/>
        <v>0</v>
      </c>
      <c r="E82">
        <f t="shared" si="10"/>
        <v>2</v>
      </c>
      <c r="F82">
        <f t="shared" si="14"/>
        <v>2</v>
      </c>
      <c r="G82">
        <f t="shared" si="11"/>
        <v>8</v>
      </c>
      <c r="H82">
        <f t="shared" si="12"/>
        <v>12</v>
      </c>
      <c r="I82">
        <f t="shared" si="13"/>
        <v>100</v>
      </c>
      <c r="J82" t="str">
        <f t="shared" si="15"/>
        <v>HumanMageMag</v>
      </c>
    </row>
    <row r="83" spans="1:10" x14ac:dyDescent="0.3">
      <c r="A83" s="1" t="s">
        <v>17</v>
      </c>
      <c r="B83" s="1" t="str">
        <f>B82</f>
        <v>Mage</v>
      </c>
      <c r="C83" s="1" t="str">
        <f t="shared" si="17"/>
        <v>Div</v>
      </c>
      <c r="D83">
        <f t="shared" si="9"/>
        <v>0</v>
      </c>
      <c r="E83">
        <f t="shared" si="10"/>
        <v>-7</v>
      </c>
      <c r="F83">
        <f t="shared" si="14"/>
        <v>-7</v>
      </c>
      <c r="G83">
        <f t="shared" si="11"/>
        <v>31</v>
      </c>
      <c r="H83">
        <f t="shared" si="12"/>
        <v>0</v>
      </c>
      <c r="I83">
        <f t="shared" si="13"/>
        <v>0</v>
      </c>
      <c r="J83" t="str">
        <f t="shared" si="15"/>
        <v>HumanMageDiv</v>
      </c>
    </row>
    <row r="84" spans="1:10" x14ac:dyDescent="0.3">
      <c r="A84" s="1" t="s">
        <v>17</v>
      </c>
      <c r="B84" s="1" t="str">
        <f t="shared" ref="B84:B89" si="18">B83</f>
        <v>Mage</v>
      </c>
      <c r="C84" s="1" t="str">
        <f t="shared" si="17"/>
        <v>Str</v>
      </c>
      <c r="D84">
        <f t="shared" si="9"/>
        <v>0</v>
      </c>
      <c r="E84">
        <f t="shared" si="10"/>
        <v>-3</v>
      </c>
      <c r="F84">
        <f t="shared" si="14"/>
        <v>-3</v>
      </c>
      <c r="G84">
        <f t="shared" si="11"/>
        <v>19</v>
      </c>
      <c r="H84">
        <f t="shared" si="12"/>
        <v>0</v>
      </c>
      <c r="I84">
        <f t="shared" si="13"/>
        <v>50</v>
      </c>
      <c r="J84" t="str">
        <f t="shared" si="15"/>
        <v>HumanMageStr</v>
      </c>
    </row>
    <row r="85" spans="1:10" x14ac:dyDescent="0.3">
      <c r="A85" s="1" t="s">
        <v>17</v>
      </c>
      <c r="B85" s="1" t="str">
        <f t="shared" si="18"/>
        <v>Mage</v>
      </c>
      <c r="C85" s="1" t="str">
        <f t="shared" si="17"/>
        <v>Dex</v>
      </c>
      <c r="D85">
        <f t="shared" si="9"/>
        <v>0</v>
      </c>
      <c r="E85">
        <f t="shared" si="10"/>
        <v>0</v>
      </c>
      <c r="F85">
        <f t="shared" si="14"/>
        <v>0</v>
      </c>
      <c r="G85">
        <f t="shared" si="11"/>
        <v>10</v>
      </c>
      <c r="H85">
        <f t="shared" si="12"/>
        <v>0</v>
      </c>
      <c r="I85">
        <f t="shared" si="13"/>
        <v>80</v>
      </c>
      <c r="J85" t="str">
        <f t="shared" si="15"/>
        <v>HumanMageDex</v>
      </c>
    </row>
    <row r="86" spans="1:10" x14ac:dyDescent="0.3">
      <c r="A86" s="1" t="s">
        <v>17</v>
      </c>
      <c r="B86" s="1" t="str">
        <f t="shared" si="18"/>
        <v>Mage</v>
      </c>
      <c r="C86" s="1" t="str">
        <f t="shared" si="17"/>
        <v>Con</v>
      </c>
      <c r="D86">
        <f t="shared" si="9"/>
        <v>0</v>
      </c>
      <c r="E86">
        <f t="shared" si="10"/>
        <v>-1</v>
      </c>
      <c r="F86">
        <f t="shared" si="14"/>
        <v>-1</v>
      </c>
      <c r="G86">
        <f t="shared" si="11"/>
        <v>13</v>
      </c>
      <c r="H86">
        <f t="shared" si="12"/>
        <v>0</v>
      </c>
      <c r="I86">
        <f t="shared" si="13"/>
        <v>70</v>
      </c>
      <c r="J86" t="str">
        <f t="shared" si="15"/>
        <v>HumanMageCon</v>
      </c>
    </row>
    <row r="87" spans="1:10" x14ac:dyDescent="0.3">
      <c r="A87" s="1" t="s">
        <v>17</v>
      </c>
      <c r="B87" s="1" t="str">
        <f t="shared" si="18"/>
        <v>Mage</v>
      </c>
      <c r="C87" s="1" t="str">
        <f t="shared" si="17"/>
        <v>Cha</v>
      </c>
      <c r="D87">
        <f t="shared" si="9"/>
        <v>0</v>
      </c>
      <c r="E87">
        <f t="shared" si="10"/>
        <v>1</v>
      </c>
      <c r="F87">
        <f t="shared" si="14"/>
        <v>1</v>
      </c>
      <c r="G87">
        <f t="shared" si="11"/>
        <v>9</v>
      </c>
      <c r="H87">
        <f t="shared" si="12"/>
        <v>14</v>
      </c>
      <c r="I87">
        <f t="shared" si="13"/>
        <v>90</v>
      </c>
      <c r="J87" t="str">
        <f t="shared" si="15"/>
        <v>HumanMageCha</v>
      </c>
    </row>
    <row r="88" spans="1:10" x14ac:dyDescent="0.3">
      <c r="A88" s="1" t="s">
        <v>17</v>
      </c>
      <c r="B88" s="1" t="str">
        <f t="shared" si="18"/>
        <v>Mage</v>
      </c>
      <c r="C88" s="1" t="str">
        <f t="shared" si="17"/>
        <v>Bra</v>
      </c>
      <c r="D88">
        <f t="shared" si="9"/>
        <v>0</v>
      </c>
      <c r="E88">
        <f t="shared" si="10"/>
        <v>3</v>
      </c>
      <c r="F88">
        <f t="shared" si="14"/>
        <v>3</v>
      </c>
      <c r="G88">
        <f t="shared" si="11"/>
        <v>7</v>
      </c>
      <c r="H88">
        <f t="shared" si="12"/>
        <v>11</v>
      </c>
      <c r="I88">
        <f t="shared" si="13"/>
        <v>105</v>
      </c>
      <c r="J88" t="str">
        <f t="shared" si="15"/>
        <v>HumanMageBra</v>
      </c>
    </row>
    <row r="89" spans="1:10" x14ac:dyDescent="0.3">
      <c r="A89" s="1" t="s">
        <v>17</v>
      </c>
      <c r="B89" s="1" t="str">
        <f t="shared" si="18"/>
        <v>Mage</v>
      </c>
      <c r="C89" s="1" t="str">
        <f t="shared" si="17"/>
        <v>HP</v>
      </c>
      <c r="D89">
        <f t="shared" si="9"/>
        <v>0</v>
      </c>
      <c r="E89">
        <f t="shared" si="10"/>
        <v>-2</v>
      </c>
      <c r="F89">
        <f t="shared" si="14"/>
        <v>-2</v>
      </c>
      <c r="G89">
        <f t="shared" si="11"/>
        <v>16</v>
      </c>
      <c r="H89">
        <f t="shared" si="12"/>
        <v>0</v>
      </c>
      <c r="I89">
        <f t="shared" si="13"/>
        <v>60</v>
      </c>
      <c r="J89" t="str">
        <f t="shared" si="15"/>
        <v>HumanMageHP</v>
      </c>
    </row>
    <row r="90" spans="1:10" x14ac:dyDescent="0.3">
      <c r="A90" s="1" t="s">
        <v>17</v>
      </c>
      <c r="B90" s="1" t="s">
        <v>62</v>
      </c>
      <c r="C90" s="1" t="str">
        <f t="shared" si="17"/>
        <v>Mag</v>
      </c>
      <c r="D90">
        <f t="shared" si="9"/>
        <v>0</v>
      </c>
      <c r="E90">
        <f t="shared" si="10"/>
        <v>3</v>
      </c>
      <c r="F90">
        <f t="shared" si="14"/>
        <v>3</v>
      </c>
      <c r="G90">
        <f t="shared" si="11"/>
        <v>7</v>
      </c>
      <c r="H90">
        <f t="shared" si="12"/>
        <v>11</v>
      </c>
      <c r="I90">
        <f t="shared" si="13"/>
        <v>105</v>
      </c>
      <c r="J90" t="str">
        <f t="shared" si="15"/>
        <v>HumanSorcererMag</v>
      </c>
    </row>
    <row r="91" spans="1:10" x14ac:dyDescent="0.3">
      <c r="A91" s="1" t="s">
        <v>17</v>
      </c>
      <c r="B91" s="1" t="s">
        <v>62</v>
      </c>
      <c r="C91" s="1" t="str">
        <f t="shared" si="17"/>
        <v>Div</v>
      </c>
      <c r="D91">
        <f t="shared" si="9"/>
        <v>0</v>
      </c>
      <c r="E91">
        <f t="shared" si="10"/>
        <v>-7</v>
      </c>
      <c r="F91">
        <f t="shared" si="14"/>
        <v>-7</v>
      </c>
      <c r="G91">
        <f t="shared" si="11"/>
        <v>31</v>
      </c>
      <c r="H91">
        <f t="shared" si="12"/>
        <v>0</v>
      </c>
      <c r="I91">
        <f t="shared" si="13"/>
        <v>0</v>
      </c>
      <c r="J91" t="str">
        <f t="shared" si="15"/>
        <v>HumanSorcererDiv</v>
      </c>
    </row>
    <row r="92" spans="1:10" x14ac:dyDescent="0.3">
      <c r="A92" s="1" t="s">
        <v>17</v>
      </c>
      <c r="B92" s="1" t="s">
        <v>62</v>
      </c>
      <c r="C92" s="1" t="str">
        <f t="shared" si="17"/>
        <v>Str</v>
      </c>
      <c r="D92">
        <f t="shared" si="9"/>
        <v>0</v>
      </c>
      <c r="E92">
        <f t="shared" si="10"/>
        <v>-3</v>
      </c>
      <c r="F92">
        <f t="shared" si="14"/>
        <v>-3</v>
      </c>
      <c r="G92">
        <f t="shared" si="11"/>
        <v>19</v>
      </c>
      <c r="H92">
        <f t="shared" si="12"/>
        <v>0</v>
      </c>
      <c r="I92">
        <f t="shared" si="13"/>
        <v>50</v>
      </c>
      <c r="J92" t="str">
        <f t="shared" si="15"/>
        <v>HumanSorcererStr</v>
      </c>
    </row>
    <row r="93" spans="1:10" x14ac:dyDescent="0.3">
      <c r="A93" s="1" t="s">
        <v>17</v>
      </c>
      <c r="B93" s="1" t="s">
        <v>62</v>
      </c>
      <c r="C93" s="1" t="str">
        <f t="shared" si="17"/>
        <v>Dex</v>
      </c>
      <c r="D93">
        <f t="shared" si="9"/>
        <v>0</v>
      </c>
      <c r="E93">
        <f t="shared" si="10"/>
        <v>0</v>
      </c>
      <c r="F93">
        <f t="shared" si="14"/>
        <v>0</v>
      </c>
      <c r="G93">
        <f t="shared" si="11"/>
        <v>10</v>
      </c>
      <c r="H93">
        <f t="shared" si="12"/>
        <v>0</v>
      </c>
      <c r="I93">
        <f t="shared" si="13"/>
        <v>80</v>
      </c>
      <c r="J93" t="str">
        <f t="shared" si="15"/>
        <v>HumanSorcererDex</v>
      </c>
    </row>
    <row r="94" spans="1:10" x14ac:dyDescent="0.3">
      <c r="A94" s="1" t="s">
        <v>17</v>
      </c>
      <c r="B94" s="1" t="s">
        <v>62</v>
      </c>
      <c r="C94" s="1" t="str">
        <f t="shared" si="17"/>
        <v>Con</v>
      </c>
      <c r="D94">
        <f t="shared" si="9"/>
        <v>0</v>
      </c>
      <c r="E94">
        <f t="shared" si="10"/>
        <v>-2</v>
      </c>
      <c r="F94">
        <f t="shared" si="14"/>
        <v>-2</v>
      </c>
      <c r="G94">
        <f t="shared" si="11"/>
        <v>16</v>
      </c>
      <c r="H94">
        <f t="shared" si="12"/>
        <v>0</v>
      </c>
      <c r="I94">
        <f t="shared" si="13"/>
        <v>60</v>
      </c>
      <c r="J94" t="str">
        <f t="shared" si="15"/>
        <v>HumanSorcererCon</v>
      </c>
    </row>
    <row r="95" spans="1:10" x14ac:dyDescent="0.3">
      <c r="A95" s="1" t="s">
        <v>17</v>
      </c>
      <c r="B95" s="1" t="s">
        <v>62</v>
      </c>
      <c r="C95" s="1" t="str">
        <f t="shared" si="17"/>
        <v>Cha</v>
      </c>
      <c r="D95">
        <f t="shared" si="9"/>
        <v>0</v>
      </c>
      <c r="E95">
        <f t="shared" si="10"/>
        <v>1</v>
      </c>
      <c r="F95">
        <f t="shared" si="14"/>
        <v>1</v>
      </c>
      <c r="G95">
        <f t="shared" si="11"/>
        <v>9</v>
      </c>
      <c r="H95">
        <f t="shared" si="12"/>
        <v>14</v>
      </c>
      <c r="I95">
        <f t="shared" si="13"/>
        <v>90</v>
      </c>
      <c r="J95" t="str">
        <f t="shared" si="15"/>
        <v>HumanSorcererCha</v>
      </c>
    </row>
    <row r="96" spans="1:10" x14ac:dyDescent="0.3">
      <c r="A96" s="1" t="s">
        <v>17</v>
      </c>
      <c r="B96" s="1" t="s">
        <v>62</v>
      </c>
      <c r="C96" s="1" t="str">
        <f t="shared" si="17"/>
        <v>Bra</v>
      </c>
      <c r="D96">
        <f t="shared" si="9"/>
        <v>0</v>
      </c>
      <c r="E96">
        <f t="shared" si="10"/>
        <v>2</v>
      </c>
      <c r="F96">
        <f t="shared" si="14"/>
        <v>2</v>
      </c>
      <c r="G96">
        <f t="shared" si="11"/>
        <v>8</v>
      </c>
      <c r="H96">
        <f t="shared" si="12"/>
        <v>12</v>
      </c>
      <c r="I96">
        <f t="shared" si="13"/>
        <v>100</v>
      </c>
      <c r="J96" t="str">
        <f t="shared" si="15"/>
        <v>HumanSorcererBra</v>
      </c>
    </row>
    <row r="97" spans="1:10" x14ac:dyDescent="0.3">
      <c r="A97" s="1" t="s">
        <v>17</v>
      </c>
      <c r="B97" s="1" t="s">
        <v>62</v>
      </c>
      <c r="C97" s="1" t="str">
        <f t="shared" si="17"/>
        <v>HP</v>
      </c>
      <c r="D97">
        <f t="shared" si="9"/>
        <v>0</v>
      </c>
      <c r="E97">
        <f t="shared" si="10"/>
        <v>-1</v>
      </c>
      <c r="F97">
        <f t="shared" si="14"/>
        <v>-1</v>
      </c>
      <c r="G97">
        <f t="shared" si="11"/>
        <v>13</v>
      </c>
      <c r="H97">
        <f t="shared" si="12"/>
        <v>0</v>
      </c>
      <c r="I97">
        <f t="shared" si="13"/>
        <v>70</v>
      </c>
      <c r="J97" t="str">
        <f t="shared" si="15"/>
        <v>HumanSorcererHP</v>
      </c>
    </row>
    <row r="98" spans="1:10" x14ac:dyDescent="0.3">
      <c r="A98" s="1" t="s">
        <v>17</v>
      </c>
      <c r="B98" s="1" t="s">
        <v>22</v>
      </c>
      <c r="C98" s="1" t="str">
        <f t="shared" si="17"/>
        <v>Mag</v>
      </c>
      <c r="D98">
        <f t="shared" si="9"/>
        <v>0</v>
      </c>
      <c r="E98">
        <f t="shared" si="10"/>
        <v>-5</v>
      </c>
      <c r="F98">
        <f t="shared" si="14"/>
        <v>-5</v>
      </c>
      <c r="G98">
        <f t="shared" si="11"/>
        <v>25</v>
      </c>
      <c r="H98">
        <f t="shared" si="12"/>
        <v>0</v>
      </c>
      <c r="I98">
        <f t="shared" si="13"/>
        <v>30</v>
      </c>
      <c r="J98" t="str">
        <f t="shared" si="15"/>
        <v>HumanBarbarianMag</v>
      </c>
    </row>
    <row r="99" spans="1:10" x14ac:dyDescent="0.3">
      <c r="A99" s="1" t="s">
        <v>17</v>
      </c>
      <c r="B99" s="1" t="s">
        <v>22</v>
      </c>
      <c r="C99" s="1" t="str">
        <f t="shared" si="17"/>
        <v>Div</v>
      </c>
      <c r="D99">
        <f t="shared" si="9"/>
        <v>0</v>
      </c>
      <c r="E99">
        <f t="shared" si="10"/>
        <v>-7</v>
      </c>
      <c r="F99">
        <f t="shared" si="14"/>
        <v>-7</v>
      </c>
      <c r="G99">
        <f t="shared" si="11"/>
        <v>31</v>
      </c>
      <c r="H99">
        <f t="shared" si="12"/>
        <v>0</v>
      </c>
      <c r="I99">
        <f t="shared" si="13"/>
        <v>0</v>
      </c>
      <c r="J99" t="str">
        <f t="shared" si="15"/>
        <v>HumanBarbarianDiv</v>
      </c>
    </row>
    <row r="100" spans="1:10" x14ac:dyDescent="0.3">
      <c r="A100" s="1" t="s">
        <v>17</v>
      </c>
      <c r="B100" s="1" t="s">
        <v>22</v>
      </c>
      <c r="C100" s="1" t="str">
        <f t="shared" si="17"/>
        <v>Str</v>
      </c>
      <c r="D100">
        <f t="shared" si="9"/>
        <v>0</v>
      </c>
      <c r="E100">
        <f t="shared" si="10"/>
        <v>3</v>
      </c>
      <c r="F100">
        <f t="shared" si="14"/>
        <v>3</v>
      </c>
      <c r="G100">
        <f t="shared" si="11"/>
        <v>7</v>
      </c>
      <c r="H100">
        <f t="shared" si="12"/>
        <v>11</v>
      </c>
      <c r="I100">
        <f t="shared" si="13"/>
        <v>105</v>
      </c>
      <c r="J100" t="str">
        <f t="shared" si="15"/>
        <v>HumanBarbarianStr</v>
      </c>
    </row>
    <row r="101" spans="1:10" x14ac:dyDescent="0.3">
      <c r="A101" s="1" t="s">
        <v>17</v>
      </c>
      <c r="B101" s="1" t="s">
        <v>22</v>
      </c>
      <c r="C101" s="1" t="str">
        <f t="shared" si="17"/>
        <v>Dex</v>
      </c>
      <c r="D101">
        <f t="shared" si="9"/>
        <v>0</v>
      </c>
      <c r="E101">
        <f t="shared" si="10"/>
        <v>2</v>
      </c>
      <c r="F101">
        <f t="shared" si="14"/>
        <v>2</v>
      </c>
      <c r="G101">
        <f t="shared" si="11"/>
        <v>8</v>
      </c>
      <c r="H101">
        <f t="shared" si="12"/>
        <v>12</v>
      </c>
      <c r="I101">
        <f t="shared" si="13"/>
        <v>100</v>
      </c>
      <c r="J101" t="str">
        <f t="shared" si="15"/>
        <v>HumanBarbarianDex</v>
      </c>
    </row>
    <row r="102" spans="1:10" x14ac:dyDescent="0.3">
      <c r="A102" s="1" t="s">
        <v>17</v>
      </c>
      <c r="B102" s="1" t="s">
        <v>22</v>
      </c>
      <c r="C102" s="1" t="str">
        <f t="shared" si="17"/>
        <v>Con</v>
      </c>
      <c r="D102">
        <f t="shared" si="9"/>
        <v>0</v>
      </c>
      <c r="E102">
        <f t="shared" si="10"/>
        <v>0</v>
      </c>
      <c r="F102">
        <f t="shared" si="14"/>
        <v>0</v>
      </c>
      <c r="G102">
        <f t="shared" si="11"/>
        <v>10</v>
      </c>
      <c r="H102">
        <f t="shared" si="12"/>
        <v>0</v>
      </c>
      <c r="I102">
        <f t="shared" si="13"/>
        <v>80</v>
      </c>
      <c r="J102" t="str">
        <f t="shared" si="15"/>
        <v>HumanBarbarianCon</v>
      </c>
    </row>
    <row r="103" spans="1:10" x14ac:dyDescent="0.3">
      <c r="A103" s="1" t="s">
        <v>17</v>
      </c>
      <c r="B103" s="1" t="s">
        <v>22</v>
      </c>
      <c r="C103" s="1" t="str">
        <f t="shared" si="17"/>
        <v>Cha</v>
      </c>
      <c r="D103">
        <f t="shared" si="9"/>
        <v>0</v>
      </c>
      <c r="E103">
        <f t="shared" si="10"/>
        <v>-1</v>
      </c>
      <c r="F103">
        <f t="shared" si="14"/>
        <v>-1</v>
      </c>
      <c r="G103">
        <f t="shared" si="11"/>
        <v>13</v>
      </c>
      <c r="H103">
        <f t="shared" si="12"/>
        <v>0</v>
      </c>
      <c r="I103">
        <f t="shared" si="13"/>
        <v>70</v>
      </c>
      <c r="J103" t="str">
        <f t="shared" si="15"/>
        <v>HumanBarbarianCha</v>
      </c>
    </row>
    <row r="104" spans="1:10" x14ac:dyDescent="0.3">
      <c r="A104" s="1" t="s">
        <v>17</v>
      </c>
      <c r="B104" s="1" t="s">
        <v>22</v>
      </c>
      <c r="C104" s="1" t="str">
        <f t="shared" si="17"/>
        <v>Bra</v>
      </c>
      <c r="D104">
        <f t="shared" si="9"/>
        <v>0</v>
      </c>
      <c r="E104">
        <f t="shared" si="10"/>
        <v>-2</v>
      </c>
      <c r="F104">
        <f t="shared" si="14"/>
        <v>-2</v>
      </c>
      <c r="G104">
        <f t="shared" si="11"/>
        <v>16</v>
      </c>
      <c r="H104">
        <f t="shared" si="12"/>
        <v>0</v>
      </c>
      <c r="I104">
        <f t="shared" si="13"/>
        <v>60</v>
      </c>
      <c r="J104" t="str">
        <f t="shared" si="15"/>
        <v>HumanBarbarianBra</v>
      </c>
    </row>
    <row r="105" spans="1:10" x14ac:dyDescent="0.3">
      <c r="A105" s="1" t="s">
        <v>17</v>
      </c>
      <c r="B105" s="1" t="s">
        <v>22</v>
      </c>
      <c r="C105" s="1" t="str">
        <f t="shared" si="17"/>
        <v>HP</v>
      </c>
      <c r="D105">
        <f t="shared" si="9"/>
        <v>0</v>
      </c>
      <c r="E105">
        <f t="shared" si="10"/>
        <v>1</v>
      </c>
      <c r="F105">
        <f t="shared" si="14"/>
        <v>1</v>
      </c>
      <c r="G105">
        <f t="shared" si="11"/>
        <v>9</v>
      </c>
      <c r="H105">
        <f t="shared" si="12"/>
        <v>14</v>
      </c>
      <c r="I105">
        <f t="shared" si="13"/>
        <v>90</v>
      </c>
      <c r="J105" t="str">
        <f t="shared" si="15"/>
        <v>HumanBarbarianHP</v>
      </c>
    </row>
    <row r="106" spans="1:10" x14ac:dyDescent="0.3">
      <c r="A106" s="1" t="s">
        <v>18</v>
      </c>
      <c r="B106" s="1" t="s">
        <v>8</v>
      </c>
      <c r="C106" s="1" t="s">
        <v>0</v>
      </c>
      <c r="D106">
        <f t="shared" si="9"/>
        <v>2</v>
      </c>
      <c r="E106">
        <f t="shared" si="10"/>
        <v>-7</v>
      </c>
      <c r="F106">
        <f t="shared" ref="F106:F169" si="19">E106+D106</f>
        <v>-5</v>
      </c>
      <c r="G106">
        <f t="shared" si="11"/>
        <v>25</v>
      </c>
      <c r="H106">
        <f t="shared" si="12"/>
        <v>0</v>
      </c>
      <c r="I106">
        <f t="shared" si="13"/>
        <v>30</v>
      </c>
      <c r="J106" t="str">
        <f t="shared" si="15"/>
        <v>ElfFighterMag</v>
      </c>
    </row>
    <row r="107" spans="1:10" x14ac:dyDescent="0.3">
      <c r="A107" s="1" t="str">
        <f>A106</f>
        <v>Elf</v>
      </c>
      <c r="B107" s="1" t="s">
        <v>8</v>
      </c>
      <c r="C107" s="1" t="s">
        <v>1</v>
      </c>
      <c r="D107">
        <f t="shared" si="9"/>
        <v>-2</v>
      </c>
      <c r="E107">
        <f t="shared" si="10"/>
        <v>-5</v>
      </c>
      <c r="F107">
        <f t="shared" si="19"/>
        <v>-7</v>
      </c>
      <c r="G107">
        <f t="shared" si="11"/>
        <v>31</v>
      </c>
      <c r="H107">
        <f t="shared" si="12"/>
        <v>0</v>
      </c>
      <c r="I107">
        <f t="shared" si="13"/>
        <v>0</v>
      </c>
      <c r="J107" t="str">
        <f t="shared" si="15"/>
        <v>ElfFighterDiv</v>
      </c>
    </row>
    <row r="108" spans="1:10" x14ac:dyDescent="0.3">
      <c r="A108" s="1" t="str">
        <f t="shared" ref="A108:A171" si="20">A107</f>
        <v>Elf</v>
      </c>
      <c r="B108" s="1" t="s">
        <v>8</v>
      </c>
      <c r="C108" s="1" t="s">
        <v>2</v>
      </c>
      <c r="D108">
        <f t="shared" si="9"/>
        <v>0</v>
      </c>
      <c r="E108">
        <f t="shared" si="10"/>
        <v>2</v>
      </c>
      <c r="F108">
        <f t="shared" si="19"/>
        <v>2</v>
      </c>
      <c r="G108">
        <f t="shared" si="11"/>
        <v>8</v>
      </c>
      <c r="H108">
        <f t="shared" si="12"/>
        <v>12</v>
      </c>
      <c r="I108">
        <f t="shared" si="13"/>
        <v>100</v>
      </c>
      <c r="J108" t="str">
        <f t="shared" si="15"/>
        <v>ElfFighterStr</v>
      </c>
    </row>
    <row r="109" spans="1:10" x14ac:dyDescent="0.3">
      <c r="A109" s="1" t="str">
        <f t="shared" si="20"/>
        <v>Elf</v>
      </c>
      <c r="B109" s="1" t="s">
        <v>8</v>
      </c>
      <c r="C109" s="1" t="s">
        <v>3</v>
      </c>
      <c r="D109">
        <f t="shared" si="9"/>
        <v>0</v>
      </c>
      <c r="E109">
        <f t="shared" si="10"/>
        <v>0</v>
      </c>
      <c r="F109">
        <f t="shared" si="19"/>
        <v>0</v>
      </c>
      <c r="G109">
        <f t="shared" si="11"/>
        <v>10</v>
      </c>
      <c r="H109">
        <f t="shared" si="12"/>
        <v>0</v>
      </c>
      <c r="I109">
        <f t="shared" si="13"/>
        <v>80</v>
      </c>
      <c r="J109" t="str">
        <f t="shared" si="15"/>
        <v>ElfFighterDex</v>
      </c>
    </row>
    <row r="110" spans="1:10" x14ac:dyDescent="0.3">
      <c r="A110" s="1" t="str">
        <f t="shared" si="20"/>
        <v>Elf</v>
      </c>
      <c r="B110" s="1" t="s">
        <v>8</v>
      </c>
      <c r="C110" s="1" t="s">
        <v>4</v>
      </c>
      <c r="D110">
        <f t="shared" si="9"/>
        <v>-1</v>
      </c>
      <c r="E110">
        <f t="shared" si="10"/>
        <v>1</v>
      </c>
      <c r="F110">
        <f t="shared" si="19"/>
        <v>0</v>
      </c>
      <c r="G110">
        <f t="shared" si="11"/>
        <v>10</v>
      </c>
      <c r="H110">
        <f t="shared" si="12"/>
        <v>0</v>
      </c>
      <c r="I110">
        <f t="shared" si="13"/>
        <v>80</v>
      </c>
      <c r="J110" t="str">
        <f t="shared" si="15"/>
        <v>ElfFighterCon</v>
      </c>
    </row>
    <row r="111" spans="1:10" x14ac:dyDescent="0.3">
      <c r="A111" s="1" t="str">
        <f t="shared" si="20"/>
        <v>Elf</v>
      </c>
      <c r="B111" s="1" t="s">
        <v>8</v>
      </c>
      <c r="C111" s="1" t="s">
        <v>5</v>
      </c>
      <c r="D111">
        <f t="shared" si="9"/>
        <v>1</v>
      </c>
      <c r="E111">
        <f t="shared" si="10"/>
        <v>-2</v>
      </c>
      <c r="F111">
        <f t="shared" si="19"/>
        <v>-1</v>
      </c>
      <c r="G111">
        <f t="shared" si="11"/>
        <v>13</v>
      </c>
      <c r="H111">
        <f t="shared" si="12"/>
        <v>0</v>
      </c>
      <c r="I111">
        <f t="shared" si="13"/>
        <v>70</v>
      </c>
      <c r="J111" t="str">
        <f t="shared" si="15"/>
        <v>ElfFighterCha</v>
      </c>
    </row>
    <row r="112" spans="1:10" x14ac:dyDescent="0.3">
      <c r="A112" s="1" t="str">
        <f t="shared" si="20"/>
        <v>Elf</v>
      </c>
      <c r="B112" s="1" t="s">
        <v>8</v>
      </c>
      <c r="C112" s="1" t="s">
        <v>6</v>
      </c>
      <c r="D112">
        <f t="shared" si="9"/>
        <v>0</v>
      </c>
      <c r="E112">
        <f t="shared" si="10"/>
        <v>-1</v>
      </c>
      <c r="F112">
        <f t="shared" si="19"/>
        <v>-1</v>
      </c>
      <c r="G112">
        <f t="shared" si="11"/>
        <v>13</v>
      </c>
      <c r="H112">
        <f t="shared" si="12"/>
        <v>0</v>
      </c>
      <c r="I112">
        <f t="shared" si="13"/>
        <v>70</v>
      </c>
      <c r="J112" t="str">
        <f t="shared" si="15"/>
        <v>ElfFighterBra</v>
      </c>
    </row>
    <row r="113" spans="1:10" x14ac:dyDescent="0.3">
      <c r="A113" s="1" t="str">
        <f t="shared" si="20"/>
        <v>Elf</v>
      </c>
      <c r="B113" s="1" t="s">
        <v>8</v>
      </c>
      <c r="C113" s="1" t="s">
        <v>7</v>
      </c>
      <c r="D113">
        <f t="shared" si="9"/>
        <v>0</v>
      </c>
      <c r="E113">
        <f t="shared" si="10"/>
        <v>3</v>
      </c>
      <c r="F113">
        <f t="shared" si="19"/>
        <v>3</v>
      </c>
      <c r="G113">
        <f t="shared" si="11"/>
        <v>7</v>
      </c>
      <c r="H113">
        <f t="shared" si="12"/>
        <v>11</v>
      </c>
      <c r="I113">
        <f t="shared" si="13"/>
        <v>105</v>
      </c>
      <c r="J113" t="str">
        <f t="shared" si="15"/>
        <v>ElfFighterHP</v>
      </c>
    </row>
    <row r="114" spans="1:10" x14ac:dyDescent="0.3">
      <c r="A114" s="1" t="str">
        <f t="shared" si="20"/>
        <v>Elf</v>
      </c>
      <c r="B114" s="1" t="s">
        <v>9</v>
      </c>
      <c r="C114" s="1" t="s">
        <v>0</v>
      </c>
      <c r="D114">
        <f t="shared" si="9"/>
        <v>2</v>
      </c>
      <c r="E114">
        <f t="shared" si="10"/>
        <v>-7</v>
      </c>
      <c r="F114">
        <f t="shared" si="19"/>
        <v>-5</v>
      </c>
      <c r="G114">
        <f t="shared" si="11"/>
        <v>25</v>
      </c>
      <c r="H114">
        <f t="shared" si="12"/>
        <v>0</v>
      </c>
      <c r="I114">
        <f t="shared" si="13"/>
        <v>30</v>
      </c>
      <c r="J114" t="str">
        <f t="shared" si="15"/>
        <v>ElfKnightMag</v>
      </c>
    </row>
    <row r="115" spans="1:10" x14ac:dyDescent="0.3">
      <c r="A115" s="1" t="str">
        <f t="shared" si="20"/>
        <v>Elf</v>
      </c>
      <c r="B115" s="1" t="s">
        <v>9</v>
      </c>
      <c r="C115" s="1" t="s">
        <v>1</v>
      </c>
      <c r="D115">
        <f t="shared" si="9"/>
        <v>-2</v>
      </c>
      <c r="E115">
        <f t="shared" si="10"/>
        <v>0</v>
      </c>
      <c r="F115">
        <f t="shared" si="19"/>
        <v>-2</v>
      </c>
      <c r="G115">
        <f t="shared" si="11"/>
        <v>16</v>
      </c>
      <c r="H115">
        <f t="shared" si="12"/>
        <v>0</v>
      </c>
      <c r="I115">
        <f t="shared" si="13"/>
        <v>60</v>
      </c>
      <c r="J115" t="str">
        <f t="shared" si="15"/>
        <v>ElfKnightDiv</v>
      </c>
    </row>
    <row r="116" spans="1:10" x14ac:dyDescent="0.3">
      <c r="A116" s="1" t="str">
        <f t="shared" si="20"/>
        <v>Elf</v>
      </c>
      <c r="B116" s="1" t="s">
        <v>9</v>
      </c>
      <c r="C116" s="1" t="s">
        <v>2</v>
      </c>
      <c r="D116">
        <f t="shared" si="9"/>
        <v>0</v>
      </c>
      <c r="E116">
        <f t="shared" si="10"/>
        <v>2</v>
      </c>
      <c r="F116">
        <f t="shared" si="19"/>
        <v>2</v>
      </c>
      <c r="G116">
        <f t="shared" si="11"/>
        <v>8</v>
      </c>
      <c r="H116">
        <f t="shared" si="12"/>
        <v>12</v>
      </c>
      <c r="I116">
        <f t="shared" si="13"/>
        <v>100</v>
      </c>
      <c r="J116" t="str">
        <f t="shared" si="15"/>
        <v>ElfKnightStr</v>
      </c>
    </row>
    <row r="117" spans="1:10" x14ac:dyDescent="0.3">
      <c r="A117" s="1" t="str">
        <f t="shared" si="20"/>
        <v>Elf</v>
      </c>
      <c r="B117" s="1" t="s">
        <v>9</v>
      </c>
      <c r="C117" s="1" t="s">
        <v>3</v>
      </c>
      <c r="D117">
        <f t="shared" si="9"/>
        <v>0</v>
      </c>
      <c r="E117">
        <f t="shared" si="10"/>
        <v>-1</v>
      </c>
      <c r="F117">
        <f t="shared" si="19"/>
        <v>-1</v>
      </c>
      <c r="G117">
        <f t="shared" si="11"/>
        <v>13</v>
      </c>
      <c r="H117">
        <f t="shared" si="12"/>
        <v>0</v>
      </c>
      <c r="I117">
        <f t="shared" si="13"/>
        <v>70</v>
      </c>
      <c r="J117" t="str">
        <f t="shared" si="15"/>
        <v>ElfKnightDex</v>
      </c>
    </row>
    <row r="118" spans="1:10" x14ac:dyDescent="0.3">
      <c r="A118" s="1" t="str">
        <f t="shared" si="20"/>
        <v>Elf</v>
      </c>
      <c r="B118" s="1" t="s">
        <v>9</v>
      </c>
      <c r="C118" s="1" t="s">
        <v>4</v>
      </c>
      <c r="D118">
        <f t="shared" si="9"/>
        <v>-1</v>
      </c>
      <c r="E118">
        <f t="shared" si="10"/>
        <v>0</v>
      </c>
      <c r="F118">
        <f t="shared" si="19"/>
        <v>-1</v>
      </c>
      <c r="G118">
        <f t="shared" si="11"/>
        <v>13</v>
      </c>
      <c r="H118">
        <f t="shared" si="12"/>
        <v>0</v>
      </c>
      <c r="I118">
        <f t="shared" si="13"/>
        <v>70</v>
      </c>
      <c r="J118" t="str">
        <f t="shared" si="15"/>
        <v>ElfKnightCon</v>
      </c>
    </row>
    <row r="119" spans="1:10" x14ac:dyDescent="0.3">
      <c r="A119" s="1" t="str">
        <f t="shared" si="20"/>
        <v>Elf</v>
      </c>
      <c r="B119" s="1" t="s">
        <v>9</v>
      </c>
      <c r="C119" s="1" t="s">
        <v>5</v>
      </c>
      <c r="D119">
        <f t="shared" si="9"/>
        <v>1</v>
      </c>
      <c r="E119">
        <f t="shared" si="10"/>
        <v>-2</v>
      </c>
      <c r="F119">
        <f t="shared" si="19"/>
        <v>-1</v>
      </c>
      <c r="G119">
        <f t="shared" si="11"/>
        <v>13</v>
      </c>
      <c r="H119">
        <f t="shared" si="12"/>
        <v>0</v>
      </c>
      <c r="I119">
        <f t="shared" si="13"/>
        <v>70</v>
      </c>
      <c r="J119" t="str">
        <f t="shared" si="15"/>
        <v>ElfKnightCha</v>
      </c>
    </row>
    <row r="120" spans="1:10" x14ac:dyDescent="0.3">
      <c r="A120" s="1" t="str">
        <f t="shared" si="20"/>
        <v>Elf</v>
      </c>
      <c r="B120" s="1" t="s">
        <v>9</v>
      </c>
      <c r="C120" s="1" t="s">
        <v>6</v>
      </c>
      <c r="D120">
        <f t="shared" si="9"/>
        <v>0</v>
      </c>
      <c r="E120">
        <f t="shared" si="10"/>
        <v>0</v>
      </c>
      <c r="F120">
        <f t="shared" si="19"/>
        <v>0</v>
      </c>
      <c r="G120">
        <f t="shared" si="11"/>
        <v>10</v>
      </c>
      <c r="H120">
        <f t="shared" si="12"/>
        <v>0</v>
      </c>
      <c r="I120">
        <f t="shared" si="13"/>
        <v>80</v>
      </c>
      <c r="J120" t="str">
        <f t="shared" si="15"/>
        <v>ElfKnightBra</v>
      </c>
    </row>
    <row r="121" spans="1:10" x14ac:dyDescent="0.3">
      <c r="A121" s="1" t="str">
        <f t="shared" si="20"/>
        <v>Elf</v>
      </c>
      <c r="B121" s="1" t="s">
        <v>9</v>
      </c>
      <c r="C121" s="1" t="s">
        <v>7</v>
      </c>
      <c r="D121">
        <f t="shared" si="9"/>
        <v>0</v>
      </c>
      <c r="E121">
        <f t="shared" si="10"/>
        <v>1</v>
      </c>
      <c r="F121">
        <f t="shared" si="19"/>
        <v>1</v>
      </c>
      <c r="G121">
        <f t="shared" si="11"/>
        <v>9</v>
      </c>
      <c r="H121">
        <f t="shared" si="12"/>
        <v>14</v>
      </c>
      <c r="I121">
        <f t="shared" si="13"/>
        <v>90</v>
      </c>
      <c r="J121" t="str">
        <f t="shared" si="15"/>
        <v>ElfKnightHP</v>
      </c>
    </row>
    <row r="122" spans="1:10" x14ac:dyDescent="0.3">
      <c r="A122" s="1" t="str">
        <f t="shared" si="20"/>
        <v>Elf</v>
      </c>
      <c r="B122" s="1" t="s">
        <v>10</v>
      </c>
      <c r="C122" s="1" t="s">
        <v>0</v>
      </c>
      <c r="D122">
        <f t="shared" si="9"/>
        <v>2</v>
      </c>
      <c r="E122">
        <f t="shared" si="10"/>
        <v>-7</v>
      </c>
      <c r="F122">
        <f t="shared" si="19"/>
        <v>-5</v>
      </c>
      <c r="G122">
        <f t="shared" si="11"/>
        <v>25</v>
      </c>
      <c r="H122">
        <f t="shared" si="12"/>
        <v>0</v>
      </c>
      <c r="I122">
        <f t="shared" si="13"/>
        <v>30</v>
      </c>
      <c r="J122" t="str">
        <f t="shared" si="15"/>
        <v>ElfPaladinMag</v>
      </c>
    </row>
    <row r="123" spans="1:10" x14ac:dyDescent="0.3">
      <c r="A123" s="1" t="str">
        <f t="shared" si="20"/>
        <v>Elf</v>
      </c>
      <c r="B123" s="1" t="s">
        <v>10</v>
      </c>
      <c r="C123" s="1" t="s">
        <v>1</v>
      </c>
      <c r="D123">
        <f t="shared" si="9"/>
        <v>-2</v>
      </c>
      <c r="E123">
        <f t="shared" si="10"/>
        <v>0</v>
      </c>
      <c r="F123">
        <f t="shared" si="19"/>
        <v>-2</v>
      </c>
      <c r="G123">
        <f t="shared" si="11"/>
        <v>16</v>
      </c>
      <c r="H123">
        <f t="shared" si="12"/>
        <v>0</v>
      </c>
      <c r="I123">
        <f t="shared" si="13"/>
        <v>60</v>
      </c>
      <c r="J123" t="str">
        <f t="shared" si="15"/>
        <v>ElfPaladinDiv</v>
      </c>
    </row>
    <row r="124" spans="1:10" x14ac:dyDescent="0.3">
      <c r="A124" s="1" t="str">
        <f t="shared" si="20"/>
        <v>Elf</v>
      </c>
      <c r="B124" s="1" t="s">
        <v>10</v>
      </c>
      <c r="C124" s="1" t="s">
        <v>2</v>
      </c>
      <c r="D124">
        <f t="shared" si="9"/>
        <v>0</v>
      </c>
      <c r="E124">
        <f t="shared" si="10"/>
        <v>2</v>
      </c>
      <c r="F124">
        <f t="shared" si="19"/>
        <v>2</v>
      </c>
      <c r="G124">
        <f t="shared" si="11"/>
        <v>8</v>
      </c>
      <c r="H124">
        <f t="shared" si="12"/>
        <v>12</v>
      </c>
      <c r="I124">
        <f t="shared" si="13"/>
        <v>100</v>
      </c>
      <c r="J124" t="str">
        <f t="shared" si="15"/>
        <v>ElfPaladinStr</v>
      </c>
    </row>
    <row r="125" spans="1:10" x14ac:dyDescent="0.3">
      <c r="A125" s="1" t="str">
        <f t="shared" si="20"/>
        <v>Elf</v>
      </c>
      <c r="B125" s="1" t="s">
        <v>10</v>
      </c>
      <c r="C125" s="1" t="s">
        <v>3</v>
      </c>
      <c r="D125">
        <f t="shared" si="9"/>
        <v>0</v>
      </c>
      <c r="E125">
        <f t="shared" si="10"/>
        <v>-1</v>
      </c>
      <c r="F125">
        <f t="shared" si="19"/>
        <v>-1</v>
      </c>
      <c r="G125">
        <f t="shared" si="11"/>
        <v>13</v>
      </c>
      <c r="H125">
        <f t="shared" si="12"/>
        <v>0</v>
      </c>
      <c r="I125">
        <f t="shared" si="13"/>
        <v>70</v>
      </c>
      <c r="J125" t="str">
        <f t="shared" si="15"/>
        <v>ElfPaladinDex</v>
      </c>
    </row>
    <row r="126" spans="1:10" x14ac:dyDescent="0.3">
      <c r="A126" s="1" t="str">
        <f t="shared" si="20"/>
        <v>Elf</v>
      </c>
      <c r="B126" s="1" t="s">
        <v>10</v>
      </c>
      <c r="C126" s="1" t="s">
        <v>4</v>
      </c>
      <c r="D126">
        <f t="shared" si="9"/>
        <v>-1</v>
      </c>
      <c r="E126">
        <f t="shared" si="10"/>
        <v>0</v>
      </c>
      <c r="F126">
        <f t="shared" si="19"/>
        <v>-1</v>
      </c>
      <c r="G126">
        <f t="shared" si="11"/>
        <v>13</v>
      </c>
      <c r="H126">
        <f t="shared" si="12"/>
        <v>0</v>
      </c>
      <c r="I126">
        <f t="shared" si="13"/>
        <v>70</v>
      </c>
      <c r="J126" t="str">
        <f t="shared" si="15"/>
        <v>ElfPaladinCon</v>
      </c>
    </row>
    <row r="127" spans="1:10" x14ac:dyDescent="0.3">
      <c r="A127" s="1" t="str">
        <f t="shared" si="20"/>
        <v>Elf</v>
      </c>
      <c r="B127" s="1" t="s">
        <v>10</v>
      </c>
      <c r="C127" s="1" t="s">
        <v>5</v>
      </c>
      <c r="D127">
        <f t="shared" si="9"/>
        <v>1</v>
      </c>
      <c r="E127">
        <f t="shared" si="10"/>
        <v>-2</v>
      </c>
      <c r="F127">
        <f t="shared" si="19"/>
        <v>-1</v>
      </c>
      <c r="G127">
        <f t="shared" si="11"/>
        <v>13</v>
      </c>
      <c r="H127">
        <f t="shared" si="12"/>
        <v>0</v>
      </c>
      <c r="I127">
        <f t="shared" si="13"/>
        <v>70</v>
      </c>
      <c r="J127" t="str">
        <f t="shared" si="15"/>
        <v>ElfPaladinCha</v>
      </c>
    </row>
    <row r="128" spans="1:10" x14ac:dyDescent="0.3">
      <c r="A128" s="1" t="str">
        <f t="shared" si="20"/>
        <v>Elf</v>
      </c>
      <c r="B128" s="1" t="s">
        <v>10</v>
      </c>
      <c r="C128" s="1" t="s">
        <v>6</v>
      </c>
      <c r="D128">
        <f t="shared" si="9"/>
        <v>0</v>
      </c>
      <c r="E128">
        <f t="shared" si="10"/>
        <v>0</v>
      </c>
      <c r="F128">
        <f t="shared" si="19"/>
        <v>0</v>
      </c>
      <c r="G128">
        <f t="shared" si="11"/>
        <v>10</v>
      </c>
      <c r="H128">
        <f t="shared" si="12"/>
        <v>0</v>
      </c>
      <c r="I128">
        <f t="shared" si="13"/>
        <v>80</v>
      </c>
      <c r="J128" t="str">
        <f t="shared" si="15"/>
        <v>ElfPaladinBra</v>
      </c>
    </row>
    <row r="129" spans="1:10" x14ac:dyDescent="0.3">
      <c r="A129" s="1" t="str">
        <f t="shared" si="20"/>
        <v>Elf</v>
      </c>
      <c r="B129" s="1" t="s">
        <v>10</v>
      </c>
      <c r="C129" s="1" t="s">
        <v>7</v>
      </c>
      <c r="D129">
        <f t="shared" si="9"/>
        <v>0</v>
      </c>
      <c r="E129">
        <f t="shared" si="10"/>
        <v>1</v>
      </c>
      <c r="F129">
        <f t="shared" si="19"/>
        <v>1</v>
      </c>
      <c r="G129">
        <f t="shared" si="11"/>
        <v>9</v>
      </c>
      <c r="H129">
        <f t="shared" si="12"/>
        <v>14</v>
      </c>
      <c r="I129">
        <f t="shared" si="13"/>
        <v>90</v>
      </c>
      <c r="J129" t="str">
        <f t="shared" si="15"/>
        <v>ElfPaladinHP</v>
      </c>
    </row>
    <row r="130" spans="1:10" x14ac:dyDescent="0.3">
      <c r="A130" s="1" t="str">
        <f t="shared" si="20"/>
        <v>Elf</v>
      </c>
      <c r="B130" s="1" t="s">
        <v>11</v>
      </c>
      <c r="C130" s="1" t="s">
        <v>0</v>
      </c>
      <c r="D130">
        <f t="shared" ref="D130:D193" si="21">INDEX(TblRaceValues,MATCH(C130, TblAbilities, 0),MATCH(A130,TblRaces,0))</f>
        <v>2</v>
      </c>
      <c r="E130">
        <f t="shared" ref="E130:E193" si="22">INDEX(TblProfessionValues,MATCH(C130,TblAbilities,0),MATCH(B130,TblProfessions,0))</f>
        <v>-7</v>
      </c>
      <c r="F130">
        <f t="shared" si="19"/>
        <v>-5</v>
      </c>
      <c r="G130">
        <f t="shared" ref="G130:G193" si="23">HLOOKUP(MIN(MAX(-7,F130),7),TblPracticeCost,2)</f>
        <v>25</v>
      </c>
      <c r="H130">
        <f t="shared" ref="H130:H193" si="24">HLOOKUP(MIN(MAX(-7,F130),7),TblPracticeCost,3)</f>
        <v>0</v>
      </c>
      <c r="I130">
        <f t="shared" ref="I130:I193" si="25">VLOOKUP(MIN(MAX(-7,F130),7),TblBonusMaxSkill,2)</f>
        <v>30</v>
      </c>
      <c r="J130" t="str">
        <f t="shared" si="15"/>
        <v>ElfRangerMag</v>
      </c>
    </row>
    <row r="131" spans="1:10" x14ac:dyDescent="0.3">
      <c r="A131" s="1" t="str">
        <f t="shared" si="20"/>
        <v>Elf</v>
      </c>
      <c r="B131" s="1" t="s">
        <v>11</v>
      </c>
      <c r="C131" s="1" t="s">
        <v>1</v>
      </c>
      <c r="D131">
        <f t="shared" si="21"/>
        <v>-2</v>
      </c>
      <c r="E131">
        <f t="shared" si="22"/>
        <v>0</v>
      </c>
      <c r="F131">
        <f t="shared" si="19"/>
        <v>-2</v>
      </c>
      <c r="G131">
        <f t="shared" si="23"/>
        <v>16</v>
      </c>
      <c r="H131">
        <f t="shared" si="24"/>
        <v>0</v>
      </c>
      <c r="I131">
        <f t="shared" si="25"/>
        <v>60</v>
      </c>
      <c r="J131" t="str">
        <f t="shared" ref="J131:J194" si="26">A131&amp;B131&amp;C131</f>
        <v>ElfRangerDiv</v>
      </c>
    </row>
    <row r="132" spans="1:10" x14ac:dyDescent="0.3">
      <c r="A132" s="1" t="str">
        <f t="shared" si="20"/>
        <v>Elf</v>
      </c>
      <c r="B132" s="1" t="s">
        <v>11</v>
      </c>
      <c r="C132" s="1" t="s">
        <v>2</v>
      </c>
      <c r="D132">
        <f t="shared" si="21"/>
        <v>0</v>
      </c>
      <c r="E132">
        <f t="shared" si="22"/>
        <v>1</v>
      </c>
      <c r="F132">
        <f t="shared" si="19"/>
        <v>1</v>
      </c>
      <c r="G132">
        <f t="shared" si="23"/>
        <v>9</v>
      </c>
      <c r="H132">
        <f t="shared" si="24"/>
        <v>14</v>
      </c>
      <c r="I132">
        <f t="shared" si="25"/>
        <v>90</v>
      </c>
      <c r="J132" t="str">
        <f t="shared" si="26"/>
        <v>ElfRangerStr</v>
      </c>
    </row>
    <row r="133" spans="1:10" x14ac:dyDescent="0.3">
      <c r="A133" s="1" t="str">
        <f t="shared" si="20"/>
        <v>Elf</v>
      </c>
      <c r="B133" s="1" t="s">
        <v>11</v>
      </c>
      <c r="C133" s="1" t="s">
        <v>3</v>
      </c>
      <c r="D133">
        <f t="shared" si="21"/>
        <v>0</v>
      </c>
      <c r="E133">
        <f t="shared" si="22"/>
        <v>2</v>
      </c>
      <c r="F133">
        <f t="shared" si="19"/>
        <v>2</v>
      </c>
      <c r="G133">
        <f t="shared" si="23"/>
        <v>8</v>
      </c>
      <c r="H133">
        <f t="shared" si="24"/>
        <v>12</v>
      </c>
      <c r="I133">
        <f t="shared" si="25"/>
        <v>100</v>
      </c>
      <c r="J133" t="str">
        <f t="shared" si="26"/>
        <v>ElfRangerDex</v>
      </c>
    </row>
    <row r="134" spans="1:10" x14ac:dyDescent="0.3">
      <c r="A134" s="1" t="str">
        <f t="shared" si="20"/>
        <v>Elf</v>
      </c>
      <c r="B134" s="1" t="s">
        <v>11</v>
      </c>
      <c r="C134" s="1" t="s">
        <v>4</v>
      </c>
      <c r="D134">
        <f t="shared" si="21"/>
        <v>-1</v>
      </c>
      <c r="E134">
        <f t="shared" si="22"/>
        <v>0</v>
      </c>
      <c r="F134">
        <f t="shared" si="19"/>
        <v>-1</v>
      </c>
      <c r="G134">
        <f t="shared" si="23"/>
        <v>13</v>
      </c>
      <c r="H134">
        <f t="shared" si="24"/>
        <v>0</v>
      </c>
      <c r="I134">
        <f t="shared" si="25"/>
        <v>70</v>
      </c>
      <c r="J134" t="str">
        <f t="shared" si="26"/>
        <v>ElfRangerCon</v>
      </c>
    </row>
    <row r="135" spans="1:10" x14ac:dyDescent="0.3">
      <c r="A135" s="1" t="str">
        <f t="shared" si="20"/>
        <v>Elf</v>
      </c>
      <c r="B135" s="1" t="s">
        <v>11</v>
      </c>
      <c r="C135" s="1" t="s">
        <v>5</v>
      </c>
      <c r="D135">
        <f t="shared" si="21"/>
        <v>1</v>
      </c>
      <c r="E135">
        <f t="shared" si="22"/>
        <v>-2</v>
      </c>
      <c r="F135">
        <f t="shared" si="19"/>
        <v>-1</v>
      </c>
      <c r="G135">
        <f t="shared" si="23"/>
        <v>13</v>
      </c>
      <c r="H135">
        <f t="shared" si="24"/>
        <v>0</v>
      </c>
      <c r="I135">
        <f t="shared" si="25"/>
        <v>70</v>
      </c>
      <c r="J135" t="str">
        <f t="shared" si="26"/>
        <v>ElfRangerCha</v>
      </c>
    </row>
    <row r="136" spans="1:10" x14ac:dyDescent="0.3">
      <c r="A136" s="1" t="str">
        <f t="shared" si="20"/>
        <v>Elf</v>
      </c>
      <c r="B136" s="1" t="s">
        <v>11</v>
      </c>
      <c r="C136" s="1" t="s">
        <v>6</v>
      </c>
      <c r="D136">
        <f t="shared" si="21"/>
        <v>0</v>
      </c>
      <c r="E136">
        <f t="shared" si="22"/>
        <v>-1</v>
      </c>
      <c r="F136">
        <f t="shared" si="19"/>
        <v>-1</v>
      </c>
      <c r="G136">
        <f t="shared" si="23"/>
        <v>13</v>
      </c>
      <c r="H136">
        <f t="shared" si="24"/>
        <v>0</v>
      </c>
      <c r="I136">
        <f t="shared" si="25"/>
        <v>70</v>
      </c>
      <c r="J136" t="str">
        <f t="shared" si="26"/>
        <v>ElfRangerBra</v>
      </c>
    </row>
    <row r="137" spans="1:10" x14ac:dyDescent="0.3">
      <c r="A137" s="1" t="str">
        <f t="shared" si="20"/>
        <v>Elf</v>
      </c>
      <c r="B137" s="1" t="s">
        <v>11</v>
      </c>
      <c r="C137" s="1" t="s">
        <v>7</v>
      </c>
      <c r="D137">
        <f t="shared" si="21"/>
        <v>0</v>
      </c>
      <c r="E137">
        <f t="shared" si="22"/>
        <v>0</v>
      </c>
      <c r="F137">
        <f t="shared" si="19"/>
        <v>0</v>
      </c>
      <c r="G137">
        <f t="shared" si="23"/>
        <v>10</v>
      </c>
      <c r="H137">
        <f t="shared" si="24"/>
        <v>0</v>
      </c>
      <c r="I137">
        <f t="shared" si="25"/>
        <v>80</v>
      </c>
      <c r="J137" t="str">
        <f t="shared" si="26"/>
        <v>ElfRangerHP</v>
      </c>
    </row>
    <row r="138" spans="1:10" x14ac:dyDescent="0.3">
      <c r="A138" s="1" t="str">
        <f t="shared" si="20"/>
        <v>Elf</v>
      </c>
      <c r="B138" s="1" t="s">
        <v>12</v>
      </c>
      <c r="C138" s="1" t="s">
        <v>0</v>
      </c>
      <c r="D138">
        <f t="shared" si="21"/>
        <v>2</v>
      </c>
      <c r="E138">
        <f t="shared" si="22"/>
        <v>0</v>
      </c>
      <c r="F138">
        <f t="shared" si="19"/>
        <v>2</v>
      </c>
      <c r="G138">
        <f t="shared" si="23"/>
        <v>8</v>
      </c>
      <c r="H138">
        <f t="shared" si="24"/>
        <v>12</v>
      </c>
      <c r="I138">
        <f t="shared" si="25"/>
        <v>100</v>
      </c>
      <c r="J138" t="str">
        <f t="shared" si="26"/>
        <v>ElfAssassinMag</v>
      </c>
    </row>
    <row r="139" spans="1:10" x14ac:dyDescent="0.3">
      <c r="A139" s="1" t="str">
        <f t="shared" si="20"/>
        <v>Elf</v>
      </c>
      <c r="B139" s="1" t="s">
        <v>12</v>
      </c>
      <c r="C139" s="1" t="s">
        <v>1</v>
      </c>
      <c r="D139">
        <f t="shared" si="21"/>
        <v>-2</v>
      </c>
      <c r="E139">
        <f t="shared" si="22"/>
        <v>-7</v>
      </c>
      <c r="F139">
        <f t="shared" si="19"/>
        <v>-9</v>
      </c>
      <c r="G139">
        <f t="shared" si="23"/>
        <v>31</v>
      </c>
      <c r="H139">
        <f t="shared" si="24"/>
        <v>0</v>
      </c>
      <c r="I139">
        <f t="shared" si="25"/>
        <v>0</v>
      </c>
      <c r="J139" t="str">
        <f t="shared" si="26"/>
        <v>ElfAssassinDiv</v>
      </c>
    </row>
    <row r="140" spans="1:10" x14ac:dyDescent="0.3">
      <c r="A140" s="1" t="str">
        <f t="shared" si="20"/>
        <v>Elf</v>
      </c>
      <c r="B140" s="1" t="s">
        <v>12</v>
      </c>
      <c r="C140" s="1" t="s">
        <v>2</v>
      </c>
      <c r="D140">
        <f t="shared" si="21"/>
        <v>0</v>
      </c>
      <c r="E140">
        <f t="shared" si="22"/>
        <v>0</v>
      </c>
      <c r="F140">
        <f t="shared" si="19"/>
        <v>0</v>
      </c>
      <c r="G140">
        <f t="shared" si="23"/>
        <v>10</v>
      </c>
      <c r="H140">
        <f t="shared" si="24"/>
        <v>0</v>
      </c>
      <c r="I140">
        <f t="shared" si="25"/>
        <v>80</v>
      </c>
      <c r="J140" t="str">
        <f t="shared" si="26"/>
        <v>ElfAssassinStr</v>
      </c>
    </row>
    <row r="141" spans="1:10" x14ac:dyDescent="0.3">
      <c r="A141" s="1" t="str">
        <f t="shared" si="20"/>
        <v>Elf</v>
      </c>
      <c r="B141" s="1" t="s">
        <v>12</v>
      </c>
      <c r="C141" s="1" t="s">
        <v>3</v>
      </c>
      <c r="D141">
        <f t="shared" si="21"/>
        <v>0</v>
      </c>
      <c r="E141">
        <f t="shared" si="22"/>
        <v>2</v>
      </c>
      <c r="F141">
        <f t="shared" si="19"/>
        <v>2</v>
      </c>
      <c r="G141">
        <f t="shared" si="23"/>
        <v>8</v>
      </c>
      <c r="H141">
        <f t="shared" si="24"/>
        <v>12</v>
      </c>
      <c r="I141">
        <f t="shared" si="25"/>
        <v>100</v>
      </c>
      <c r="J141" t="str">
        <f t="shared" si="26"/>
        <v>ElfAssassinDex</v>
      </c>
    </row>
    <row r="142" spans="1:10" x14ac:dyDescent="0.3">
      <c r="A142" s="1" t="str">
        <f t="shared" si="20"/>
        <v>Elf</v>
      </c>
      <c r="B142" s="1" t="s">
        <v>12</v>
      </c>
      <c r="C142" s="1" t="s">
        <v>4</v>
      </c>
      <c r="D142">
        <f t="shared" si="21"/>
        <v>-1</v>
      </c>
      <c r="E142">
        <f t="shared" si="22"/>
        <v>0</v>
      </c>
      <c r="F142">
        <f t="shared" si="19"/>
        <v>-1</v>
      </c>
      <c r="G142">
        <f t="shared" si="23"/>
        <v>13</v>
      </c>
      <c r="H142">
        <f t="shared" si="24"/>
        <v>0</v>
      </c>
      <c r="I142">
        <f t="shared" si="25"/>
        <v>70</v>
      </c>
      <c r="J142" t="str">
        <f t="shared" si="26"/>
        <v>ElfAssassinCon</v>
      </c>
    </row>
    <row r="143" spans="1:10" x14ac:dyDescent="0.3">
      <c r="A143" s="1" t="str">
        <f t="shared" si="20"/>
        <v>Elf</v>
      </c>
      <c r="B143" s="1" t="s">
        <v>12</v>
      </c>
      <c r="C143" s="1" t="s">
        <v>5</v>
      </c>
      <c r="D143">
        <f t="shared" si="21"/>
        <v>1</v>
      </c>
      <c r="E143">
        <f t="shared" si="22"/>
        <v>-2</v>
      </c>
      <c r="F143">
        <f t="shared" si="19"/>
        <v>-1</v>
      </c>
      <c r="G143">
        <f t="shared" si="23"/>
        <v>13</v>
      </c>
      <c r="H143">
        <f t="shared" si="24"/>
        <v>0</v>
      </c>
      <c r="I143">
        <f t="shared" si="25"/>
        <v>70</v>
      </c>
      <c r="J143" t="str">
        <f t="shared" si="26"/>
        <v>ElfAssassinCha</v>
      </c>
    </row>
    <row r="144" spans="1:10" x14ac:dyDescent="0.3">
      <c r="A144" s="1" t="str">
        <f t="shared" si="20"/>
        <v>Elf</v>
      </c>
      <c r="B144" s="1" t="s">
        <v>12</v>
      </c>
      <c r="C144" s="1" t="s">
        <v>6</v>
      </c>
      <c r="D144">
        <f t="shared" si="21"/>
        <v>0</v>
      </c>
      <c r="E144">
        <f t="shared" si="22"/>
        <v>1</v>
      </c>
      <c r="F144">
        <f t="shared" si="19"/>
        <v>1</v>
      </c>
      <c r="G144">
        <f t="shared" si="23"/>
        <v>9</v>
      </c>
      <c r="H144">
        <f t="shared" si="24"/>
        <v>14</v>
      </c>
      <c r="I144">
        <f t="shared" si="25"/>
        <v>90</v>
      </c>
      <c r="J144" t="str">
        <f t="shared" si="26"/>
        <v>ElfAssassinBra</v>
      </c>
    </row>
    <row r="145" spans="1:10" x14ac:dyDescent="0.3">
      <c r="A145" s="1" t="str">
        <f t="shared" si="20"/>
        <v>Elf</v>
      </c>
      <c r="B145" s="1" t="s">
        <v>12</v>
      </c>
      <c r="C145" s="1" t="s">
        <v>7</v>
      </c>
      <c r="D145">
        <f t="shared" si="21"/>
        <v>0</v>
      </c>
      <c r="E145">
        <f t="shared" si="22"/>
        <v>-1</v>
      </c>
      <c r="F145">
        <f t="shared" si="19"/>
        <v>-1</v>
      </c>
      <c r="G145">
        <f t="shared" si="23"/>
        <v>13</v>
      </c>
      <c r="H145">
        <f t="shared" si="24"/>
        <v>0</v>
      </c>
      <c r="I145">
        <f t="shared" si="25"/>
        <v>70</v>
      </c>
      <c r="J145" t="str">
        <f t="shared" si="26"/>
        <v>ElfAssassinHP</v>
      </c>
    </row>
    <row r="146" spans="1:10" x14ac:dyDescent="0.3">
      <c r="A146" s="1" t="str">
        <f t="shared" si="20"/>
        <v>Elf</v>
      </c>
      <c r="B146" s="1" t="s">
        <v>13</v>
      </c>
      <c r="C146" s="1" t="s">
        <v>0</v>
      </c>
      <c r="D146">
        <f t="shared" si="21"/>
        <v>2</v>
      </c>
      <c r="E146">
        <f t="shared" si="22"/>
        <v>-5</v>
      </c>
      <c r="F146">
        <f t="shared" si="19"/>
        <v>-3</v>
      </c>
      <c r="G146">
        <f t="shared" si="23"/>
        <v>19</v>
      </c>
      <c r="H146">
        <f t="shared" si="24"/>
        <v>0</v>
      </c>
      <c r="I146">
        <f t="shared" si="25"/>
        <v>50</v>
      </c>
      <c r="J146" t="str">
        <f t="shared" si="26"/>
        <v>ElfThiefMag</v>
      </c>
    </row>
    <row r="147" spans="1:10" x14ac:dyDescent="0.3">
      <c r="A147" s="1" t="str">
        <f t="shared" si="20"/>
        <v>Elf</v>
      </c>
      <c r="B147" s="1" t="s">
        <v>13</v>
      </c>
      <c r="C147" s="1" t="s">
        <v>1</v>
      </c>
      <c r="D147">
        <f t="shared" si="21"/>
        <v>-2</v>
      </c>
      <c r="E147">
        <f t="shared" si="22"/>
        <v>-7</v>
      </c>
      <c r="F147">
        <f t="shared" si="19"/>
        <v>-9</v>
      </c>
      <c r="G147">
        <f t="shared" si="23"/>
        <v>31</v>
      </c>
      <c r="H147">
        <f t="shared" si="24"/>
        <v>0</v>
      </c>
      <c r="I147">
        <f t="shared" si="25"/>
        <v>0</v>
      </c>
      <c r="J147" t="str">
        <f t="shared" si="26"/>
        <v>ElfThiefDiv</v>
      </c>
    </row>
    <row r="148" spans="1:10" x14ac:dyDescent="0.3">
      <c r="A148" s="1" t="str">
        <f t="shared" si="20"/>
        <v>Elf</v>
      </c>
      <c r="B148" s="1" t="s">
        <v>13</v>
      </c>
      <c r="C148" s="1" t="s">
        <v>2</v>
      </c>
      <c r="D148">
        <f t="shared" si="21"/>
        <v>0</v>
      </c>
      <c r="E148">
        <f t="shared" si="22"/>
        <v>0</v>
      </c>
      <c r="F148">
        <f t="shared" si="19"/>
        <v>0</v>
      </c>
      <c r="G148">
        <f t="shared" si="23"/>
        <v>10</v>
      </c>
      <c r="H148">
        <f t="shared" si="24"/>
        <v>0</v>
      </c>
      <c r="I148">
        <f t="shared" si="25"/>
        <v>80</v>
      </c>
      <c r="J148" t="str">
        <f t="shared" si="26"/>
        <v>ElfThiefStr</v>
      </c>
    </row>
    <row r="149" spans="1:10" x14ac:dyDescent="0.3">
      <c r="A149" s="1" t="str">
        <f t="shared" si="20"/>
        <v>Elf</v>
      </c>
      <c r="B149" s="1" t="s">
        <v>13</v>
      </c>
      <c r="C149" s="1" t="s">
        <v>3</v>
      </c>
      <c r="D149">
        <f t="shared" si="21"/>
        <v>0</v>
      </c>
      <c r="E149">
        <f t="shared" si="22"/>
        <v>3</v>
      </c>
      <c r="F149">
        <f t="shared" si="19"/>
        <v>3</v>
      </c>
      <c r="G149">
        <f t="shared" si="23"/>
        <v>7</v>
      </c>
      <c r="H149">
        <f t="shared" si="24"/>
        <v>11</v>
      </c>
      <c r="I149">
        <f t="shared" si="25"/>
        <v>105</v>
      </c>
      <c r="J149" t="str">
        <f t="shared" si="26"/>
        <v>ElfThiefDex</v>
      </c>
    </row>
    <row r="150" spans="1:10" x14ac:dyDescent="0.3">
      <c r="A150" s="1" t="str">
        <f t="shared" si="20"/>
        <v>Elf</v>
      </c>
      <c r="B150" s="1" t="s">
        <v>13</v>
      </c>
      <c r="C150" s="1" t="s">
        <v>4</v>
      </c>
      <c r="D150">
        <f t="shared" si="21"/>
        <v>-1</v>
      </c>
      <c r="E150">
        <f t="shared" si="22"/>
        <v>-1</v>
      </c>
      <c r="F150">
        <f t="shared" si="19"/>
        <v>-2</v>
      </c>
      <c r="G150">
        <f t="shared" si="23"/>
        <v>16</v>
      </c>
      <c r="H150">
        <f t="shared" si="24"/>
        <v>0</v>
      </c>
      <c r="I150">
        <f t="shared" si="25"/>
        <v>60</v>
      </c>
      <c r="J150" t="str">
        <f t="shared" si="26"/>
        <v>ElfThiefCon</v>
      </c>
    </row>
    <row r="151" spans="1:10" x14ac:dyDescent="0.3">
      <c r="A151" s="1" t="str">
        <f t="shared" si="20"/>
        <v>Elf</v>
      </c>
      <c r="B151" s="1" t="s">
        <v>13</v>
      </c>
      <c r="C151" s="1" t="s">
        <v>5</v>
      </c>
      <c r="D151">
        <f t="shared" si="21"/>
        <v>1</v>
      </c>
      <c r="E151">
        <f t="shared" si="22"/>
        <v>-2</v>
      </c>
      <c r="F151">
        <f t="shared" si="19"/>
        <v>-1</v>
      </c>
      <c r="G151">
        <f t="shared" si="23"/>
        <v>13</v>
      </c>
      <c r="H151">
        <f t="shared" si="24"/>
        <v>0</v>
      </c>
      <c r="I151">
        <f t="shared" si="25"/>
        <v>70</v>
      </c>
      <c r="J151" t="str">
        <f t="shared" si="26"/>
        <v>ElfThiefCha</v>
      </c>
    </row>
    <row r="152" spans="1:10" x14ac:dyDescent="0.3">
      <c r="A152" s="1" t="str">
        <f t="shared" si="20"/>
        <v>Elf</v>
      </c>
      <c r="B152" s="1" t="s">
        <v>13</v>
      </c>
      <c r="C152" s="1" t="s">
        <v>6</v>
      </c>
      <c r="D152">
        <f t="shared" si="21"/>
        <v>0</v>
      </c>
      <c r="E152">
        <f t="shared" si="22"/>
        <v>2</v>
      </c>
      <c r="F152">
        <f t="shared" si="19"/>
        <v>2</v>
      </c>
      <c r="G152">
        <f t="shared" si="23"/>
        <v>8</v>
      </c>
      <c r="H152">
        <f t="shared" si="24"/>
        <v>12</v>
      </c>
      <c r="I152">
        <f t="shared" si="25"/>
        <v>100</v>
      </c>
      <c r="J152" t="str">
        <f t="shared" si="26"/>
        <v>ElfThiefBra</v>
      </c>
    </row>
    <row r="153" spans="1:10" x14ac:dyDescent="0.3">
      <c r="A153" s="1" t="str">
        <f t="shared" si="20"/>
        <v>Elf</v>
      </c>
      <c r="B153" s="1" t="s">
        <v>13</v>
      </c>
      <c r="C153" s="1" t="s">
        <v>7</v>
      </c>
      <c r="D153">
        <f t="shared" si="21"/>
        <v>0</v>
      </c>
      <c r="E153">
        <f t="shared" si="22"/>
        <v>1</v>
      </c>
      <c r="F153">
        <f t="shared" si="19"/>
        <v>1</v>
      </c>
      <c r="G153">
        <f t="shared" si="23"/>
        <v>9</v>
      </c>
      <c r="H153">
        <f t="shared" si="24"/>
        <v>14</v>
      </c>
      <c r="I153">
        <f t="shared" si="25"/>
        <v>90</v>
      </c>
      <c r="J153" t="str">
        <f t="shared" si="26"/>
        <v>ElfThiefHP</v>
      </c>
    </row>
    <row r="154" spans="1:10" x14ac:dyDescent="0.3">
      <c r="A154" s="1" t="str">
        <f t="shared" si="20"/>
        <v>Elf</v>
      </c>
      <c r="B154" s="1" t="s">
        <v>14</v>
      </c>
      <c r="C154" s="1" t="s">
        <v>0</v>
      </c>
      <c r="D154">
        <f t="shared" si="21"/>
        <v>2</v>
      </c>
      <c r="E154">
        <f t="shared" si="22"/>
        <v>-7</v>
      </c>
      <c r="F154">
        <f t="shared" si="19"/>
        <v>-5</v>
      </c>
      <c r="G154">
        <f t="shared" si="23"/>
        <v>25</v>
      </c>
      <c r="H154">
        <f t="shared" si="24"/>
        <v>0</v>
      </c>
      <c r="I154">
        <f t="shared" si="25"/>
        <v>30</v>
      </c>
      <c r="J154" t="str">
        <f t="shared" si="26"/>
        <v>ElfDruidMag</v>
      </c>
    </row>
    <row r="155" spans="1:10" x14ac:dyDescent="0.3">
      <c r="A155" s="1" t="str">
        <f t="shared" si="20"/>
        <v>Elf</v>
      </c>
      <c r="B155" s="1" t="s">
        <v>14</v>
      </c>
      <c r="C155" s="1" t="s">
        <v>1</v>
      </c>
      <c r="D155">
        <f t="shared" si="21"/>
        <v>-2</v>
      </c>
      <c r="E155">
        <f t="shared" si="22"/>
        <v>2</v>
      </c>
      <c r="F155">
        <f t="shared" si="19"/>
        <v>0</v>
      </c>
      <c r="G155">
        <f t="shared" si="23"/>
        <v>10</v>
      </c>
      <c r="H155">
        <f t="shared" si="24"/>
        <v>0</v>
      </c>
      <c r="I155">
        <f t="shared" si="25"/>
        <v>80</v>
      </c>
      <c r="J155" t="str">
        <f t="shared" si="26"/>
        <v>ElfDruidDiv</v>
      </c>
    </row>
    <row r="156" spans="1:10" x14ac:dyDescent="0.3">
      <c r="A156" s="1" t="str">
        <f t="shared" si="20"/>
        <v>Elf</v>
      </c>
      <c r="B156" s="1" t="s">
        <v>14</v>
      </c>
      <c r="C156" s="1" t="s">
        <v>2</v>
      </c>
      <c r="D156">
        <f t="shared" si="21"/>
        <v>0</v>
      </c>
      <c r="E156">
        <f t="shared" si="22"/>
        <v>-2</v>
      </c>
      <c r="F156">
        <f t="shared" si="19"/>
        <v>-2</v>
      </c>
      <c r="G156">
        <f t="shared" si="23"/>
        <v>16</v>
      </c>
      <c r="H156">
        <f t="shared" si="24"/>
        <v>0</v>
      </c>
      <c r="I156">
        <f t="shared" si="25"/>
        <v>60</v>
      </c>
      <c r="J156" t="str">
        <f t="shared" si="26"/>
        <v>ElfDruidStr</v>
      </c>
    </row>
    <row r="157" spans="1:10" x14ac:dyDescent="0.3">
      <c r="A157" s="1" t="str">
        <f t="shared" si="20"/>
        <v>Elf</v>
      </c>
      <c r="B157" s="1" t="s">
        <v>14</v>
      </c>
      <c r="C157" s="1" t="s">
        <v>3</v>
      </c>
      <c r="D157">
        <f t="shared" si="21"/>
        <v>0</v>
      </c>
      <c r="E157">
        <f t="shared" si="22"/>
        <v>0</v>
      </c>
      <c r="F157">
        <f t="shared" si="19"/>
        <v>0</v>
      </c>
      <c r="G157">
        <f t="shared" si="23"/>
        <v>10</v>
      </c>
      <c r="H157">
        <f t="shared" si="24"/>
        <v>0</v>
      </c>
      <c r="I157">
        <f t="shared" si="25"/>
        <v>80</v>
      </c>
      <c r="J157" t="str">
        <f t="shared" si="26"/>
        <v>ElfDruidDex</v>
      </c>
    </row>
    <row r="158" spans="1:10" x14ac:dyDescent="0.3">
      <c r="A158" s="1" t="str">
        <f t="shared" si="20"/>
        <v>Elf</v>
      </c>
      <c r="B158" s="1" t="s">
        <v>14</v>
      </c>
      <c r="C158" s="1" t="s">
        <v>4</v>
      </c>
      <c r="D158">
        <f t="shared" si="21"/>
        <v>-1</v>
      </c>
      <c r="E158">
        <f t="shared" si="22"/>
        <v>-3</v>
      </c>
      <c r="F158">
        <f t="shared" si="19"/>
        <v>-4</v>
      </c>
      <c r="G158">
        <f t="shared" si="23"/>
        <v>22</v>
      </c>
      <c r="H158">
        <f t="shared" si="24"/>
        <v>0</v>
      </c>
      <c r="I158">
        <f t="shared" si="25"/>
        <v>40</v>
      </c>
      <c r="J158" t="str">
        <f t="shared" si="26"/>
        <v>ElfDruidCon</v>
      </c>
    </row>
    <row r="159" spans="1:10" x14ac:dyDescent="0.3">
      <c r="A159" s="1" t="str">
        <f t="shared" si="20"/>
        <v>Elf</v>
      </c>
      <c r="B159" s="1" t="s">
        <v>14</v>
      </c>
      <c r="C159" s="1" t="s">
        <v>5</v>
      </c>
      <c r="D159">
        <f t="shared" si="21"/>
        <v>1</v>
      </c>
      <c r="E159">
        <f t="shared" si="22"/>
        <v>1</v>
      </c>
      <c r="F159">
        <f t="shared" si="19"/>
        <v>2</v>
      </c>
      <c r="G159">
        <f t="shared" si="23"/>
        <v>8</v>
      </c>
      <c r="H159">
        <f t="shared" si="24"/>
        <v>12</v>
      </c>
      <c r="I159">
        <f t="shared" si="25"/>
        <v>100</v>
      </c>
      <c r="J159" t="str">
        <f t="shared" si="26"/>
        <v>ElfDruidCha</v>
      </c>
    </row>
    <row r="160" spans="1:10" x14ac:dyDescent="0.3">
      <c r="A160" s="1" t="str">
        <f t="shared" si="20"/>
        <v>Elf</v>
      </c>
      <c r="B160" s="1" t="s">
        <v>14</v>
      </c>
      <c r="C160" s="1" t="s">
        <v>6</v>
      </c>
      <c r="D160">
        <f t="shared" si="21"/>
        <v>0</v>
      </c>
      <c r="E160">
        <f t="shared" si="22"/>
        <v>3</v>
      </c>
      <c r="F160">
        <f t="shared" si="19"/>
        <v>3</v>
      </c>
      <c r="G160">
        <f t="shared" si="23"/>
        <v>7</v>
      </c>
      <c r="H160">
        <f t="shared" si="24"/>
        <v>11</v>
      </c>
      <c r="I160">
        <f t="shared" si="25"/>
        <v>105</v>
      </c>
      <c r="J160" t="str">
        <f t="shared" si="26"/>
        <v>ElfDruidBra</v>
      </c>
    </row>
    <row r="161" spans="1:10" x14ac:dyDescent="0.3">
      <c r="A161" s="1" t="str">
        <f t="shared" si="20"/>
        <v>Elf</v>
      </c>
      <c r="B161" s="1" t="s">
        <v>14</v>
      </c>
      <c r="C161" s="1" t="s">
        <v>7</v>
      </c>
      <c r="D161">
        <f t="shared" si="21"/>
        <v>0</v>
      </c>
      <c r="E161">
        <f t="shared" si="22"/>
        <v>-1</v>
      </c>
      <c r="F161">
        <f t="shared" si="19"/>
        <v>-1</v>
      </c>
      <c r="G161">
        <f t="shared" si="23"/>
        <v>13</v>
      </c>
      <c r="H161">
        <f t="shared" si="24"/>
        <v>0</v>
      </c>
      <c r="I161">
        <f t="shared" si="25"/>
        <v>70</v>
      </c>
      <c r="J161" t="str">
        <f t="shared" si="26"/>
        <v>ElfDruidHP</v>
      </c>
    </row>
    <row r="162" spans="1:10" x14ac:dyDescent="0.3">
      <c r="A162" s="1" t="str">
        <f t="shared" si="20"/>
        <v>Elf</v>
      </c>
      <c r="B162" s="1" t="s">
        <v>31</v>
      </c>
      <c r="C162" s="1" t="s">
        <v>0</v>
      </c>
      <c r="D162">
        <f t="shared" si="21"/>
        <v>2</v>
      </c>
      <c r="E162">
        <f t="shared" si="22"/>
        <v>2</v>
      </c>
      <c r="F162">
        <f t="shared" si="19"/>
        <v>4</v>
      </c>
      <c r="G162">
        <f t="shared" si="23"/>
        <v>6</v>
      </c>
      <c r="H162">
        <f t="shared" si="24"/>
        <v>9</v>
      </c>
      <c r="I162">
        <f t="shared" si="25"/>
        <v>108</v>
      </c>
      <c r="J162" t="str">
        <f t="shared" si="26"/>
        <v>ElfObsoleteMag</v>
      </c>
    </row>
    <row r="163" spans="1:10" x14ac:dyDescent="0.3">
      <c r="A163" s="1" t="str">
        <f t="shared" si="20"/>
        <v>Elf</v>
      </c>
      <c r="B163" s="1" t="s">
        <v>31</v>
      </c>
      <c r="C163" s="1" t="s">
        <v>1</v>
      </c>
      <c r="D163">
        <f t="shared" si="21"/>
        <v>-2</v>
      </c>
      <c r="E163">
        <f t="shared" si="22"/>
        <v>2</v>
      </c>
      <c r="F163">
        <f t="shared" si="19"/>
        <v>0</v>
      </c>
      <c r="G163">
        <f t="shared" si="23"/>
        <v>10</v>
      </c>
      <c r="H163">
        <f t="shared" si="24"/>
        <v>0</v>
      </c>
      <c r="I163">
        <f t="shared" si="25"/>
        <v>80</v>
      </c>
      <c r="J163" t="str">
        <f t="shared" si="26"/>
        <v>ElfObsoleteDiv</v>
      </c>
    </row>
    <row r="164" spans="1:10" x14ac:dyDescent="0.3">
      <c r="A164" s="1" t="str">
        <f t="shared" si="20"/>
        <v>Elf</v>
      </c>
      <c r="B164" s="1" t="s">
        <v>31</v>
      </c>
      <c r="C164" s="1" t="s">
        <v>2</v>
      </c>
      <c r="D164">
        <f t="shared" si="21"/>
        <v>0</v>
      </c>
      <c r="E164">
        <f t="shared" si="22"/>
        <v>-2</v>
      </c>
      <c r="F164">
        <f t="shared" si="19"/>
        <v>-2</v>
      </c>
      <c r="G164">
        <f t="shared" si="23"/>
        <v>16</v>
      </c>
      <c r="H164">
        <f t="shared" si="24"/>
        <v>0</v>
      </c>
      <c r="I164">
        <f t="shared" si="25"/>
        <v>60</v>
      </c>
      <c r="J164" t="str">
        <f t="shared" si="26"/>
        <v>ElfObsoleteStr</v>
      </c>
    </row>
    <row r="165" spans="1:10" x14ac:dyDescent="0.3">
      <c r="A165" s="1" t="str">
        <f t="shared" si="20"/>
        <v>Elf</v>
      </c>
      <c r="B165" s="1" t="s">
        <v>31</v>
      </c>
      <c r="C165" s="1" t="s">
        <v>3</v>
      </c>
      <c r="D165">
        <f t="shared" si="21"/>
        <v>0</v>
      </c>
      <c r="E165">
        <f t="shared" si="22"/>
        <v>-1</v>
      </c>
      <c r="F165">
        <f t="shared" si="19"/>
        <v>-1</v>
      </c>
      <c r="G165">
        <f t="shared" si="23"/>
        <v>13</v>
      </c>
      <c r="H165">
        <f t="shared" si="24"/>
        <v>0</v>
      </c>
      <c r="I165">
        <f t="shared" si="25"/>
        <v>70</v>
      </c>
      <c r="J165" t="str">
        <f t="shared" si="26"/>
        <v>ElfObsoleteDex</v>
      </c>
    </row>
    <row r="166" spans="1:10" x14ac:dyDescent="0.3">
      <c r="A166" s="1" t="str">
        <f t="shared" si="20"/>
        <v>Elf</v>
      </c>
      <c r="B166" s="1" t="s">
        <v>31</v>
      </c>
      <c r="C166" s="1" t="s">
        <v>4</v>
      </c>
      <c r="D166">
        <f t="shared" si="21"/>
        <v>-1</v>
      </c>
      <c r="E166">
        <f t="shared" si="22"/>
        <v>-2</v>
      </c>
      <c r="F166">
        <f t="shared" si="19"/>
        <v>-3</v>
      </c>
      <c r="G166">
        <f t="shared" si="23"/>
        <v>19</v>
      </c>
      <c r="H166">
        <f t="shared" si="24"/>
        <v>0</v>
      </c>
      <c r="I166">
        <f t="shared" si="25"/>
        <v>50</v>
      </c>
      <c r="J166" t="str">
        <f t="shared" si="26"/>
        <v>ElfObsoleteCon</v>
      </c>
    </row>
    <row r="167" spans="1:10" x14ac:dyDescent="0.3">
      <c r="A167" s="1" t="str">
        <f t="shared" si="20"/>
        <v>Elf</v>
      </c>
      <c r="B167" s="1" t="s">
        <v>31</v>
      </c>
      <c r="C167" s="1" t="s">
        <v>5</v>
      </c>
      <c r="D167">
        <f t="shared" si="21"/>
        <v>1</v>
      </c>
      <c r="E167">
        <f t="shared" si="22"/>
        <v>1</v>
      </c>
      <c r="F167">
        <f t="shared" si="19"/>
        <v>2</v>
      </c>
      <c r="G167">
        <f t="shared" si="23"/>
        <v>8</v>
      </c>
      <c r="H167">
        <f t="shared" si="24"/>
        <v>12</v>
      </c>
      <c r="I167">
        <f t="shared" si="25"/>
        <v>100</v>
      </c>
      <c r="J167" t="str">
        <f t="shared" si="26"/>
        <v>ElfObsoleteCha</v>
      </c>
    </row>
    <row r="168" spans="1:10" x14ac:dyDescent="0.3">
      <c r="A168" s="1" t="str">
        <f t="shared" si="20"/>
        <v>Elf</v>
      </c>
      <c r="B168" s="1" t="s">
        <v>31</v>
      </c>
      <c r="C168" s="1" t="s">
        <v>6</v>
      </c>
      <c r="D168">
        <f t="shared" si="21"/>
        <v>0</v>
      </c>
      <c r="E168">
        <f t="shared" si="22"/>
        <v>2</v>
      </c>
      <c r="F168">
        <f t="shared" si="19"/>
        <v>2</v>
      </c>
      <c r="G168">
        <f t="shared" si="23"/>
        <v>8</v>
      </c>
      <c r="H168">
        <f t="shared" si="24"/>
        <v>12</v>
      </c>
      <c r="I168">
        <f t="shared" si="25"/>
        <v>100</v>
      </c>
      <c r="J168" t="str">
        <f t="shared" si="26"/>
        <v>ElfObsoleteBra</v>
      </c>
    </row>
    <row r="169" spans="1:10" x14ac:dyDescent="0.3">
      <c r="A169" s="1" t="str">
        <f t="shared" si="20"/>
        <v>Elf</v>
      </c>
      <c r="B169" s="1" t="s">
        <v>31</v>
      </c>
      <c r="C169" s="1" t="s">
        <v>7</v>
      </c>
      <c r="D169">
        <f t="shared" si="21"/>
        <v>0</v>
      </c>
      <c r="E169">
        <f t="shared" si="22"/>
        <v>0</v>
      </c>
      <c r="F169">
        <f t="shared" si="19"/>
        <v>0</v>
      </c>
      <c r="G169">
        <f t="shared" si="23"/>
        <v>10</v>
      </c>
      <c r="H169">
        <f t="shared" si="24"/>
        <v>0</v>
      </c>
      <c r="I169">
        <f t="shared" si="25"/>
        <v>80</v>
      </c>
      <c r="J169" t="str">
        <f t="shared" si="26"/>
        <v>ElfObsoleteHP</v>
      </c>
    </row>
    <row r="170" spans="1:10" x14ac:dyDescent="0.3">
      <c r="A170" s="1" t="str">
        <f t="shared" si="20"/>
        <v>Elf</v>
      </c>
      <c r="B170" s="1" t="s">
        <v>91</v>
      </c>
      <c r="C170" s="1" t="s">
        <v>0</v>
      </c>
      <c r="D170">
        <f t="shared" si="21"/>
        <v>2</v>
      </c>
      <c r="E170">
        <f t="shared" si="22"/>
        <v>-7</v>
      </c>
      <c r="F170">
        <f t="shared" ref="F170:F209" si="27">E170+D170</f>
        <v>-5</v>
      </c>
      <c r="G170">
        <f t="shared" si="23"/>
        <v>25</v>
      </c>
      <c r="H170">
        <f t="shared" si="24"/>
        <v>0</v>
      </c>
      <c r="I170">
        <f t="shared" si="25"/>
        <v>30</v>
      </c>
      <c r="J170" t="str">
        <f t="shared" si="26"/>
        <v>ElfNecromancerMag</v>
      </c>
    </row>
    <row r="171" spans="1:10" x14ac:dyDescent="0.3">
      <c r="A171" s="1" t="str">
        <f t="shared" si="20"/>
        <v>Elf</v>
      </c>
      <c r="B171" s="1" t="s">
        <v>91</v>
      </c>
      <c r="C171" s="1" t="s">
        <v>1</v>
      </c>
      <c r="D171">
        <f t="shared" si="21"/>
        <v>-2</v>
      </c>
      <c r="E171">
        <f t="shared" si="22"/>
        <v>0</v>
      </c>
      <c r="F171">
        <f t="shared" si="27"/>
        <v>-2</v>
      </c>
      <c r="G171">
        <f t="shared" si="23"/>
        <v>16</v>
      </c>
      <c r="H171">
        <f t="shared" si="24"/>
        <v>0</v>
      </c>
      <c r="I171">
        <f t="shared" si="25"/>
        <v>60</v>
      </c>
      <c r="J171" t="str">
        <f t="shared" si="26"/>
        <v>ElfNecromancerDiv</v>
      </c>
    </row>
    <row r="172" spans="1:10" x14ac:dyDescent="0.3">
      <c r="A172" s="1" t="str">
        <f t="shared" ref="A172:A209" si="28">A171</f>
        <v>Elf</v>
      </c>
      <c r="B172" s="1" t="s">
        <v>91</v>
      </c>
      <c r="C172" s="1" t="s">
        <v>2</v>
      </c>
      <c r="D172">
        <f t="shared" si="21"/>
        <v>0</v>
      </c>
      <c r="E172">
        <f t="shared" si="22"/>
        <v>-1</v>
      </c>
      <c r="F172">
        <f t="shared" si="27"/>
        <v>-1</v>
      </c>
      <c r="G172">
        <f t="shared" si="23"/>
        <v>13</v>
      </c>
      <c r="H172">
        <f t="shared" si="24"/>
        <v>0</v>
      </c>
      <c r="I172">
        <f t="shared" si="25"/>
        <v>70</v>
      </c>
      <c r="J172" t="str">
        <f t="shared" si="26"/>
        <v>ElfNecromancerStr</v>
      </c>
    </row>
    <row r="173" spans="1:10" x14ac:dyDescent="0.3">
      <c r="A173" s="1" t="str">
        <f t="shared" si="28"/>
        <v>Elf</v>
      </c>
      <c r="B173" s="1" t="s">
        <v>91</v>
      </c>
      <c r="C173" s="1" t="s">
        <v>3</v>
      </c>
      <c r="D173">
        <f t="shared" si="21"/>
        <v>0</v>
      </c>
      <c r="E173">
        <f t="shared" si="22"/>
        <v>1</v>
      </c>
      <c r="F173">
        <f t="shared" si="27"/>
        <v>1</v>
      </c>
      <c r="G173">
        <f t="shared" si="23"/>
        <v>9</v>
      </c>
      <c r="H173">
        <f t="shared" si="24"/>
        <v>14</v>
      </c>
      <c r="I173">
        <f t="shared" si="25"/>
        <v>90</v>
      </c>
      <c r="J173" t="str">
        <f t="shared" si="26"/>
        <v>ElfNecromancerDex</v>
      </c>
    </row>
    <row r="174" spans="1:10" x14ac:dyDescent="0.3">
      <c r="A174" s="1" t="str">
        <f t="shared" si="28"/>
        <v>Elf</v>
      </c>
      <c r="B174" s="1" t="s">
        <v>91</v>
      </c>
      <c r="C174" s="1" t="s">
        <v>4</v>
      </c>
      <c r="D174">
        <f t="shared" si="21"/>
        <v>-1</v>
      </c>
      <c r="E174">
        <f t="shared" si="22"/>
        <v>-3</v>
      </c>
      <c r="F174">
        <f t="shared" si="27"/>
        <v>-4</v>
      </c>
      <c r="G174">
        <f t="shared" si="23"/>
        <v>22</v>
      </c>
      <c r="H174">
        <f t="shared" si="24"/>
        <v>0</v>
      </c>
      <c r="I174">
        <f t="shared" si="25"/>
        <v>40</v>
      </c>
      <c r="J174" t="str">
        <f t="shared" si="26"/>
        <v>ElfNecromancerCon</v>
      </c>
    </row>
    <row r="175" spans="1:10" x14ac:dyDescent="0.3">
      <c r="A175" s="1" t="str">
        <f t="shared" si="28"/>
        <v>Elf</v>
      </c>
      <c r="B175" s="1" t="s">
        <v>91</v>
      </c>
      <c r="C175" s="1" t="s">
        <v>5</v>
      </c>
      <c r="D175">
        <f t="shared" si="21"/>
        <v>1</v>
      </c>
      <c r="E175">
        <f t="shared" si="22"/>
        <v>2</v>
      </c>
      <c r="F175">
        <f t="shared" si="27"/>
        <v>3</v>
      </c>
      <c r="G175">
        <f t="shared" si="23"/>
        <v>7</v>
      </c>
      <c r="H175">
        <f t="shared" si="24"/>
        <v>11</v>
      </c>
      <c r="I175">
        <f t="shared" si="25"/>
        <v>105</v>
      </c>
      <c r="J175" t="str">
        <f t="shared" si="26"/>
        <v>ElfNecromancerCha</v>
      </c>
    </row>
    <row r="176" spans="1:10" x14ac:dyDescent="0.3">
      <c r="A176" s="1" t="str">
        <f t="shared" si="28"/>
        <v>Elf</v>
      </c>
      <c r="B176" s="1" t="s">
        <v>91</v>
      </c>
      <c r="C176" s="1" t="s">
        <v>6</v>
      </c>
      <c r="D176">
        <f t="shared" si="21"/>
        <v>0</v>
      </c>
      <c r="E176">
        <f t="shared" si="22"/>
        <v>3</v>
      </c>
      <c r="F176">
        <f t="shared" si="27"/>
        <v>3</v>
      </c>
      <c r="G176">
        <f t="shared" si="23"/>
        <v>7</v>
      </c>
      <c r="H176">
        <f t="shared" si="24"/>
        <v>11</v>
      </c>
      <c r="I176">
        <f t="shared" si="25"/>
        <v>105</v>
      </c>
      <c r="J176" t="str">
        <f t="shared" si="26"/>
        <v>ElfNecromancerBra</v>
      </c>
    </row>
    <row r="177" spans="1:10" x14ac:dyDescent="0.3">
      <c r="A177" s="1" t="str">
        <f t="shared" si="28"/>
        <v>Elf</v>
      </c>
      <c r="B177" s="1" t="s">
        <v>91</v>
      </c>
      <c r="C177" s="1" t="s">
        <v>7</v>
      </c>
      <c r="D177">
        <f t="shared" si="21"/>
        <v>0</v>
      </c>
      <c r="E177">
        <f t="shared" si="22"/>
        <v>-2</v>
      </c>
      <c r="F177">
        <f t="shared" si="27"/>
        <v>-2</v>
      </c>
      <c r="G177">
        <f t="shared" si="23"/>
        <v>16</v>
      </c>
      <c r="H177">
        <f t="shared" si="24"/>
        <v>0</v>
      </c>
      <c r="I177">
        <f t="shared" si="25"/>
        <v>60</v>
      </c>
      <c r="J177" t="str">
        <f t="shared" si="26"/>
        <v>ElfNecromancerHP</v>
      </c>
    </row>
    <row r="178" spans="1:10" x14ac:dyDescent="0.3">
      <c r="A178" s="1" t="str">
        <f t="shared" si="28"/>
        <v>Elf</v>
      </c>
      <c r="B178" s="1" t="s">
        <v>15</v>
      </c>
      <c r="C178" s="1" t="s">
        <v>0</v>
      </c>
      <c r="D178">
        <f t="shared" si="21"/>
        <v>2</v>
      </c>
      <c r="E178">
        <f t="shared" si="22"/>
        <v>-7</v>
      </c>
      <c r="F178">
        <f t="shared" si="27"/>
        <v>-5</v>
      </c>
      <c r="G178">
        <f t="shared" si="23"/>
        <v>25</v>
      </c>
      <c r="H178">
        <f t="shared" si="24"/>
        <v>0</v>
      </c>
      <c r="I178">
        <f t="shared" si="25"/>
        <v>30</v>
      </c>
      <c r="J178" t="str">
        <f t="shared" si="26"/>
        <v>ElfPriestMag</v>
      </c>
    </row>
    <row r="179" spans="1:10" x14ac:dyDescent="0.3">
      <c r="A179" s="1" t="str">
        <f t="shared" si="28"/>
        <v>Elf</v>
      </c>
      <c r="B179" s="1" t="s">
        <v>15</v>
      </c>
      <c r="C179" s="1" t="s">
        <v>1</v>
      </c>
      <c r="D179">
        <f t="shared" si="21"/>
        <v>-2</v>
      </c>
      <c r="E179">
        <f t="shared" si="22"/>
        <v>3</v>
      </c>
      <c r="F179">
        <f t="shared" si="27"/>
        <v>1</v>
      </c>
      <c r="G179">
        <f t="shared" si="23"/>
        <v>9</v>
      </c>
      <c r="H179">
        <f t="shared" si="24"/>
        <v>14</v>
      </c>
      <c r="I179">
        <f t="shared" si="25"/>
        <v>90</v>
      </c>
      <c r="J179" t="str">
        <f t="shared" si="26"/>
        <v>ElfPriestDiv</v>
      </c>
    </row>
    <row r="180" spans="1:10" x14ac:dyDescent="0.3">
      <c r="A180" s="1" t="str">
        <f t="shared" si="28"/>
        <v>Elf</v>
      </c>
      <c r="B180" s="1" t="s">
        <v>15</v>
      </c>
      <c r="C180" s="1" t="s">
        <v>2</v>
      </c>
      <c r="D180">
        <f t="shared" si="21"/>
        <v>0</v>
      </c>
      <c r="E180">
        <f t="shared" si="22"/>
        <v>0</v>
      </c>
      <c r="F180">
        <f t="shared" si="27"/>
        <v>0</v>
      </c>
      <c r="G180">
        <f t="shared" si="23"/>
        <v>10</v>
      </c>
      <c r="H180">
        <f t="shared" si="24"/>
        <v>0</v>
      </c>
      <c r="I180">
        <f t="shared" si="25"/>
        <v>80</v>
      </c>
      <c r="J180" t="str">
        <f t="shared" si="26"/>
        <v>ElfPriestStr</v>
      </c>
    </row>
    <row r="181" spans="1:10" x14ac:dyDescent="0.3">
      <c r="A181" s="1" t="str">
        <f t="shared" si="28"/>
        <v>Elf</v>
      </c>
      <c r="B181" s="1" t="s">
        <v>15</v>
      </c>
      <c r="C181" s="1" t="s">
        <v>3</v>
      </c>
      <c r="D181">
        <f t="shared" si="21"/>
        <v>0</v>
      </c>
      <c r="E181">
        <f t="shared" si="22"/>
        <v>-2</v>
      </c>
      <c r="F181">
        <f t="shared" si="27"/>
        <v>-2</v>
      </c>
      <c r="G181">
        <f t="shared" si="23"/>
        <v>16</v>
      </c>
      <c r="H181">
        <f t="shared" si="24"/>
        <v>0</v>
      </c>
      <c r="I181">
        <f t="shared" si="25"/>
        <v>60</v>
      </c>
      <c r="J181" t="str">
        <f t="shared" si="26"/>
        <v>ElfPriestDex</v>
      </c>
    </row>
    <row r="182" spans="1:10" x14ac:dyDescent="0.3">
      <c r="A182" s="1" t="str">
        <f t="shared" si="28"/>
        <v>Elf</v>
      </c>
      <c r="B182" s="1" t="s">
        <v>15</v>
      </c>
      <c r="C182" s="1" t="s">
        <v>4</v>
      </c>
      <c r="D182">
        <f t="shared" si="21"/>
        <v>-1</v>
      </c>
      <c r="E182">
        <f t="shared" si="22"/>
        <v>-3</v>
      </c>
      <c r="F182">
        <f t="shared" si="27"/>
        <v>-4</v>
      </c>
      <c r="G182">
        <f t="shared" si="23"/>
        <v>22</v>
      </c>
      <c r="H182">
        <f t="shared" si="24"/>
        <v>0</v>
      </c>
      <c r="I182">
        <f t="shared" si="25"/>
        <v>40</v>
      </c>
      <c r="J182" t="str">
        <f t="shared" si="26"/>
        <v>ElfPriestCon</v>
      </c>
    </row>
    <row r="183" spans="1:10" x14ac:dyDescent="0.3">
      <c r="A183" s="1" t="str">
        <f t="shared" si="28"/>
        <v>Elf</v>
      </c>
      <c r="B183" s="1" t="s">
        <v>15</v>
      </c>
      <c r="C183" s="1" t="s">
        <v>5</v>
      </c>
      <c r="D183">
        <f t="shared" si="21"/>
        <v>1</v>
      </c>
      <c r="E183">
        <f t="shared" si="22"/>
        <v>2</v>
      </c>
      <c r="F183">
        <f t="shared" si="27"/>
        <v>3</v>
      </c>
      <c r="G183">
        <f t="shared" si="23"/>
        <v>7</v>
      </c>
      <c r="H183">
        <f t="shared" si="24"/>
        <v>11</v>
      </c>
      <c r="I183">
        <f t="shared" si="25"/>
        <v>105</v>
      </c>
      <c r="J183" t="str">
        <f t="shared" si="26"/>
        <v>ElfPriestCha</v>
      </c>
    </row>
    <row r="184" spans="1:10" x14ac:dyDescent="0.3">
      <c r="A184" s="1" t="str">
        <f t="shared" si="28"/>
        <v>Elf</v>
      </c>
      <c r="B184" s="1" t="s">
        <v>15</v>
      </c>
      <c r="C184" s="1" t="s">
        <v>6</v>
      </c>
      <c r="D184">
        <f t="shared" si="21"/>
        <v>0</v>
      </c>
      <c r="E184">
        <f t="shared" si="22"/>
        <v>1</v>
      </c>
      <c r="F184">
        <f t="shared" si="27"/>
        <v>1</v>
      </c>
      <c r="G184">
        <f t="shared" si="23"/>
        <v>9</v>
      </c>
      <c r="H184">
        <f t="shared" si="24"/>
        <v>14</v>
      </c>
      <c r="I184">
        <f t="shared" si="25"/>
        <v>90</v>
      </c>
      <c r="J184" t="str">
        <f t="shared" si="26"/>
        <v>ElfPriestBra</v>
      </c>
    </row>
    <row r="185" spans="1:10" x14ac:dyDescent="0.3">
      <c r="A185" s="1" t="str">
        <f t="shared" si="28"/>
        <v>Elf</v>
      </c>
      <c r="B185" s="1" t="s">
        <v>15</v>
      </c>
      <c r="C185" s="1" t="s">
        <v>7</v>
      </c>
      <c r="D185">
        <f t="shared" si="21"/>
        <v>0</v>
      </c>
      <c r="E185">
        <f t="shared" si="22"/>
        <v>-1</v>
      </c>
      <c r="F185">
        <f t="shared" si="27"/>
        <v>-1</v>
      </c>
      <c r="G185">
        <f t="shared" si="23"/>
        <v>13</v>
      </c>
      <c r="H185">
        <f t="shared" si="24"/>
        <v>0</v>
      </c>
      <c r="I185">
        <f t="shared" si="25"/>
        <v>70</v>
      </c>
      <c r="J185" t="str">
        <f t="shared" si="26"/>
        <v>ElfPriestHP</v>
      </c>
    </row>
    <row r="186" spans="1:10" x14ac:dyDescent="0.3">
      <c r="A186" s="1" t="str">
        <f t="shared" si="28"/>
        <v>Elf</v>
      </c>
      <c r="B186" s="1" t="s">
        <v>92</v>
      </c>
      <c r="C186" s="1" t="s">
        <v>0</v>
      </c>
      <c r="D186">
        <f t="shared" si="21"/>
        <v>2</v>
      </c>
      <c r="E186">
        <f t="shared" si="22"/>
        <v>2</v>
      </c>
      <c r="F186">
        <f t="shared" si="27"/>
        <v>4</v>
      </c>
      <c r="G186">
        <f t="shared" si="23"/>
        <v>6</v>
      </c>
      <c r="H186">
        <f t="shared" si="24"/>
        <v>9</v>
      </c>
      <c r="I186">
        <f t="shared" si="25"/>
        <v>108</v>
      </c>
      <c r="J186" t="str">
        <f t="shared" si="26"/>
        <v>ElfMageMag</v>
      </c>
    </row>
    <row r="187" spans="1:10" x14ac:dyDescent="0.3">
      <c r="A187" s="1" t="str">
        <f t="shared" si="28"/>
        <v>Elf</v>
      </c>
      <c r="B187" s="1" t="s">
        <v>92</v>
      </c>
      <c r="C187" s="1" t="s">
        <v>1</v>
      </c>
      <c r="D187">
        <f t="shared" si="21"/>
        <v>-2</v>
      </c>
      <c r="E187">
        <f t="shared" si="22"/>
        <v>-7</v>
      </c>
      <c r="F187">
        <f t="shared" si="27"/>
        <v>-9</v>
      </c>
      <c r="G187">
        <f t="shared" si="23"/>
        <v>31</v>
      </c>
      <c r="H187">
        <f t="shared" si="24"/>
        <v>0</v>
      </c>
      <c r="I187">
        <f t="shared" si="25"/>
        <v>0</v>
      </c>
      <c r="J187" t="str">
        <f t="shared" si="26"/>
        <v>ElfMageDiv</v>
      </c>
    </row>
    <row r="188" spans="1:10" x14ac:dyDescent="0.3">
      <c r="A188" s="1" t="str">
        <f t="shared" si="28"/>
        <v>Elf</v>
      </c>
      <c r="B188" s="1" t="s">
        <v>92</v>
      </c>
      <c r="C188" s="1" t="s">
        <v>2</v>
      </c>
      <c r="D188">
        <f t="shared" si="21"/>
        <v>0</v>
      </c>
      <c r="E188">
        <f t="shared" si="22"/>
        <v>-3</v>
      </c>
      <c r="F188">
        <f t="shared" si="27"/>
        <v>-3</v>
      </c>
      <c r="G188">
        <f t="shared" si="23"/>
        <v>19</v>
      </c>
      <c r="H188">
        <f t="shared" si="24"/>
        <v>0</v>
      </c>
      <c r="I188">
        <f t="shared" si="25"/>
        <v>50</v>
      </c>
      <c r="J188" t="str">
        <f t="shared" si="26"/>
        <v>ElfMageStr</v>
      </c>
    </row>
    <row r="189" spans="1:10" x14ac:dyDescent="0.3">
      <c r="A189" s="1" t="str">
        <f t="shared" si="28"/>
        <v>Elf</v>
      </c>
      <c r="B189" s="1" t="s">
        <v>92</v>
      </c>
      <c r="C189" s="1" t="s">
        <v>3</v>
      </c>
      <c r="D189">
        <f t="shared" si="21"/>
        <v>0</v>
      </c>
      <c r="E189">
        <f t="shared" si="22"/>
        <v>0</v>
      </c>
      <c r="F189">
        <f t="shared" si="27"/>
        <v>0</v>
      </c>
      <c r="G189">
        <f t="shared" si="23"/>
        <v>10</v>
      </c>
      <c r="H189">
        <f t="shared" si="24"/>
        <v>0</v>
      </c>
      <c r="I189">
        <f t="shared" si="25"/>
        <v>80</v>
      </c>
      <c r="J189" t="str">
        <f t="shared" si="26"/>
        <v>ElfMageDex</v>
      </c>
    </row>
    <row r="190" spans="1:10" x14ac:dyDescent="0.3">
      <c r="A190" s="1" t="str">
        <f t="shared" si="28"/>
        <v>Elf</v>
      </c>
      <c r="B190" s="1" t="s">
        <v>92</v>
      </c>
      <c r="C190" s="1" t="s">
        <v>4</v>
      </c>
      <c r="D190">
        <f t="shared" si="21"/>
        <v>-1</v>
      </c>
      <c r="E190">
        <f t="shared" si="22"/>
        <v>-1</v>
      </c>
      <c r="F190">
        <f t="shared" si="27"/>
        <v>-2</v>
      </c>
      <c r="G190">
        <f t="shared" si="23"/>
        <v>16</v>
      </c>
      <c r="H190">
        <f t="shared" si="24"/>
        <v>0</v>
      </c>
      <c r="I190">
        <f t="shared" si="25"/>
        <v>60</v>
      </c>
      <c r="J190" t="str">
        <f t="shared" si="26"/>
        <v>ElfMageCon</v>
      </c>
    </row>
    <row r="191" spans="1:10" x14ac:dyDescent="0.3">
      <c r="A191" s="1" t="str">
        <f t="shared" si="28"/>
        <v>Elf</v>
      </c>
      <c r="B191" s="1" t="s">
        <v>92</v>
      </c>
      <c r="C191" s="1" t="s">
        <v>5</v>
      </c>
      <c r="D191">
        <f t="shared" si="21"/>
        <v>1</v>
      </c>
      <c r="E191">
        <f t="shared" si="22"/>
        <v>1</v>
      </c>
      <c r="F191">
        <f t="shared" si="27"/>
        <v>2</v>
      </c>
      <c r="G191">
        <f t="shared" si="23"/>
        <v>8</v>
      </c>
      <c r="H191">
        <f t="shared" si="24"/>
        <v>12</v>
      </c>
      <c r="I191">
        <f t="shared" si="25"/>
        <v>100</v>
      </c>
      <c r="J191" t="str">
        <f t="shared" si="26"/>
        <v>ElfMageCha</v>
      </c>
    </row>
    <row r="192" spans="1:10" x14ac:dyDescent="0.3">
      <c r="A192" s="1" t="str">
        <f t="shared" si="28"/>
        <v>Elf</v>
      </c>
      <c r="B192" s="1" t="s">
        <v>92</v>
      </c>
      <c r="C192" s="1" t="s">
        <v>6</v>
      </c>
      <c r="D192">
        <f t="shared" si="21"/>
        <v>0</v>
      </c>
      <c r="E192">
        <f t="shared" si="22"/>
        <v>3</v>
      </c>
      <c r="F192">
        <f t="shared" si="27"/>
        <v>3</v>
      </c>
      <c r="G192">
        <f t="shared" si="23"/>
        <v>7</v>
      </c>
      <c r="H192">
        <f t="shared" si="24"/>
        <v>11</v>
      </c>
      <c r="I192">
        <f t="shared" si="25"/>
        <v>105</v>
      </c>
      <c r="J192" t="str">
        <f t="shared" si="26"/>
        <v>ElfMageBra</v>
      </c>
    </row>
    <row r="193" spans="1:10" x14ac:dyDescent="0.3">
      <c r="A193" s="1" t="str">
        <f t="shared" si="28"/>
        <v>Elf</v>
      </c>
      <c r="B193" s="1" t="s">
        <v>92</v>
      </c>
      <c r="C193" s="1" t="s">
        <v>7</v>
      </c>
      <c r="D193">
        <f t="shared" si="21"/>
        <v>0</v>
      </c>
      <c r="E193">
        <f t="shared" si="22"/>
        <v>-2</v>
      </c>
      <c r="F193">
        <f t="shared" si="27"/>
        <v>-2</v>
      </c>
      <c r="G193">
        <f t="shared" si="23"/>
        <v>16</v>
      </c>
      <c r="H193">
        <f t="shared" si="24"/>
        <v>0</v>
      </c>
      <c r="I193">
        <f t="shared" si="25"/>
        <v>60</v>
      </c>
      <c r="J193" t="str">
        <f t="shared" si="26"/>
        <v>ElfMageHP</v>
      </c>
    </row>
    <row r="194" spans="1:10" x14ac:dyDescent="0.3">
      <c r="A194" s="1" t="str">
        <f t="shared" si="28"/>
        <v>Elf</v>
      </c>
      <c r="B194" s="1" t="s">
        <v>62</v>
      </c>
      <c r="C194" s="1" t="s">
        <v>0</v>
      </c>
      <c r="D194">
        <f t="shared" ref="D194:D257" si="29">INDEX(TblRaceValues,MATCH(C194, TblAbilities, 0),MATCH(A194,TblRaces,0))</f>
        <v>2</v>
      </c>
      <c r="E194">
        <f t="shared" ref="E194:E257" si="30">INDEX(TblProfessionValues,MATCH(C194,TblAbilities,0),MATCH(B194,TblProfessions,0))</f>
        <v>3</v>
      </c>
      <c r="F194">
        <f t="shared" si="27"/>
        <v>5</v>
      </c>
      <c r="G194">
        <f t="shared" ref="G194:G257" si="31">HLOOKUP(MIN(MAX(-7,F194),7),TblPracticeCost,2)</f>
        <v>5</v>
      </c>
      <c r="H194">
        <f t="shared" ref="H194:H257" si="32">HLOOKUP(MIN(MAX(-7,F194),7),TblPracticeCost,3)</f>
        <v>8</v>
      </c>
      <c r="I194">
        <f t="shared" ref="I194:I257" si="33">VLOOKUP(MIN(MAX(-7,F194),7),TblBonusMaxSkill,2)</f>
        <v>110</v>
      </c>
      <c r="J194" t="str">
        <f t="shared" si="26"/>
        <v>ElfSorcererMag</v>
      </c>
    </row>
    <row r="195" spans="1:10" x14ac:dyDescent="0.3">
      <c r="A195" s="1" t="str">
        <f t="shared" si="28"/>
        <v>Elf</v>
      </c>
      <c r="B195" s="1" t="s">
        <v>62</v>
      </c>
      <c r="C195" s="1" t="s">
        <v>1</v>
      </c>
      <c r="D195">
        <f t="shared" si="29"/>
        <v>-2</v>
      </c>
      <c r="E195">
        <f t="shared" si="30"/>
        <v>-7</v>
      </c>
      <c r="F195">
        <f t="shared" si="27"/>
        <v>-9</v>
      </c>
      <c r="G195">
        <f t="shared" si="31"/>
        <v>31</v>
      </c>
      <c r="H195">
        <f t="shared" si="32"/>
        <v>0</v>
      </c>
      <c r="I195">
        <f t="shared" si="33"/>
        <v>0</v>
      </c>
      <c r="J195" t="str">
        <f t="shared" ref="J195:J258" si="34">A195&amp;B195&amp;C195</f>
        <v>ElfSorcererDiv</v>
      </c>
    </row>
    <row r="196" spans="1:10" x14ac:dyDescent="0.3">
      <c r="A196" s="1" t="str">
        <f t="shared" si="28"/>
        <v>Elf</v>
      </c>
      <c r="B196" s="1" t="s">
        <v>62</v>
      </c>
      <c r="C196" s="1" t="s">
        <v>2</v>
      </c>
      <c r="D196">
        <f t="shared" si="29"/>
        <v>0</v>
      </c>
      <c r="E196">
        <f t="shared" si="30"/>
        <v>-3</v>
      </c>
      <c r="F196">
        <f t="shared" si="27"/>
        <v>-3</v>
      </c>
      <c r="G196">
        <f t="shared" si="31"/>
        <v>19</v>
      </c>
      <c r="H196">
        <f t="shared" si="32"/>
        <v>0</v>
      </c>
      <c r="I196">
        <f t="shared" si="33"/>
        <v>50</v>
      </c>
      <c r="J196" t="str">
        <f t="shared" si="34"/>
        <v>ElfSorcererStr</v>
      </c>
    </row>
    <row r="197" spans="1:10" x14ac:dyDescent="0.3">
      <c r="A197" s="1" t="str">
        <f t="shared" si="28"/>
        <v>Elf</v>
      </c>
      <c r="B197" s="1" t="s">
        <v>62</v>
      </c>
      <c r="C197" s="1" t="s">
        <v>3</v>
      </c>
      <c r="D197">
        <f t="shared" si="29"/>
        <v>0</v>
      </c>
      <c r="E197">
        <f t="shared" si="30"/>
        <v>0</v>
      </c>
      <c r="F197">
        <f t="shared" si="27"/>
        <v>0</v>
      </c>
      <c r="G197">
        <f t="shared" si="31"/>
        <v>10</v>
      </c>
      <c r="H197">
        <f t="shared" si="32"/>
        <v>0</v>
      </c>
      <c r="I197">
        <f t="shared" si="33"/>
        <v>80</v>
      </c>
      <c r="J197" t="str">
        <f t="shared" si="34"/>
        <v>ElfSorcererDex</v>
      </c>
    </row>
    <row r="198" spans="1:10" x14ac:dyDescent="0.3">
      <c r="A198" s="1" t="str">
        <f t="shared" si="28"/>
        <v>Elf</v>
      </c>
      <c r="B198" s="1" t="s">
        <v>62</v>
      </c>
      <c r="C198" s="1" t="s">
        <v>4</v>
      </c>
      <c r="D198">
        <f t="shared" si="29"/>
        <v>-1</v>
      </c>
      <c r="E198">
        <f t="shared" si="30"/>
        <v>-2</v>
      </c>
      <c r="F198">
        <f t="shared" si="27"/>
        <v>-3</v>
      </c>
      <c r="G198">
        <f t="shared" si="31"/>
        <v>19</v>
      </c>
      <c r="H198">
        <f t="shared" si="32"/>
        <v>0</v>
      </c>
      <c r="I198">
        <f t="shared" si="33"/>
        <v>50</v>
      </c>
      <c r="J198" t="str">
        <f t="shared" si="34"/>
        <v>ElfSorcererCon</v>
      </c>
    </row>
    <row r="199" spans="1:10" x14ac:dyDescent="0.3">
      <c r="A199" s="1" t="str">
        <f t="shared" si="28"/>
        <v>Elf</v>
      </c>
      <c r="B199" s="1" t="s">
        <v>62</v>
      </c>
      <c r="C199" s="1" t="s">
        <v>5</v>
      </c>
      <c r="D199">
        <f t="shared" si="29"/>
        <v>1</v>
      </c>
      <c r="E199">
        <f t="shared" si="30"/>
        <v>1</v>
      </c>
      <c r="F199">
        <f t="shared" si="27"/>
        <v>2</v>
      </c>
      <c r="G199">
        <f t="shared" si="31"/>
        <v>8</v>
      </c>
      <c r="H199">
        <f t="shared" si="32"/>
        <v>12</v>
      </c>
      <c r="I199">
        <f t="shared" si="33"/>
        <v>100</v>
      </c>
      <c r="J199" t="str">
        <f t="shared" si="34"/>
        <v>ElfSorcererCha</v>
      </c>
    </row>
    <row r="200" spans="1:10" x14ac:dyDescent="0.3">
      <c r="A200" s="1" t="str">
        <f t="shared" si="28"/>
        <v>Elf</v>
      </c>
      <c r="B200" s="1" t="s">
        <v>62</v>
      </c>
      <c r="C200" s="1" t="s">
        <v>6</v>
      </c>
      <c r="D200">
        <f t="shared" si="29"/>
        <v>0</v>
      </c>
      <c r="E200">
        <f t="shared" si="30"/>
        <v>2</v>
      </c>
      <c r="F200">
        <f t="shared" si="27"/>
        <v>2</v>
      </c>
      <c r="G200">
        <f t="shared" si="31"/>
        <v>8</v>
      </c>
      <c r="H200">
        <f t="shared" si="32"/>
        <v>12</v>
      </c>
      <c r="I200">
        <f t="shared" si="33"/>
        <v>100</v>
      </c>
      <c r="J200" t="str">
        <f t="shared" si="34"/>
        <v>ElfSorcererBra</v>
      </c>
    </row>
    <row r="201" spans="1:10" x14ac:dyDescent="0.3">
      <c r="A201" s="1" t="str">
        <f t="shared" si="28"/>
        <v>Elf</v>
      </c>
      <c r="B201" s="1" t="s">
        <v>62</v>
      </c>
      <c r="C201" s="1" t="s">
        <v>7</v>
      </c>
      <c r="D201">
        <f t="shared" si="29"/>
        <v>0</v>
      </c>
      <c r="E201">
        <f t="shared" si="30"/>
        <v>-1</v>
      </c>
      <c r="F201">
        <f t="shared" si="27"/>
        <v>-1</v>
      </c>
      <c r="G201">
        <f t="shared" si="31"/>
        <v>13</v>
      </c>
      <c r="H201">
        <f t="shared" si="32"/>
        <v>0</v>
      </c>
      <c r="I201">
        <f t="shared" si="33"/>
        <v>70</v>
      </c>
      <c r="J201" t="str">
        <f t="shared" si="34"/>
        <v>ElfSorcererHP</v>
      </c>
    </row>
    <row r="202" spans="1:10" x14ac:dyDescent="0.3">
      <c r="A202" s="1" t="str">
        <f t="shared" si="28"/>
        <v>Elf</v>
      </c>
      <c r="B202" s="1" t="s">
        <v>22</v>
      </c>
      <c r="C202" s="1" t="s">
        <v>0</v>
      </c>
      <c r="D202">
        <f t="shared" si="29"/>
        <v>2</v>
      </c>
      <c r="E202">
        <f t="shared" si="30"/>
        <v>-5</v>
      </c>
      <c r="F202">
        <f t="shared" si="27"/>
        <v>-3</v>
      </c>
      <c r="G202">
        <f t="shared" si="31"/>
        <v>19</v>
      </c>
      <c r="H202">
        <f t="shared" si="32"/>
        <v>0</v>
      </c>
      <c r="I202">
        <f t="shared" si="33"/>
        <v>50</v>
      </c>
      <c r="J202" t="str">
        <f t="shared" si="34"/>
        <v>ElfBarbarianMag</v>
      </c>
    </row>
    <row r="203" spans="1:10" x14ac:dyDescent="0.3">
      <c r="A203" s="1" t="str">
        <f t="shared" si="28"/>
        <v>Elf</v>
      </c>
      <c r="B203" s="1" t="s">
        <v>22</v>
      </c>
      <c r="C203" s="1" t="s">
        <v>1</v>
      </c>
      <c r="D203">
        <f t="shared" si="29"/>
        <v>-2</v>
      </c>
      <c r="E203">
        <f t="shared" si="30"/>
        <v>-7</v>
      </c>
      <c r="F203">
        <f t="shared" si="27"/>
        <v>-9</v>
      </c>
      <c r="G203">
        <f t="shared" si="31"/>
        <v>31</v>
      </c>
      <c r="H203">
        <f t="shared" si="32"/>
        <v>0</v>
      </c>
      <c r="I203">
        <f t="shared" si="33"/>
        <v>0</v>
      </c>
      <c r="J203" t="str">
        <f t="shared" si="34"/>
        <v>ElfBarbarianDiv</v>
      </c>
    </row>
    <row r="204" spans="1:10" x14ac:dyDescent="0.3">
      <c r="A204" s="1" t="str">
        <f t="shared" si="28"/>
        <v>Elf</v>
      </c>
      <c r="B204" s="1" t="s">
        <v>22</v>
      </c>
      <c r="C204" s="1" t="s">
        <v>2</v>
      </c>
      <c r="D204">
        <f t="shared" si="29"/>
        <v>0</v>
      </c>
      <c r="E204">
        <f t="shared" si="30"/>
        <v>3</v>
      </c>
      <c r="F204">
        <f t="shared" si="27"/>
        <v>3</v>
      </c>
      <c r="G204">
        <f t="shared" si="31"/>
        <v>7</v>
      </c>
      <c r="H204">
        <f t="shared" si="32"/>
        <v>11</v>
      </c>
      <c r="I204">
        <f t="shared" si="33"/>
        <v>105</v>
      </c>
      <c r="J204" t="str">
        <f t="shared" si="34"/>
        <v>ElfBarbarianStr</v>
      </c>
    </row>
    <row r="205" spans="1:10" x14ac:dyDescent="0.3">
      <c r="A205" s="1" t="str">
        <f t="shared" si="28"/>
        <v>Elf</v>
      </c>
      <c r="B205" s="1" t="s">
        <v>22</v>
      </c>
      <c r="C205" s="1" t="s">
        <v>3</v>
      </c>
      <c r="D205">
        <f t="shared" si="29"/>
        <v>0</v>
      </c>
      <c r="E205">
        <f t="shared" si="30"/>
        <v>2</v>
      </c>
      <c r="F205">
        <f t="shared" si="27"/>
        <v>2</v>
      </c>
      <c r="G205">
        <f t="shared" si="31"/>
        <v>8</v>
      </c>
      <c r="H205">
        <f t="shared" si="32"/>
        <v>12</v>
      </c>
      <c r="I205">
        <f t="shared" si="33"/>
        <v>100</v>
      </c>
      <c r="J205" t="str">
        <f t="shared" si="34"/>
        <v>ElfBarbarianDex</v>
      </c>
    </row>
    <row r="206" spans="1:10" x14ac:dyDescent="0.3">
      <c r="A206" s="1" t="str">
        <f t="shared" si="28"/>
        <v>Elf</v>
      </c>
      <c r="B206" s="1" t="s">
        <v>22</v>
      </c>
      <c r="C206" s="1" t="s">
        <v>4</v>
      </c>
      <c r="D206">
        <f t="shared" si="29"/>
        <v>-1</v>
      </c>
      <c r="E206">
        <f t="shared" si="30"/>
        <v>0</v>
      </c>
      <c r="F206">
        <f t="shared" si="27"/>
        <v>-1</v>
      </c>
      <c r="G206">
        <f t="shared" si="31"/>
        <v>13</v>
      </c>
      <c r="H206">
        <f t="shared" si="32"/>
        <v>0</v>
      </c>
      <c r="I206">
        <f t="shared" si="33"/>
        <v>70</v>
      </c>
      <c r="J206" t="str">
        <f t="shared" si="34"/>
        <v>ElfBarbarianCon</v>
      </c>
    </row>
    <row r="207" spans="1:10" x14ac:dyDescent="0.3">
      <c r="A207" s="1" t="str">
        <f t="shared" si="28"/>
        <v>Elf</v>
      </c>
      <c r="B207" s="1" t="s">
        <v>22</v>
      </c>
      <c r="C207" s="1" t="s">
        <v>5</v>
      </c>
      <c r="D207">
        <f t="shared" si="29"/>
        <v>1</v>
      </c>
      <c r="E207">
        <f t="shared" si="30"/>
        <v>-1</v>
      </c>
      <c r="F207">
        <f t="shared" si="27"/>
        <v>0</v>
      </c>
      <c r="G207">
        <f t="shared" si="31"/>
        <v>10</v>
      </c>
      <c r="H207">
        <f t="shared" si="32"/>
        <v>0</v>
      </c>
      <c r="I207">
        <f t="shared" si="33"/>
        <v>80</v>
      </c>
      <c r="J207" t="str">
        <f t="shared" si="34"/>
        <v>ElfBarbarianCha</v>
      </c>
    </row>
    <row r="208" spans="1:10" x14ac:dyDescent="0.3">
      <c r="A208" s="1" t="str">
        <f t="shared" si="28"/>
        <v>Elf</v>
      </c>
      <c r="B208" s="1" t="s">
        <v>22</v>
      </c>
      <c r="C208" s="1" t="s">
        <v>6</v>
      </c>
      <c r="D208">
        <f t="shared" si="29"/>
        <v>0</v>
      </c>
      <c r="E208">
        <f t="shared" si="30"/>
        <v>-2</v>
      </c>
      <c r="F208">
        <f t="shared" si="27"/>
        <v>-2</v>
      </c>
      <c r="G208">
        <f t="shared" si="31"/>
        <v>16</v>
      </c>
      <c r="H208">
        <f t="shared" si="32"/>
        <v>0</v>
      </c>
      <c r="I208">
        <f t="shared" si="33"/>
        <v>60</v>
      </c>
      <c r="J208" t="str">
        <f t="shared" si="34"/>
        <v>ElfBarbarianBra</v>
      </c>
    </row>
    <row r="209" spans="1:10" x14ac:dyDescent="0.3">
      <c r="A209" s="1" t="str">
        <f t="shared" si="28"/>
        <v>Elf</v>
      </c>
      <c r="B209" s="1" t="s">
        <v>22</v>
      </c>
      <c r="C209" s="1" t="s">
        <v>7</v>
      </c>
      <c r="D209">
        <f t="shared" si="29"/>
        <v>0</v>
      </c>
      <c r="E209">
        <f t="shared" si="30"/>
        <v>1</v>
      </c>
      <c r="F209">
        <f t="shared" si="27"/>
        <v>1</v>
      </c>
      <c r="G209">
        <f t="shared" si="31"/>
        <v>9</v>
      </c>
      <c r="H209">
        <f t="shared" si="32"/>
        <v>14</v>
      </c>
      <c r="I209">
        <f t="shared" si="33"/>
        <v>90</v>
      </c>
      <c r="J209" t="str">
        <f t="shared" si="34"/>
        <v>ElfBarbarianHP</v>
      </c>
    </row>
    <row r="210" spans="1:10" x14ac:dyDescent="0.3">
      <c r="A210" s="1" t="s">
        <v>19</v>
      </c>
      <c r="B210" s="1" t="s">
        <v>8</v>
      </c>
      <c r="C210" s="1" t="s">
        <v>0</v>
      </c>
      <c r="D210">
        <f t="shared" si="29"/>
        <v>-3</v>
      </c>
      <c r="E210">
        <f t="shared" si="30"/>
        <v>-7</v>
      </c>
      <c r="F210">
        <f t="shared" ref="F210:F218" si="35">E210+D210</f>
        <v>-10</v>
      </c>
      <c r="G210">
        <f t="shared" si="31"/>
        <v>31</v>
      </c>
      <c r="H210">
        <f t="shared" si="32"/>
        <v>0</v>
      </c>
      <c r="I210">
        <f t="shared" si="33"/>
        <v>0</v>
      </c>
      <c r="J210" t="str">
        <f t="shared" si="34"/>
        <v>DwarfFighterMag</v>
      </c>
    </row>
    <row r="211" spans="1:10" x14ac:dyDescent="0.3">
      <c r="A211" s="1" t="str">
        <f>A210</f>
        <v>Dwarf</v>
      </c>
      <c r="B211" s="1" t="s">
        <v>8</v>
      </c>
      <c r="C211" s="1" t="s">
        <v>1</v>
      </c>
      <c r="D211">
        <f t="shared" si="29"/>
        <v>0</v>
      </c>
      <c r="E211">
        <f t="shared" si="30"/>
        <v>-5</v>
      </c>
      <c r="F211">
        <f t="shared" si="35"/>
        <v>-5</v>
      </c>
      <c r="G211">
        <f t="shared" si="31"/>
        <v>25</v>
      </c>
      <c r="H211">
        <f t="shared" si="32"/>
        <v>0</v>
      </c>
      <c r="I211">
        <f t="shared" si="33"/>
        <v>30</v>
      </c>
      <c r="J211" t="str">
        <f t="shared" si="34"/>
        <v>DwarfFighterDiv</v>
      </c>
    </row>
    <row r="212" spans="1:10" x14ac:dyDescent="0.3">
      <c r="A212" s="1" t="str">
        <f t="shared" ref="A212:A275" si="36">A211</f>
        <v>Dwarf</v>
      </c>
      <c r="B212" s="1" t="s">
        <v>8</v>
      </c>
      <c r="C212" s="1" t="s">
        <v>2</v>
      </c>
      <c r="D212">
        <f t="shared" si="29"/>
        <v>3</v>
      </c>
      <c r="E212">
        <f t="shared" si="30"/>
        <v>2</v>
      </c>
      <c r="F212">
        <f t="shared" si="35"/>
        <v>5</v>
      </c>
      <c r="G212">
        <f t="shared" si="31"/>
        <v>5</v>
      </c>
      <c r="H212">
        <f t="shared" si="32"/>
        <v>8</v>
      </c>
      <c r="I212">
        <f t="shared" si="33"/>
        <v>110</v>
      </c>
      <c r="J212" t="str">
        <f t="shared" si="34"/>
        <v>DwarfFighterStr</v>
      </c>
    </row>
    <row r="213" spans="1:10" x14ac:dyDescent="0.3">
      <c r="A213" s="1" t="str">
        <f t="shared" si="36"/>
        <v>Dwarf</v>
      </c>
      <c r="B213" s="1" t="s">
        <v>8</v>
      </c>
      <c r="C213" s="1" t="s">
        <v>3</v>
      </c>
      <c r="D213">
        <f t="shared" si="29"/>
        <v>-1</v>
      </c>
      <c r="E213">
        <f t="shared" si="30"/>
        <v>0</v>
      </c>
      <c r="F213">
        <f t="shared" si="35"/>
        <v>-1</v>
      </c>
      <c r="G213">
        <f t="shared" si="31"/>
        <v>13</v>
      </c>
      <c r="H213">
        <f t="shared" si="32"/>
        <v>0</v>
      </c>
      <c r="I213">
        <f t="shared" si="33"/>
        <v>70</v>
      </c>
      <c r="J213" t="str">
        <f t="shared" si="34"/>
        <v>DwarfFighterDex</v>
      </c>
    </row>
    <row r="214" spans="1:10" x14ac:dyDescent="0.3">
      <c r="A214" s="1" t="str">
        <f t="shared" si="36"/>
        <v>Dwarf</v>
      </c>
      <c r="B214" s="1" t="s">
        <v>8</v>
      </c>
      <c r="C214" s="1" t="s">
        <v>4</v>
      </c>
      <c r="D214">
        <f t="shared" si="29"/>
        <v>1</v>
      </c>
      <c r="E214">
        <f t="shared" si="30"/>
        <v>1</v>
      </c>
      <c r="F214">
        <f t="shared" si="35"/>
        <v>2</v>
      </c>
      <c r="G214">
        <f t="shared" si="31"/>
        <v>8</v>
      </c>
      <c r="H214">
        <f t="shared" si="32"/>
        <v>12</v>
      </c>
      <c r="I214">
        <f t="shared" si="33"/>
        <v>100</v>
      </c>
      <c r="J214" t="str">
        <f t="shared" si="34"/>
        <v>DwarfFighterCon</v>
      </c>
    </row>
    <row r="215" spans="1:10" x14ac:dyDescent="0.3">
      <c r="A215" s="1" t="str">
        <f t="shared" si="36"/>
        <v>Dwarf</v>
      </c>
      <c r="B215" s="1" t="s">
        <v>8</v>
      </c>
      <c r="C215" s="1" t="s">
        <v>5</v>
      </c>
      <c r="D215">
        <f t="shared" si="29"/>
        <v>-2</v>
      </c>
      <c r="E215">
        <f t="shared" si="30"/>
        <v>-2</v>
      </c>
      <c r="F215">
        <f t="shared" si="35"/>
        <v>-4</v>
      </c>
      <c r="G215">
        <f t="shared" si="31"/>
        <v>22</v>
      </c>
      <c r="H215">
        <f t="shared" si="32"/>
        <v>0</v>
      </c>
      <c r="I215">
        <f t="shared" si="33"/>
        <v>40</v>
      </c>
      <c r="J215" t="str">
        <f t="shared" si="34"/>
        <v>DwarfFighterCha</v>
      </c>
    </row>
    <row r="216" spans="1:10" x14ac:dyDescent="0.3">
      <c r="A216" s="1" t="str">
        <f t="shared" si="36"/>
        <v>Dwarf</v>
      </c>
      <c r="B216" s="1" t="s">
        <v>8</v>
      </c>
      <c r="C216" s="1" t="s">
        <v>6</v>
      </c>
      <c r="D216">
        <f t="shared" si="29"/>
        <v>0</v>
      </c>
      <c r="E216">
        <f t="shared" si="30"/>
        <v>-1</v>
      </c>
      <c r="F216">
        <f t="shared" si="35"/>
        <v>-1</v>
      </c>
      <c r="G216">
        <f t="shared" si="31"/>
        <v>13</v>
      </c>
      <c r="H216">
        <f t="shared" si="32"/>
        <v>0</v>
      </c>
      <c r="I216">
        <f t="shared" si="33"/>
        <v>70</v>
      </c>
      <c r="J216" t="str">
        <f t="shared" si="34"/>
        <v>DwarfFighterBra</v>
      </c>
    </row>
    <row r="217" spans="1:10" x14ac:dyDescent="0.3">
      <c r="A217" s="1" t="str">
        <f t="shared" si="36"/>
        <v>Dwarf</v>
      </c>
      <c r="B217" s="1" t="s">
        <v>8</v>
      </c>
      <c r="C217" s="1" t="s">
        <v>7</v>
      </c>
      <c r="D217">
        <f t="shared" si="29"/>
        <v>2</v>
      </c>
      <c r="E217">
        <f t="shared" si="30"/>
        <v>3</v>
      </c>
      <c r="F217">
        <f t="shared" si="35"/>
        <v>5</v>
      </c>
      <c r="G217">
        <f t="shared" si="31"/>
        <v>5</v>
      </c>
      <c r="H217">
        <f t="shared" si="32"/>
        <v>8</v>
      </c>
      <c r="I217">
        <f t="shared" si="33"/>
        <v>110</v>
      </c>
      <c r="J217" t="str">
        <f t="shared" si="34"/>
        <v>DwarfFighterHP</v>
      </c>
    </row>
    <row r="218" spans="1:10" x14ac:dyDescent="0.3">
      <c r="A218" s="1" t="str">
        <f t="shared" si="36"/>
        <v>Dwarf</v>
      </c>
      <c r="B218" s="1" t="s">
        <v>9</v>
      </c>
      <c r="C218" s="1" t="s">
        <v>0</v>
      </c>
      <c r="D218">
        <f t="shared" si="29"/>
        <v>-3</v>
      </c>
      <c r="E218">
        <f t="shared" si="30"/>
        <v>-7</v>
      </c>
      <c r="F218">
        <f t="shared" si="35"/>
        <v>-10</v>
      </c>
      <c r="G218">
        <f t="shared" si="31"/>
        <v>31</v>
      </c>
      <c r="H218">
        <f t="shared" si="32"/>
        <v>0</v>
      </c>
      <c r="I218">
        <f t="shared" si="33"/>
        <v>0</v>
      </c>
      <c r="J218" t="str">
        <f t="shared" si="34"/>
        <v>DwarfKnightMag</v>
      </c>
    </row>
    <row r="219" spans="1:10" x14ac:dyDescent="0.3">
      <c r="A219" s="1" t="str">
        <f t="shared" si="36"/>
        <v>Dwarf</v>
      </c>
      <c r="B219" s="1" t="s">
        <v>9</v>
      </c>
      <c r="C219" s="1" t="s">
        <v>1</v>
      </c>
      <c r="D219">
        <f t="shared" si="29"/>
        <v>0</v>
      </c>
      <c r="E219">
        <f t="shared" si="30"/>
        <v>0</v>
      </c>
      <c r="F219">
        <f t="shared" ref="F219:F282" si="37">E219+D219</f>
        <v>0</v>
      </c>
      <c r="G219">
        <f t="shared" si="31"/>
        <v>10</v>
      </c>
      <c r="H219">
        <f t="shared" si="32"/>
        <v>0</v>
      </c>
      <c r="I219">
        <f t="shared" si="33"/>
        <v>80</v>
      </c>
      <c r="J219" t="str">
        <f t="shared" si="34"/>
        <v>DwarfKnightDiv</v>
      </c>
    </row>
    <row r="220" spans="1:10" x14ac:dyDescent="0.3">
      <c r="A220" s="1" t="str">
        <f t="shared" si="36"/>
        <v>Dwarf</v>
      </c>
      <c r="B220" s="1" t="s">
        <v>9</v>
      </c>
      <c r="C220" s="1" t="s">
        <v>2</v>
      </c>
      <c r="D220">
        <f t="shared" si="29"/>
        <v>3</v>
      </c>
      <c r="E220">
        <f t="shared" si="30"/>
        <v>2</v>
      </c>
      <c r="F220">
        <f t="shared" si="37"/>
        <v>5</v>
      </c>
      <c r="G220">
        <f t="shared" si="31"/>
        <v>5</v>
      </c>
      <c r="H220">
        <f t="shared" si="32"/>
        <v>8</v>
      </c>
      <c r="I220">
        <f t="shared" si="33"/>
        <v>110</v>
      </c>
      <c r="J220" t="str">
        <f t="shared" si="34"/>
        <v>DwarfKnightStr</v>
      </c>
    </row>
    <row r="221" spans="1:10" x14ac:dyDescent="0.3">
      <c r="A221" s="1" t="str">
        <f t="shared" si="36"/>
        <v>Dwarf</v>
      </c>
      <c r="B221" s="1" t="s">
        <v>9</v>
      </c>
      <c r="C221" s="1" t="s">
        <v>3</v>
      </c>
      <c r="D221">
        <f t="shared" si="29"/>
        <v>-1</v>
      </c>
      <c r="E221">
        <f t="shared" si="30"/>
        <v>-1</v>
      </c>
      <c r="F221">
        <f t="shared" si="37"/>
        <v>-2</v>
      </c>
      <c r="G221">
        <f t="shared" si="31"/>
        <v>16</v>
      </c>
      <c r="H221">
        <f t="shared" si="32"/>
        <v>0</v>
      </c>
      <c r="I221">
        <f t="shared" si="33"/>
        <v>60</v>
      </c>
      <c r="J221" t="str">
        <f t="shared" si="34"/>
        <v>DwarfKnightDex</v>
      </c>
    </row>
    <row r="222" spans="1:10" x14ac:dyDescent="0.3">
      <c r="A222" s="1" t="str">
        <f t="shared" si="36"/>
        <v>Dwarf</v>
      </c>
      <c r="B222" s="1" t="s">
        <v>9</v>
      </c>
      <c r="C222" s="1" t="s">
        <v>4</v>
      </c>
      <c r="D222">
        <f t="shared" si="29"/>
        <v>1</v>
      </c>
      <c r="E222">
        <f t="shared" si="30"/>
        <v>0</v>
      </c>
      <c r="F222">
        <f t="shared" si="37"/>
        <v>1</v>
      </c>
      <c r="G222">
        <f t="shared" si="31"/>
        <v>9</v>
      </c>
      <c r="H222">
        <f t="shared" si="32"/>
        <v>14</v>
      </c>
      <c r="I222">
        <f t="shared" si="33"/>
        <v>90</v>
      </c>
      <c r="J222" t="str">
        <f t="shared" si="34"/>
        <v>DwarfKnightCon</v>
      </c>
    </row>
    <row r="223" spans="1:10" x14ac:dyDescent="0.3">
      <c r="A223" s="1" t="str">
        <f t="shared" si="36"/>
        <v>Dwarf</v>
      </c>
      <c r="B223" s="1" t="s">
        <v>9</v>
      </c>
      <c r="C223" s="1" t="s">
        <v>5</v>
      </c>
      <c r="D223">
        <f t="shared" si="29"/>
        <v>-2</v>
      </c>
      <c r="E223">
        <f t="shared" si="30"/>
        <v>-2</v>
      </c>
      <c r="F223">
        <f t="shared" si="37"/>
        <v>-4</v>
      </c>
      <c r="G223">
        <f t="shared" si="31"/>
        <v>22</v>
      </c>
      <c r="H223">
        <f t="shared" si="32"/>
        <v>0</v>
      </c>
      <c r="I223">
        <f t="shared" si="33"/>
        <v>40</v>
      </c>
      <c r="J223" t="str">
        <f t="shared" si="34"/>
        <v>DwarfKnightCha</v>
      </c>
    </row>
    <row r="224" spans="1:10" x14ac:dyDescent="0.3">
      <c r="A224" s="1" t="str">
        <f t="shared" si="36"/>
        <v>Dwarf</v>
      </c>
      <c r="B224" s="1" t="s">
        <v>9</v>
      </c>
      <c r="C224" s="1" t="s">
        <v>6</v>
      </c>
      <c r="D224">
        <f t="shared" si="29"/>
        <v>0</v>
      </c>
      <c r="E224">
        <f t="shared" si="30"/>
        <v>0</v>
      </c>
      <c r="F224">
        <f t="shared" si="37"/>
        <v>0</v>
      </c>
      <c r="G224">
        <f t="shared" si="31"/>
        <v>10</v>
      </c>
      <c r="H224">
        <f t="shared" si="32"/>
        <v>0</v>
      </c>
      <c r="I224">
        <f t="shared" si="33"/>
        <v>80</v>
      </c>
      <c r="J224" t="str">
        <f t="shared" si="34"/>
        <v>DwarfKnightBra</v>
      </c>
    </row>
    <row r="225" spans="1:10" x14ac:dyDescent="0.3">
      <c r="A225" s="1" t="str">
        <f t="shared" si="36"/>
        <v>Dwarf</v>
      </c>
      <c r="B225" s="1" t="s">
        <v>9</v>
      </c>
      <c r="C225" s="1" t="s">
        <v>7</v>
      </c>
      <c r="D225">
        <f t="shared" si="29"/>
        <v>2</v>
      </c>
      <c r="E225">
        <f t="shared" si="30"/>
        <v>1</v>
      </c>
      <c r="F225">
        <f t="shared" si="37"/>
        <v>3</v>
      </c>
      <c r="G225">
        <f t="shared" si="31"/>
        <v>7</v>
      </c>
      <c r="H225">
        <f t="shared" si="32"/>
        <v>11</v>
      </c>
      <c r="I225">
        <f t="shared" si="33"/>
        <v>105</v>
      </c>
      <c r="J225" t="str">
        <f t="shared" si="34"/>
        <v>DwarfKnightHP</v>
      </c>
    </row>
    <row r="226" spans="1:10" x14ac:dyDescent="0.3">
      <c r="A226" s="1" t="str">
        <f t="shared" si="36"/>
        <v>Dwarf</v>
      </c>
      <c r="B226" s="1" t="s">
        <v>10</v>
      </c>
      <c r="C226" s="1" t="s">
        <v>0</v>
      </c>
      <c r="D226">
        <f t="shared" si="29"/>
        <v>-3</v>
      </c>
      <c r="E226">
        <f t="shared" si="30"/>
        <v>-7</v>
      </c>
      <c r="F226">
        <f t="shared" si="37"/>
        <v>-10</v>
      </c>
      <c r="G226">
        <f t="shared" si="31"/>
        <v>31</v>
      </c>
      <c r="H226">
        <f t="shared" si="32"/>
        <v>0</v>
      </c>
      <c r="I226">
        <f t="shared" si="33"/>
        <v>0</v>
      </c>
      <c r="J226" t="str">
        <f t="shared" si="34"/>
        <v>DwarfPaladinMag</v>
      </c>
    </row>
    <row r="227" spans="1:10" x14ac:dyDescent="0.3">
      <c r="A227" s="1" t="str">
        <f t="shared" si="36"/>
        <v>Dwarf</v>
      </c>
      <c r="B227" s="1" t="s">
        <v>10</v>
      </c>
      <c r="C227" s="1" t="s">
        <v>1</v>
      </c>
      <c r="D227">
        <f t="shared" si="29"/>
        <v>0</v>
      </c>
      <c r="E227">
        <f t="shared" si="30"/>
        <v>0</v>
      </c>
      <c r="F227">
        <f t="shared" si="37"/>
        <v>0</v>
      </c>
      <c r="G227">
        <f t="shared" si="31"/>
        <v>10</v>
      </c>
      <c r="H227">
        <f t="shared" si="32"/>
        <v>0</v>
      </c>
      <c r="I227">
        <f t="shared" si="33"/>
        <v>80</v>
      </c>
      <c r="J227" t="str">
        <f t="shared" si="34"/>
        <v>DwarfPaladinDiv</v>
      </c>
    </row>
    <row r="228" spans="1:10" x14ac:dyDescent="0.3">
      <c r="A228" s="1" t="str">
        <f t="shared" si="36"/>
        <v>Dwarf</v>
      </c>
      <c r="B228" s="1" t="s">
        <v>10</v>
      </c>
      <c r="C228" s="1" t="s">
        <v>2</v>
      </c>
      <c r="D228">
        <f t="shared" si="29"/>
        <v>3</v>
      </c>
      <c r="E228">
        <f t="shared" si="30"/>
        <v>2</v>
      </c>
      <c r="F228">
        <f t="shared" si="37"/>
        <v>5</v>
      </c>
      <c r="G228">
        <f t="shared" si="31"/>
        <v>5</v>
      </c>
      <c r="H228">
        <f t="shared" si="32"/>
        <v>8</v>
      </c>
      <c r="I228">
        <f t="shared" si="33"/>
        <v>110</v>
      </c>
      <c r="J228" t="str">
        <f t="shared" si="34"/>
        <v>DwarfPaladinStr</v>
      </c>
    </row>
    <row r="229" spans="1:10" x14ac:dyDescent="0.3">
      <c r="A229" s="1" t="str">
        <f t="shared" si="36"/>
        <v>Dwarf</v>
      </c>
      <c r="B229" s="1" t="s">
        <v>10</v>
      </c>
      <c r="C229" s="1" t="s">
        <v>3</v>
      </c>
      <c r="D229">
        <f t="shared" si="29"/>
        <v>-1</v>
      </c>
      <c r="E229">
        <f t="shared" si="30"/>
        <v>-1</v>
      </c>
      <c r="F229">
        <f t="shared" si="37"/>
        <v>-2</v>
      </c>
      <c r="G229">
        <f t="shared" si="31"/>
        <v>16</v>
      </c>
      <c r="H229">
        <f t="shared" si="32"/>
        <v>0</v>
      </c>
      <c r="I229">
        <f t="shared" si="33"/>
        <v>60</v>
      </c>
      <c r="J229" t="str">
        <f t="shared" si="34"/>
        <v>DwarfPaladinDex</v>
      </c>
    </row>
    <row r="230" spans="1:10" x14ac:dyDescent="0.3">
      <c r="A230" s="1" t="str">
        <f t="shared" si="36"/>
        <v>Dwarf</v>
      </c>
      <c r="B230" s="1" t="s">
        <v>10</v>
      </c>
      <c r="C230" s="1" t="s">
        <v>4</v>
      </c>
      <c r="D230">
        <f t="shared" si="29"/>
        <v>1</v>
      </c>
      <c r="E230">
        <f t="shared" si="30"/>
        <v>0</v>
      </c>
      <c r="F230">
        <f t="shared" si="37"/>
        <v>1</v>
      </c>
      <c r="G230">
        <f t="shared" si="31"/>
        <v>9</v>
      </c>
      <c r="H230">
        <f t="shared" si="32"/>
        <v>14</v>
      </c>
      <c r="I230">
        <f t="shared" si="33"/>
        <v>90</v>
      </c>
      <c r="J230" t="str">
        <f t="shared" si="34"/>
        <v>DwarfPaladinCon</v>
      </c>
    </row>
    <row r="231" spans="1:10" x14ac:dyDescent="0.3">
      <c r="A231" s="1" t="str">
        <f t="shared" si="36"/>
        <v>Dwarf</v>
      </c>
      <c r="B231" s="1" t="s">
        <v>10</v>
      </c>
      <c r="C231" s="1" t="s">
        <v>5</v>
      </c>
      <c r="D231">
        <f t="shared" si="29"/>
        <v>-2</v>
      </c>
      <c r="E231">
        <f t="shared" si="30"/>
        <v>-2</v>
      </c>
      <c r="F231">
        <f t="shared" si="37"/>
        <v>-4</v>
      </c>
      <c r="G231">
        <f t="shared" si="31"/>
        <v>22</v>
      </c>
      <c r="H231">
        <f t="shared" si="32"/>
        <v>0</v>
      </c>
      <c r="I231">
        <f t="shared" si="33"/>
        <v>40</v>
      </c>
      <c r="J231" t="str">
        <f t="shared" si="34"/>
        <v>DwarfPaladinCha</v>
      </c>
    </row>
    <row r="232" spans="1:10" x14ac:dyDescent="0.3">
      <c r="A232" s="1" t="str">
        <f t="shared" si="36"/>
        <v>Dwarf</v>
      </c>
      <c r="B232" s="1" t="s">
        <v>10</v>
      </c>
      <c r="C232" s="1" t="s">
        <v>6</v>
      </c>
      <c r="D232">
        <f t="shared" si="29"/>
        <v>0</v>
      </c>
      <c r="E232">
        <f t="shared" si="30"/>
        <v>0</v>
      </c>
      <c r="F232">
        <f t="shared" si="37"/>
        <v>0</v>
      </c>
      <c r="G232">
        <f t="shared" si="31"/>
        <v>10</v>
      </c>
      <c r="H232">
        <f t="shared" si="32"/>
        <v>0</v>
      </c>
      <c r="I232">
        <f t="shared" si="33"/>
        <v>80</v>
      </c>
      <c r="J232" t="str">
        <f t="shared" si="34"/>
        <v>DwarfPaladinBra</v>
      </c>
    </row>
    <row r="233" spans="1:10" x14ac:dyDescent="0.3">
      <c r="A233" s="1" t="str">
        <f t="shared" si="36"/>
        <v>Dwarf</v>
      </c>
      <c r="B233" s="1" t="s">
        <v>10</v>
      </c>
      <c r="C233" s="1" t="s">
        <v>7</v>
      </c>
      <c r="D233">
        <f t="shared" si="29"/>
        <v>2</v>
      </c>
      <c r="E233">
        <f t="shared" si="30"/>
        <v>1</v>
      </c>
      <c r="F233">
        <f t="shared" si="37"/>
        <v>3</v>
      </c>
      <c r="G233">
        <f t="shared" si="31"/>
        <v>7</v>
      </c>
      <c r="H233">
        <f t="shared" si="32"/>
        <v>11</v>
      </c>
      <c r="I233">
        <f t="shared" si="33"/>
        <v>105</v>
      </c>
      <c r="J233" t="str">
        <f t="shared" si="34"/>
        <v>DwarfPaladinHP</v>
      </c>
    </row>
    <row r="234" spans="1:10" x14ac:dyDescent="0.3">
      <c r="A234" s="1" t="str">
        <f t="shared" si="36"/>
        <v>Dwarf</v>
      </c>
      <c r="B234" s="1" t="s">
        <v>11</v>
      </c>
      <c r="C234" s="1" t="s">
        <v>0</v>
      </c>
      <c r="D234">
        <f t="shared" si="29"/>
        <v>-3</v>
      </c>
      <c r="E234">
        <f t="shared" si="30"/>
        <v>-7</v>
      </c>
      <c r="F234">
        <f t="shared" si="37"/>
        <v>-10</v>
      </c>
      <c r="G234">
        <f t="shared" si="31"/>
        <v>31</v>
      </c>
      <c r="H234">
        <f t="shared" si="32"/>
        <v>0</v>
      </c>
      <c r="I234">
        <f t="shared" si="33"/>
        <v>0</v>
      </c>
      <c r="J234" t="str">
        <f t="shared" si="34"/>
        <v>DwarfRangerMag</v>
      </c>
    </row>
    <row r="235" spans="1:10" x14ac:dyDescent="0.3">
      <c r="A235" s="1" t="str">
        <f t="shared" si="36"/>
        <v>Dwarf</v>
      </c>
      <c r="B235" s="1" t="s">
        <v>11</v>
      </c>
      <c r="C235" s="1" t="s">
        <v>1</v>
      </c>
      <c r="D235">
        <f t="shared" si="29"/>
        <v>0</v>
      </c>
      <c r="E235">
        <f t="shared" si="30"/>
        <v>0</v>
      </c>
      <c r="F235">
        <f t="shared" si="37"/>
        <v>0</v>
      </c>
      <c r="G235">
        <f t="shared" si="31"/>
        <v>10</v>
      </c>
      <c r="H235">
        <f t="shared" si="32"/>
        <v>0</v>
      </c>
      <c r="I235">
        <f t="shared" si="33"/>
        <v>80</v>
      </c>
      <c r="J235" t="str">
        <f t="shared" si="34"/>
        <v>DwarfRangerDiv</v>
      </c>
    </row>
    <row r="236" spans="1:10" x14ac:dyDescent="0.3">
      <c r="A236" s="1" t="str">
        <f t="shared" si="36"/>
        <v>Dwarf</v>
      </c>
      <c r="B236" s="1" t="s">
        <v>11</v>
      </c>
      <c r="C236" s="1" t="s">
        <v>2</v>
      </c>
      <c r="D236">
        <f t="shared" si="29"/>
        <v>3</v>
      </c>
      <c r="E236">
        <f t="shared" si="30"/>
        <v>1</v>
      </c>
      <c r="F236">
        <f t="shared" si="37"/>
        <v>4</v>
      </c>
      <c r="G236">
        <f t="shared" si="31"/>
        <v>6</v>
      </c>
      <c r="H236">
        <f t="shared" si="32"/>
        <v>9</v>
      </c>
      <c r="I236">
        <f t="shared" si="33"/>
        <v>108</v>
      </c>
      <c r="J236" t="str">
        <f t="shared" si="34"/>
        <v>DwarfRangerStr</v>
      </c>
    </row>
    <row r="237" spans="1:10" x14ac:dyDescent="0.3">
      <c r="A237" s="1" t="str">
        <f t="shared" si="36"/>
        <v>Dwarf</v>
      </c>
      <c r="B237" s="1" t="s">
        <v>11</v>
      </c>
      <c r="C237" s="1" t="s">
        <v>3</v>
      </c>
      <c r="D237">
        <f t="shared" si="29"/>
        <v>-1</v>
      </c>
      <c r="E237">
        <f t="shared" si="30"/>
        <v>2</v>
      </c>
      <c r="F237">
        <f t="shared" si="37"/>
        <v>1</v>
      </c>
      <c r="G237">
        <f t="shared" si="31"/>
        <v>9</v>
      </c>
      <c r="H237">
        <f t="shared" si="32"/>
        <v>14</v>
      </c>
      <c r="I237">
        <f t="shared" si="33"/>
        <v>90</v>
      </c>
      <c r="J237" t="str">
        <f t="shared" si="34"/>
        <v>DwarfRangerDex</v>
      </c>
    </row>
    <row r="238" spans="1:10" x14ac:dyDescent="0.3">
      <c r="A238" s="1" t="str">
        <f t="shared" si="36"/>
        <v>Dwarf</v>
      </c>
      <c r="B238" s="1" t="s">
        <v>11</v>
      </c>
      <c r="C238" s="1" t="s">
        <v>4</v>
      </c>
      <c r="D238">
        <f t="shared" si="29"/>
        <v>1</v>
      </c>
      <c r="E238">
        <f t="shared" si="30"/>
        <v>0</v>
      </c>
      <c r="F238">
        <f t="shared" si="37"/>
        <v>1</v>
      </c>
      <c r="G238">
        <f t="shared" si="31"/>
        <v>9</v>
      </c>
      <c r="H238">
        <f t="shared" si="32"/>
        <v>14</v>
      </c>
      <c r="I238">
        <f t="shared" si="33"/>
        <v>90</v>
      </c>
      <c r="J238" t="str">
        <f t="shared" si="34"/>
        <v>DwarfRangerCon</v>
      </c>
    </row>
    <row r="239" spans="1:10" x14ac:dyDescent="0.3">
      <c r="A239" s="1" t="str">
        <f t="shared" si="36"/>
        <v>Dwarf</v>
      </c>
      <c r="B239" s="1" t="s">
        <v>11</v>
      </c>
      <c r="C239" s="1" t="s">
        <v>5</v>
      </c>
      <c r="D239">
        <f t="shared" si="29"/>
        <v>-2</v>
      </c>
      <c r="E239">
        <f t="shared" si="30"/>
        <v>-2</v>
      </c>
      <c r="F239">
        <f t="shared" si="37"/>
        <v>-4</v>
      </c>
      <c r="G239">
        <f t="shared" si="31"/>
        <v>22</v>
      </c>
      <c r="H239">
        <f t="shared" si="32"/>
        <v>0</v>
      </c>
      <c r="I239">
        <f t="shared" si="33"/>
        <v>40</v>
      </c>
      <c r="J239" t="str">
        <f t="shared" si="34"/>
        <v>DwarfRangerCha</v>
      </c>
    </row>
    <row r="240" spans="1:10" x14ac:dyDescent="0.3">
      <c r="A240" s="1" t="str">
        <f t="shared" si="36"/>
        <v>Dwarf</v>
      </c>
      <c r="B240" s="1" t="s">
        <v>11</v>
      </c>
      <c r="C240" s="1" t="s">
        <v>6</v>
      </c>
      <c r="D240">
        <f t="shared" si="29"/>
        <v>0</v>
      </c>
      <c r="E240">
        <f t="shared" si="30"/>
        <v>-1</v>
      </c>
      <c r="F240">
        <f t="shared" si="37"/>
        <v>-1</v>
      </c>
      <c r="G240">
        <f t="shared" si="31"/>
        <v>13</v>
      </c>
      <c r="H240">
        <f t="shared" si="32"/>
        <v>0</v>
      </c>
      <c r="I240">
        <f t="shared" si="33"/>
        <v>70</v>
      </c>
      <c r="J240" t="str">
        <f t="shared" si="34"/>
        <v>DwarfRangerBra</v>
      </c>
    </row>
    <row r="241" spans="1:10" x14ac:dyDescent="0.3">
      <c r="A241" s="1" t="str">
        <f t="shared" si="36"/>
        <v>Dwarf</v>
      </c>
      <c r="B241" s="1" t="s">
        <v>11</v>
      </c>
      <c r="C241" s="1" t="s">
        <v>7</v>
      </c>
      <c r="D241">
        <f t="shared" si="29"/>
        <v>2</v>
      </c>
      <c r="E241">
        <f t="shared" si="30"/>
        <v>0</v>
      </c>
      <c r="F241">
        <f t="shared" si="37"/>
        <v>2</v>
      </c>
      <c r="G241">
        <f t="shared" si="31"/>
        <v>8</v>
      </c>
      <c r="H241">
        <f t="shared" si="32"/>
        <v>12</v>
      </c>
      <c r="I241">
        <f t="shared" si="33"/>
        <v>100</v>
      </c>
      <c r="J241" t="str">
        <f t="shared" si="34"/>
        <v>DwarfRangerHP</v>
      </c>
    </row>
    <row r="242" spans="1:10" x14ac:dyDescent="0.3">
      <c r="A242" s="1" t="str">
        <f t="shared" si="36"/>
        <v>Dwarf</v>
      </c>
      <c r="B242" s="1" t="s">
        <v>12</v>
      </c>
      <c r="C242" s="1" t="s">
        <v>0</v>
      </c>
      <c r="D242">
        <f t="shared" si="29"/>
        <v>-3</v>
      </c>
      <c r="E242">
        <f t="shared" si="30"/>
        <v>0</v>
      </c>
      <c r="F242">
        <f t="shared" si="37"/>
        <v>-3</v>
      </c>
      <c r="G242">
        <f t="shared" si="31"/>
        <v>19</v>
      </c>
      <c r="H242">
        <f t="shared" si="32"/>
        <v>0</v>
      </c>
      <c r="I242">
        <f t="shared" si="33"/>
        <v>50</v>
      </c>
      <c r="J242" t="str">
        <f t="shared" si="34"/>
        <v>DwarfAssassinMag</v>
      </c>
    </row>
    <row r="243" spans="1:10" x14ac:dyDescent="0.3">
      <c r="A243" s="1" t="str">
        <f t="shared" si="36"/>
        <v>Dwarf</v>
      </c>
      <c r="B243" s="1" t="s">
        <v>12</v>
      </c>
      <c r="C243" s="1" t="s">
        <v>1</v>
      </c>
      <c r="D243">
        <f t="shared" si="29"/>
        <v>0</v>
      </c>
      <c r="E243">
        <f t="shared" si="30"/>
        <v>-7</v>
      </c>
      <c r="F243">
        <f t="shared" si="37"/>
        <v>-7</v>
      </c>
      <c r="G243">
        <f t="shared" si="31"/>
        <v>31</v>
      </c>
      <c r="H243">
        <f t="shared" si="32"/>
        <v>0</v>
      </c>
      <c r="I243">
        <f t="shared" si="33"/>
        <v>0</v>
      </c>
      <c r="J243" t="str">
        <f t="shared" si="34"/>
        <v>DwarfAssassinDiv</v>
      </c>
    </row>
    <row r="244" spans="1:10" x14ac:dyDescent="0.3">
      <c r="A244" s="1" t="str">
        <f t="shared" si="36"/>
        <v>Dwarf</v>
      </c>
      <c r="B244" s="1" t="s">
        <v>12</v>
      </c>
      <c r="C244" s="1" t="s">
        <v>2</v>
      </c>
      <c r="D244">
        <f t="shared" si="29"/>
        <v>3</v>
      </c>
      <c r="E244">
        <f t="shared" si="30"/>
        <v>0</v>
      </c>
      <c r="F244">
        <f t="shared" si="37"/>
        <v>3</v>
      </c>
      <c r="G244">
        <f t="shared" si="31"/>
        <v>7</v>
      </c>
      <c r="H244">
        <f t="shared" si="32"/>
        <v>11</v>
      </c>
      <c r="I244">
        <f t="shared" si="33"/>
        <v>105</v>
      </c>
      <c r="J244" t="str">
        <f t="shared" si="34"/>
        <v>DwarfAssassinStr</v>
      </c>
    </row>
    <row r="245" spans="1:10" x14ac:dyDescent="0.3">
      <c r="A245" s="1" t="str">
        <f t="shared" si="36"/>
        <v>Dwarf</v>
      </c>
      <c r="B245" s="1" t="s">
        <v>12</v>
      </c>
      <c r="C245" s="1" t="s">
        <v>3</v>
      </c>
      <c r="D245">
        <f t="shared" si="29"/>
        <v>-1</v>
      </c>
      <c r="E245">
        <f t="shared" si="30"/>
        <v>2</v>
      </c>
      <c r="F245">
        <f t="shared" si="37"/>
        <v>1</v>
      </c>
      <c r="G245">
        <f t="shared" si="31"/>
        <v>9</v>
      </c>
      <c r="H245">
        <f t="shared" si="32"/>
        <v>14</v>
      </c>
      <c r="I245">
        <f t="shared" si="33"/>
        <v>90</v>
      </c>
      <c r="J245" t="str">
        <f t="shared" si="34"/>
        <v>DwarfAssassinDex</v>
      </c>
    </row>
    <row r="246" spans="1:10" x14ac:dyDescent="0.3">
      <c r="A246" s="1" t="str">
        <f t="shared" si="36"/>
        <v>Dwarf</v>
      </c>
      <c r="B246" s="1" t="s">
        <v>12</v>
      </c>
      <c r="C246" s="1" t="s">
        <v>4</v>
      </c>
      <c r="D246">
        <f t="shared" si="29"/>
        <v>1</v>
      </c>
      <c r="E246">
        <f t="shared" si="30"/>
        <v>0</v>
      </c>
      <c r="F246">
        <f t="shared" si="37"/>
        <v>1</v>
      </c>
      <c r="G246">
        <f t="shared" si="31"/>
        <v>9</v>
      </c>
      <c r="H246">
        <f t="shared" si="32"/>
        <v>14</v>
      </c>
      <c r="I246">
        <f t="shared" si="33"/>
        <v>90</v>
      </c>
      <c r="J246" t="str">
        <f t="shared" si="34"/>
        <v>DwarfAssassinCon</v>
      </c>
    </row>
    <row r="247" spans="1:10" x14ac:dyDescent="0.3">
      <c r="A247" s="1" t="str">
        <f t="shared" si="36"/>
        <v>Dwarf</v>
      </c>
      <c r="B247" s="1" t="s">
        <v>12</v>
      </c>
      <c r="C247" s="1" t="s">
        <v>5</v>
      </c>
      <c r="D247">
        <f t="shared" si="29"/>
        <v>-2</v>
      </c>
      <c r="E247">
        <f t="shared" si="30"/>
        <v>-2</v>
      </c>
      <c r="F247">
        <f t="shared" si="37"/>
        <v>-4</v>
      </c>
      <c r="G247">
        <f t="shared" si="31"/>
        <v>22</v>
      </c>
      <c r="H247">
        <f t="shared" si="32"/>
        <v>0</v>
      </c>
      <c r="I247">
        <f t="shared" si="33"/>
        <v>40</v>
      </c>
      <c r="J247" t="str">
        <f t="shared" si="34"/>
        <v>DwarfAssassinCha</v>
      </c>
    </row>
    <row r="248" spans="1:10" x14ac:dyDescent="0.3">
      <c r="A248" s="1" t="str">
        <f t="shared" si="36"/>
        <v>Dwarf</v>
      </c>
      <c r="B248" s="1" t="s">
        <v>12</v>
      </c>
      <c r="C248" s="1" t="s">
        <v>6</v>
      </c>
      <c r="D248">
        <f t="shared" si="29"/>
        <v>0</v>
      </c>
      <c r="E248">
        <f t="shared" si="30"/>
        <v>1</v>
      </c>
      <c r="F248">
        <f t="shared" si="37"/>
        <v>1</v>
      </c>
      <c r="G248">
        <f t="shared" si="31"/>
        <v>9</v>
      </c>
      <c r="H248">
        <f t="shared" si="32"/>
        <v>14</v>
      </c>
      <c r="I248">
        <f t="shared" si="33"/>
        <v>90</v>
      </c>
      <c r="J248" t="str">
        <f t="shared" si="34"/>
        <v>DwarfAssassinBra</v>
      </c>
    </row>
    <row r="249" spans="1:10" x14ac:dyDescent="0.3">
      <c r="A249" s="1" t="str">
        <f t="shared" si="36"/>
        <v>Dwarf</v>
      </c>
      <c r="B249" s="1" t="s">
        <v>12</v>
      </c>
      <c r="C249" s="1" t="s">
        <v>7</v>
      </c>
      <c r="D249">
        <f t="shared" si="29"/>
        <v>2</v>
      </c>
      <c r="E249">
        <f t="shared" si="30"/>
        <v>-1</v>
      </c>
      <c r="F249">
        <f t="shared" si="37"/>
        <v>1</v>
      </c>
      <c r="G249">
        <f t="shared" si="31"/>
        <v>9</v>
      </c>
      <c r="H249">
        <f t="shared" si="32"/>
        <v>14</v>
      </c>
      <c r="I249">
        <f t="shared" si="33"/>
        <v>90</v>
      </c>
      <c r="J249" t="str">
        <f t="shared" si="34"/>
        <v>DwarfAssassinHP</v>
      </c>
    </row>
    <row r="250" spans="1:10" x14ac:dyDescent="0.3">
      <c r="A250" s="1" t="str">
        <f t="shared" si="36"/>
        <v>Dwarf</v>
      </c>
      <c r="B250" s="1" t="s">
        <v>13</v>
      </c>
      <c r="C250" s="1" t="s">
        <v>0</v>
      </c>
      <c r="D250">
        <f t="shared" si="29"/>
        <v>-3</v>
      </c>
      <c r="E250">
        <f t="shared" si="30"/>
        <v>-5</v>
      </c>
      <c r="F250">
        <f t="shared" si="37"/>
        <v>-8</v>
      </c>
      <c r="G250">
        <f t="shared" si="31"/>
        <v>31</v>
      </c>
      <c r="H250">
        <f t="shared" si="32"/>
        <v>0</v>
      </c>
      <c r="I250">
        <f t="shared" si="33"/>
        <v>0</v>
      </c>
      <c r="J250" t="str">
        <f t="shared" si="34"/>
        <v>DwarfThiefMag</v>
      </c>
    </row>
    <row r="251" spans="1:10" x14ac:dyDescent="0.3">
      <c r="A251" s="1" t="str">
        <f t="shared" si="36"/>
        <v>Dwarf</v>
      </c>
      <c r="B251" s="1" t="s">
        <v>13</v>
      </c>
      <c r="C251" s="1" t="s">
        <v>1</v>
      </c>
      <c r="D251">
        <f t="shared" si="29"/>
        <v>0</v>
      </c>
      <c r="E251">
        <f t="shared" si="30"/>
        <v>-7</v>
      </c>
      <c r="F251">
        <f t="shared" si="37"/>
        <v>-7</v>
      </c>
      <c r="G251">
        <f t="shared" si="31"/>
        <v>31</v>
      </c>
      <c r="H251">
        <f t="shared" si="32"/>
        <v>0</v>
      </c>
      <c r="I251">
        <f t="shared" si="33"/>
        <v>0</v>
      </c>
      <c r="J251" t="str">
        <f t="shared" si="34"/>
        <v>DwarfThiefDiv</v>
      </c>
    </row>
    <row r="252" spans="1:10" x14ac:dyDescent="0.3">
      <c r="A252" s="1" t="str">
        <f t="shared" si="36"/>
        <v>Dwarf</v>
      </c>
      <c r="B252" s="1" t="s">
        <v>13</v>
      </c>
      <c r="C252" s="1" t="s">
        <v>2</v>
      </c>
      <c r="D252">
        <f t="shared" si="29"/>
        <v>3</v>
      </c>
      <c r="E252">
        <f t="shared" si="30"/>
        <v>0</v>
      </c>
      <c r="F252">
        <f t="shared" si="37"/>
        <v>3</v>
      </c>
      <c r="G252">
        <f t="shared" si="31"/>
        <v>7</v>
      </c>
      <c r="H252">
        <f t="shared" si="32"/>
        <v>11</v>
      </c>
      <c r="I252">
        <f t="shared" si="33"/>
        <v>105</v>
      </c>
      <c r="J252" t="str">
        <f t="shared" si="34"/>
        <v>DwarfThiefStr</v>
      </c>
    </row>
    <row r="253" spans="1:10" x14ac:dyDescent="0.3">
      <c r="A253" s="1" t="str">
        <f t="shared" si="36"/>
        <v>Dwarf</v>
      </c>
      <c r="B253" s="1" t="s">
        <v>13</v>
      </c>
      <c r="C253" s="1" t="s">
        <v>3</v>
      </c>
      <c r="D253">
        <f t="shared" si="29"/>
        <v>-1</v>
      </c>
      <c r="E253">
        <f t="shared" si="30"/>
        <v>3</v>
      </c>
      <c r="F253">
        <f t="shared" si="37"/>
        <v>2</v>
      </c>
      <c r="G253">
        <f t="shared" si="31"/>
        <v>8</v>
      </c>
      <c r="H253">
        <f t="shared" si="32"/>
        <v>12</v>
      </c>
      <c r="I253">
        <f t="shared" si="33"/>
        <v>100</v>
      </c>
      <c r="J253" t="str">
        <f t="shared" si="34"/>
        <v>DwarfThiefDex</v>
      </c>
    </row>
    <row r="254" spans="1:10" x14ac:dyDescent="0.3">
      <c r="A254" s="1" t="str">
        <f t="shared" si="36"/>
        <v>Dwarf</v>
      </c>
      <c r="B254" s="1" t="s">
        <v>13</v>
      </c>
      <c r="C254" s="1" t="s">
        <v>4</v>
      </c>
      <c r="D254">
        <f t="shared" si="29"/>
        <v>1</v>
      </c>
      <c r="E254">
        <f t="shared" si="30"/>
        <v>-1</v>
      </c>
      <c r="F254">
        <f t="shared" si="37"/>
        <v>0</v>
      </c>
      <c r="G254">
        <f t="shared" si="31"/>
        <v>10</v>
      </c>
      <c r="H254">
        <f t="shared" si="32"/>
        <v>0</v>
      </c>
      <c r="I254">
        <f t="shared" si="33"/>
        <v>80</v>
      </c>
      <c r="J254" t="str">
        <f t="shared" si="34"/>
        <v>DwarfThiefCon</v>
      </c>
    </row>
    <row r="255" spans="1:10" x14ac:dyDescent="0.3">
      <c r="A255" s="1" t="str">
        <f t="shared" si="36"/>
        <v>Dwarf</v>
      </c>
      <c r="B255" s="1" t="s">
        <v>13</v>
      </c>
      <c r="C255" s="1" t="s">
        <v>5</v>
      </c>
      <c r="D255">
        <f t="shared" si="29"/>
        <v>-2</v>
      </c>
      <c r="E255">
        <f t="shared" si="30"/>
        <v>-2</v>
      </c>
      <c r="F255">
        <f t="shared" si="37"/>
        <v>-4</v>
      </c>
      <c r="G255">
        <f t="shared" si="31"/>
        <v>22</v>
      </c>
      <c r="H255">
        <f t="shared" si="32"/>
        <v>0</v>
      </c>
      <c r="I255">
        <f t="shared" si="33"/>
        <v>40</v>
      </c>
      <c r="J255" t="str">
        <f t="shared" si="34"/>
        <v>DwarfThiefCha</v>
      </c>
    </row>
    <row r="256" spans="1:10" x14ac:dyDescent="0.3">
      <c r="A256" s="1" t="str">
        <f t="shared" si="36"/>
        <v>Dwarf</v>
      </c>
      <c r="B256" s="1" t="s">
        <v>13</v>
      </c>
      <c r="C256" s="1" t="s">
        <v>6</v>
      </c>
      <c r="D256">
        <f t="shared" si="29"/>
        <v>0</v>
      </c>
      <c r="E256">
        <f t="shared" si="30"/>
        <v>2</v>
      </c>
      <c r="F256">
        <f t="shared" si="37"/>
        <v>2</v>
      </c>
      <c r="G256">
        <f t="shared" si="31"/>
        <v>8</v>
      </c>
      <c r="H256">
        <f t="shared" si="32"/>
        <v>12</v>
      </c>
      <c r="I256">
        <f t="shared" si="33"/>
        <v>100</v>
      </c>
      <c r="J256" t="str">
        <f t="shared" si="34"/>
        <v>DwarfThiefBra</v>
      </c>
    </row>
    <row r="257" spans="1:10" x14ac:dyDescent="0.3">
      <c r="A257" s="1" t="str">
        <f t="shared" si="36"/>
        <v>Dwarf</v>
      </c>
      <c r="B257" s="1" t="s">
        <v>13</v>
      </c>
      <c r="C257" s="1" t="s">
        <v>7</v>
      </c>
      <c r="D257">
        <f t="shared" si="29"/>
        <v>2</v>
      </c>
      <c r="E257">
        <f t="shared" si="30"/>
        <v>1</v>
      </c>
      <c r="F257">
        <f t="shared" si="37"/>
        <v>3</v>
      </c>
      <c r="G257">
        <f t="shared" si="31"/>
        <v>7</v>
      </c>
      <c r="H257">
        <f t="shared" si="32"/>
        <v>11</v>
      </c>
      <c r="I257">
        <f t="shared" si="33"/>
        <v>105</v>
      </c>
      <c r="J257" t="str">
        <f t="shared" si="34"/>
        <v>DwarfThiefHP</v>
      </c>
    </row>
    <row r="258" spans="1:10" x14ac:dyDescent="0.3">
      <c r="A258" s="1" t="str">
        <f t="shared" si="36"/>
        <v>Dwarf</v>
      </c>
      <c r="B258" s="1" t="s">
        <v>14</v>
      </c>
      <c r="C258" s="1" t="s">
        <v>0</v>
      </c>
      <c r="D258">
        <f t="shared" ref="D258:D321" si="38">INDEX(TblRaceValues,MATCH(C258, TblAbilities, 0),MATCH(A258,TblRaces,0))</f>
        <v>-3</v>
      </c>
      <c r="E258">
        <f t="shared" ref="E258:E321" si="39">INDEX(TblProfessionValues,MATCH(C258,TblAbilities,0),MATCH(B258,TblProfessions,0))</f>
        <v>-7</v>
      </c>
      <c r="F258">
        <f t="shared" si="37"/>
        <v>-10</v>
      </c>
      <c r="G258">
        <f t="shared" ref="G258:G321" si="40">HLOOKUP(MIN(MAX(-7,F258),7),TblPracticeCost,2)</f>
        <v>31</v>
      </c>
      <c r="H258">
        <f t="shared" ref="H258:H321" si="41">HLOOKUP(MIN(MAX(-7,F258),7),TblPracticeCost,3)</f>
        <v>0</v>
      </c>
      <c r="I258">
        <f t="shared" ref="I258:I321" si="42">VLOOKUP(MIN(MAX(-7,F258),7),TblBonusMaxSkill,2)</f>
        <v>0</v>
      </c>
      <c r="J258" t="str">
        <f t="shared" si="34"/>
        <v>DwarfDruidMag</v>
      </c>
    </row>
    <row r="259" spans="1:10" x14ac:dyDescent="0.3">
      <c r="A259" s="1" t="str">
        <f t="shared" si="36"/>
        <v>Dwarf</v>
      </c>
      <c r="B259" s="1" t="s">
        <v>14</v>
      </c>
      <c r="C259" s="1" t="s">
        <v>1</v>
      </c>
      <c r="D259">
        <f t="shared" si="38"/>
        <v>0</v>
      </c>
      <c r="E259">
        <f t="shared" si="39"/>
        <v>2</v>
      </c>
      <c r="F259">
        <f t="shared" si="37"/>
        <v>2</v>
      </c>
      <c r="G259">
        <f t="shared" si="40"/>
        <v>8</v>
      </c>
      <c r="H259">
        <f t="shared" si="41"/>
        <v>12</v>
      </c>
      <c r="I259">
        <f t="shared" si="42"/>
        <v>100</v>
      </c>
      <c r="J259" t="str">
        <f t="shared" ref="J259:J322" si="43">A259&amp;B259&amp;C259</f>
        <v>DwarfDruidDiv</v>
      </c>
    </row>
    <row r="260" spans="1:10" x14ac:dyDescent="0.3">
      <c r="A260" s="1" t="str">
        <f t="shared" si="36"/>
        <v>Dwarf</v>
      </c>
      <c r="B260" s="1" t="s">
        <v>14</v>
      </c>
      <c r="C260" s="1" t="s">
        <v>2</v>
      </c>
      <c r="D260">
        <f t="shared" si="38"/>
        <v>3</v>
      </c>
      <c r="E260">
        <f t="shared" si="39"/>
        <v>-2</v>
      </c>
      <c r="F260">
        <f t="shared" si="37"/>
        <v>1</v>
      </c>
      <c r="G260">
        <f t="shared" si="40"/>
        <v>9</v>
      </c>
      <c r="H260">
        <f t="shared" si="41"/>
        <v>14</v>
      </c>
      <c r="I260">
        <f t="shared" si="42"/>
        <v>90</v>
      </c>
      <c r="J260" t="str">
        <f t="shared" si="43"/>
        <v>DwarfDruidStr</v>
      </c>
    </row>
    <row r="261" spans="1:10" x14ac:dyDescent="0.3">
      <c r="A261" s="1" t="str">
        <f t="shared" si="36"/>
        <v>Dwarf</v>
      </c>
      <c r="B261" s="1" t="s">
        <v>14</v>
      </c>
      <c r="C261" s="1" t="s">
        <v>3</v>
      </c>
      <c r="D261">
        <f t="shared" si="38"/>
        <v>-1</v>
      </c>
      <c r="E261">
        <f t="shared" si="39"/>
        <v>0</v>
      </c>
      <c r="F261">
        <f t="shared" si="37"/>
        <v>-1</v>
      </c>
      <c r="G261">
        <f t="shared" si="40"/>
        <v>13</v>
      </c>
      <c r="H261">
        <f t="shared" si="41"/>
        <v>0</v>
      </c>
      <c r="I261">
        <f t="shared" si="42"/>
        <v>70</v>
      </c>
      <c r="J261" t="str">
        <f t="shared" si="43"/>
        <v>DwarfDruidDex</v>
      </c>
    </row>
    <row r="262" spans="1:10" x14ac:dyDescent="0.3">
      <c r="A262" s="1" t="str">
        <f t="shared" si="36"/>
        <v>Dwarf</v>
      </c>
      <c r="B262" s="1" t="s">
        <v>14</v>
      </c>
      <c r="C262" s="1" t="s">
        <v>4</v>
      </c>
      <c r="D262">
        <f t="shared" si="38"/>
        <v>1</v>
      </c>
      <c r="E262">
        <f t="shared" si="39"/>
        <v>-3</v>
      </c>
      <c r="F262">
        <f t="shared" si="37"/>
        <v>-2</v>
      </c>
      <c r="G262">
        <f t="shared" si="40"/>
        <v>16</v>
      </c>
      <c r="H262">
        <f t="shared" si="41"/>
        <v>0</v>
      </c>
      <c r="I262">
        <f t="shared" si="42"/>
        <v>60</v>
      </c>
      <c r="J262" t="str">
        <f t="shared" si="43"/>
        <v>DwarfDruidCon</v>
      </c>
    </row>
    <row r="263" spans="1:10" x14ac:dyDescent="0.3">
      <c r="A263" s="1" t="str">
        <f t="shared" si="36"/>
        <v>Dwarf</v>
      </c>
      <c r="B263" s="1" t="s">
        <v>14</v>
      </c>
      <c r="C263" s="1" t="s">
        <v>5</v>
      </c>
      <c r="D263">
        <f t="shared" si="38"/>
        <v>-2</v>
      </c>
      <c r="E263">
        <f t="shared" si="39"/>
        <v>1</v>
      </c>
      <c r="F263">
        <f t="shared" si="37"/>
        <v>-1</v>
      </c>
      <c r="G263">
        <f t="shared" si="40"/>
        <v>13</v>
      </c>
      <c r="H263">
        <f t="shared" si="41"/>
        <v>0</v>
      </c>
      <c r="I263">
        <f t="shared" si="42"/>
        <v>70</v>
      </c>
      <c r="J263" t="str">
        <f t="shared" si="43"/>
        <v>DwarfDruidCha</v>
      </c>
    </row>
    <row r="264" spans="1:10" x14ac:dyDescent="0.3">
      <c r="A264" s="1" t="str">
        <f t="shared" si="36"/>
        <v>Dwarf</v>
      </c>
      <c r="B264" s="1" t="s">
        <v>14</v>
      </c>
      <c r="C264" s="1" t="s">
        <v>6</v>
      </c>
      <c r="D264">
        <f t="shared" si="38"/>
        <v>0</v>
      </c>
      <c r="E264">
        <f t="shared" si="39"/>
        <v>3</v>
      </c>
      <c r="F264">
        <f t="shared" si="37"/>
        <v>3</v>
      </c>
      <c r="G264">
        <f t="shared" si="40"/>
        <v>7</v>
      </c>
      <c r="H264">
        <f t="shared" si="41"/>
        <v>11</v>
      </c>
      <c r="I264">
        <f t="shared" si="42"/>
        <v>105</v>
      </c>
      <c r="J264" t="str">
        <f t="shared" si="43"/>
        <v>DwarfDruidBra</v>
      </c>
    </row>
    <row r="265" spans="1:10" x14ac:dyDescent="0.3">
      <c r="A265" s="1" t="str">
        <f t="shared" si="36"/>
        <v>Dwarf</v>
      </c>
      <c r="B265" s="1" t="s">
        <v>14</v>
      </c>
      <c r="C265" s="1" t="s">
        <v>7</v>
      </c>
      <c r="D265">
        <f t="shared" si="38"/>
        <v>2</v>
      </c>
      <c r="E265">
        <f t="shared" si="39"/>
        <v>-1</v>
      </c>
      <c r="F265">
        <f t="shared" si="37"/>
        <v>1</v>
      </c>
      <c r="G265">
        <f t="shared" si="40"/>
        <v>9</v>
      </c>
      <c r="H265">
        <f t="shared" si="41"/>
        <v>14</v>
      </c>
      <c r="I265">
        <f t="shared" si="42"/>
        <v>90</v>
      </c>
      <c r="J265" t="str">
        <f t="shared" si="43"/>
        <v>DwarfDruidHP</v>
      </c>
    </row>
    <row r="266" spans="1:10" x14ac:dyDescent="0.3">
      <c r="A266" s="1" t="str">
        <f t="shared" si="36"/>
        <v>Dwarf</v>
      </c>
      <c r="B266" s="1" t="s">
        <v>31</v>
      </c>
      <c r="C266" s="1" t="s">
        <v>0</v>
      </c>
      <c r="D266">
        <f t="shared" si="38"/>
        <v>-3</v>
      </c>
      <c r="E266">
        <f t="shared" si="39"/>
        <v>2</v>
      </c>
      <c r="F266">
        <f t="shared" si="37"/>
        <v>-1</v>
      </c>
      <c r="G266">
        <f t="shared" si="40"/>
        <v>13</v>
      </c>
      <c r="H266">
        <f t="shared" si="41"/>
        <v>0</v>
      </c>
      <c r="I266">
        <f t="shared" si="42"/>
        <v>70</v>
      </c>
      <c r="J266" t="str">
        <f t="shared" si="43"/>
        <v>DwarfObsoleteMag</v>
      </c>
    </row>
    <row r="267" spans="1:10" x14ac:dyDescent="0.3">
      <c r="A267" s="1" t="str">
        <f t="shared" si="36"/>
        <v>Dwarf</v>
      </c>
      <c r="B267" s="1" t="s">
        <v>31</v>
      </c>
      <c r="C267" s="1" t="s">
        <v>1</v>
      </c>
      <c r="D267">
        <f t="shared" si="38"/>
        <v>0</v>
      </c>
      <c r="E267">
        <f t="shared" si="39"/>
        <v>2</v>
      </c>
      <c r="F267">
        <f t="shared" si="37"/>
        <v>2</v>
      </c>
      <c r="G267">
        <f t="shared" si="40"/>
        <v>8</v>
      </c>
      <c r="H267">
        <f t="shared" si="41"/>
        <v>12</v>
      </c>
      <c r="I267">
        <f t="shared" si="42"/>
        <v>100</v>
      </c>
      <c r="J267" t="str">
        <f t="shared" si="43"/>
        <v>DwarfObsoleteDiv</v>
      </c>
    </row>
    <row r="268" spans="1:10" x14ac:dyDescent="0.3">
      <c r="A268" s="1" t="str">
        <f t="shared" si="36"/>
        <v>Dwarf</v>
      </c>
      <c r="B268" s="1" t="s">
        <v>31</v>
      </c>
      <c r="C268" s="1" t="s">
        <v>2</v>
      </c>
      <c r="D268">
        <f t="shared" si="38"/>
        <v>3</v>
      </c>
      <c r="E268">
        <f t="shared" si="39"/>
        <v>-2</v>
      </c>
      <c r="F268">
        <f t="shared" si="37"/>
        <v>1</v>
      </c>
      <c r="G268">
        <f t="shared" si="40"/>
        <v>9</v>
      </c>
      <c r="H268">
        <f t="shared" si="41"/>
        <v>14</v>
      </c>
      <c r="I268">
        <f t="shared" si="42"/>
        <v>90</v>
      </c>
      <c r="J268" t="str">
        <f t="shared" si="43"/>
        <v>DwarfObsoleteStr</v>
      </c>
    </row>
    <row r="269" spans="1:10" x14ac:dyDescent="0.3">
      <c r="A269" s="1" t="str">
        <f t="shared" si="36"/>
        <v>Dwarf</v>
      </c>
      <c r="B269" s="1" t="s">
        <v>31</v>
      </c>
      <c r="C269" s="1" t="s">
        <v>3</v>
      </c>
      <c r="D269">
        <f t="shared" si="38"/>
        <v>-1</v>
      </c>
      <c r="E269">
        <f t="shared" si="39"/>
        <v>-1</v>
      </c>
      <c r="F269">
        <f t="shared" si="37"/>
        <v>-2</v>
      </c>
      <c r="G269">
        <f t="shared" si="40"/>
        <v>16</v>
      </c>
      <c r="H269">
        <f t="shared" si="41"/>
        <v>0</v>
      </c>
      <c r="I269">
        <f t="shared" si="42"/>
        <v>60</v>
      </c>
      <c r="J269" t="str">
        <f t="shared" si="43"/>
        <v>DwarfObsoleteDex</v>
      </c>
    </row>
    <row r="270" spans="1:10" x14ac:dyDescent="0.3">
      <c r="A270" s="1" t="str">
        <f t="shared" si="36"/>
        <v>Dwarf</v>
      </c>
      <c r="B270" s="1" t="s">
        <v>31</v>
      </c>
      <c r="C270" s="1" t="s">
        <v>4</v>
      </c>
      <c r="D270">
        <f t="shared" si="38"/>
        <v>1</v>
      </c>
      <c r="E270">
        <f t="shared" si="39"/>
        <v>-2</v>
      </c>
      <c r="F270">
        <f t="shared" si="37"/>
        <v>-1</v>
      </c>
      <c r="G270">
        <f t="shared" si="40"/>
        <v>13</v>
      </c>
      <c r="H270">
        <f t="shared" si="41"/>
        <v>0</v>
      </c>
      <c r="I270">
        <f t="shared" si="42"/>
        <v>70</v>
      </c>
      <c r="J270" t="str">
        <f t="shared" si="43"/>
        <v>DwarfObsoleteCon</v>
      </c>
    </row>
    <row r="271" spans="1:10" x14ac:dyDescent="0.3">
      <c r="A271" s="1" t="str">
        <f t="shared" si="36"/>
        <v>Dwarf</v>
      </c>
      <c r="B271" s="1" t="s">
        <v>31</v>
      </c>
      <c r="C271" s="1" t="s">
        <v>5</v>
      </c>
      <c r="D271">
        <f t="shared" si="38"/>
        <v>-2</v>
      </c>
      <c r="E271">
        <f t="shared" si="39"/>
        <v>1</v>
      </c>
      <c r="F271">
        <f t="shared" si="37"/>
        <v>-1</v>
      </c>
      <c r="G271">
        <f t="shared" si="40"/>
        <v>13</v>
      </c>
      <c r="H271">
        <f t="shared" si="41"/>
        <v>0</v>
      </c>
      <c r="I271">
        <f t="shared" si="42"/>
        <v>70</v>
      </c>
      <c r="J271" t="str">
        <f t="shared" si="43"/>
        <v>DwarfObsoleteCha</v>
      </c>
    </row>
    <row r="272" spans="1:10" x14ac:dyDescent="0.3">
      <c r="A272" s="1" t="str">
        <f t="shared" si="36"/>
        <v>Dwarf</v>
      </c>
      <c r="B272" s="1" t="s">
        <v>31</v>
      </c>
      <c r="C272" s="1" t="s">
        <v>6</v>
      </c>
      <c r="D272">
        <f t="shared" si="38"/>
        <v>0</v>
      </c>
      <c r="E272">
        <f t="shared" si="39"/>
        <v>2</v>
      </c>
      <c r="F272">
        <f t="shared" si="37"/>
        <v>2</v>
      </c>
      <c r="G272">
        <f t="shared" si="40"/>
        <v>8</v>
      </c>
      <c r="H272">
        <f t="shared" si="41"/>
        <v>12</v>
      </c>
      <c r="I272">
        <f t="shared" si="42"/>
        <v>100</v>
      </c>
      <c r="J272" t="str">
        <f t="shared" si="43"/>
        <v>DwarfObsoleteBra</v>
      </c>
    </row>
    <row r="273" spans="1:10" x14ac:dyDescent="0.3">
      <c r="A273" s="1" t="str">
        <f t="shared" si="36"/>
        <v>Dwarf</v>
      </c>
      <c r="B273" s="1" t="s">
        <v>31</v>
      </c>
      <c r="C273" s="1" t="s">
        <v>7</v>
      </c>
      <c r="D273">
        <f t="shared" si="38"/>
        <v>2</v>
      </c>
      <c r="E273">
        <f t="shared" si="39"/>
        <v>0</v>
      </c>
      <c r="F273">
        <f t="shared" si="37"/>
        <v>2</v>
      </c>
      <c r="G273">
        <f t="shared" si="40"/>
        <v>8</v>
      </c>
      <c r="H273">
        <f t="shared" si="41"/>
        <v>12</v>
      </c>
      <c r="I273">
        <f t="shared" si="42"/>
        <v>100</v>
      </c>
      <c r="J273" t="str">
        <f t="shared" si="43"/>
        <v>DwarfObsoleteHP</v>
      </c>
    </row>
    <row r="274" spans="1:10" x14ac:dyDescent="0.3">
      <c r="A274" s="1" t="str">
        <f t="shared" si="36"/>
        <v>Dwarf</v>
      </c>
      <c r="B274" s="1" t="s">
        <v>91</v>
      </c>
      <c r="C274" s="1" t="s">
        <v>0</v>
      </c>
      <c r="D274">
        <f t="shared" si="38"/>
        <v>-3</v>
      </c>
      <c r="E274">
        <f t="shared" si="39"/>
        <v>-7</v>
      </c>
      <c r="F274">
        <f t="shared" si="37"/>
        <v>-10</v>
      </c>
      <c r="G274">
        <f t="shared" si="40"/>
        <v>31</v>
      </c>
      <c r="H274">
        <f t="shared" si="41"/>
        <v>0</v>
      </c>
      <c r="I274">
        <f t="shared" si="42"/>
        <v>0</v>
      </c>
      <c r="J274" t="str">
        <f t="shared" si="43"/>
        <v>DwarfNecromancerMag</v>
      </c>
    </row>
    <row r="275" spans="1:10" x14ac:dyDescent="0.3">
      <c r="A275" s="1" t="str">
        <f t="shared" si="36"/>
        <v>Dwarf</v>
      </c>
      <c r="B275" s="1" t="s">
        <v>91</v>
      </c>
      <c r="C275" s="1" t="s">
        <v>1</v>
      </c>
      <c r="D275">
        <f t="shared" si="38"/>
        <v>0</v>
      </c>
      <c r="E275">
        <f t="shared" si="39"/>
        <v>0</v>
      </c>
      <c r="F275">
        <f t="shared" si="37"/>
        <v>0</v>
      </c>
      <c r="G275">
        <f t="shared" si="40"/>
        <v>10</v>
      </c>
      <c r="H275">
        <f t="shared" si="41"/>
        <v>0</v>
      </c>
      <c r="I275">
        <f t="shared" si="42"/>
        <v>80</v>
      </c>
      <c r="J275" t="str">
        <f t="shared" si="43"/>
        <v>DwarfNecromancerDiv</v>
      </c>
    </row>
    <row r="276" spans="1:10" x14ac:dyDescent="0.3">
      <c r="A276" s="1" t="str">
        <f t="shared" ref="A276:A313" si="44">A275</f>
        <v>Dwarf</v>
      </c>
      <c r="B276" s="1" t="s">
        <v>91</v>
      </c>
      <c r="C276" s="1" t="s">
        <v>2</v>
      </c>
      <c r="D276">
        <f t="shared" si="38"/>
        <v>3</v>
      </c>
      <c r="E276">
        <f t="shared" si="39"/>
        <v>-1</v>
      </c>
      <c r="F276">
        <f t="shared" si="37"/>
        <v>2</v>
      </c>
      <c r="G276">
        <f t="shared" si="40"/>
        <v>8</v>
      </c>
      <c r="H276">
        <f t="shared" si="41"/>
        <v>12</v>
      </c>
      <c r="I276">
        <f t="shared" si="42"/>
        <v>100</v>
      </c>
      <c r="J276" t="str">
        <f t="shared" si="43"/>
        <v>DwarfNecromancerStr</v>
      </c>
    </row>
    <row r="277" spans="1:10" x14ac:dyDescent="0.3">
      <c r="A277" s="1" t="str">
        <f t="shared" si="44"/>
        <v>Dwarf</v>
      </c>
      <c r="B277" s="1" t="s">
        <v>91</v>
      </c>
      <c r="C277" s="1" t="s">
        <v>3</v>
      </c>
      <c r="D277">
        <f t="shared" si="38"/>
        <v>-1</v>
      </c>
      <c r="E277">
        <f t="shared" si="39"/>
        <v>1</v>
      </c>
      <c r="F277">
        <f t="shared" si="37"/>
        <v>0</v>
      </c>
      <c r="G277">
        <f t="shared" si="40"/>
        <v>10</v>
      </c>
      <c r="H277">
        <f t="shared" si="41"/>
        <v>0</v>
      </c>
      <c r="I277">
        <f t="shared" si="42"/>
        <v>80</v>
      </c>
      <c r="J277" t="str">
        <f t="shared" si="43"/>
        <v>DwarfNecromancerDex</v>
      </c>
    </row>
    <row r="278" spans="1:10" x14ac:dyDescent="0.3">
      <c r="A278" s="1" t="str">
        <f t="shared" si="44"/>
        <v>Dwarf</v>
      </c>
      <c r="B278" s="1" t="s">
        <v>91</v>
      </c>
      <c r="C278" s="1" t="s">
        <v>4</v>
      </c>
      <c r="D278">
        <f t="shared" si="38"/>
        <v>1</v>
      </c>
      <c r="E278">
        <f t="shared" si="39"/>
        <v>-3</v>
      </c>
      <c r="F278">
        <f t="shared" si="37"/>
        <v>-2</v>
      </c>
      <c r="G278">
        <f t="shared" si="40"/>
        <v>16</v>
      </c>
      <c r="H278">
        <f t="shared" si="41"/>
        <v>0</v>
      </c>
      <c r="I278">
        <f t="shared" si="42"/>
        <v>60</v>
      </c>
      <c r="J278" t="str">
        <f t="shared" si="43"/>
        <v>DwarfNecromancerCon</v>
      </c>
    </row>
    <row r="279" spans="1:10" x14ac:dyDescent="0.3">
      <c r="A279" s="1" t="str">
        <f t="shared" si="44"/>
        <v>Dwarf</v>
      </c>
      <c r="B279" s="1" t="s">
        <v>91</v>
      </c>
      <c r="C279" s="1" t="s">
        <v>5</v>
      </c>
      <c r="D279">
        <f t="shared" si="38"/>
        <v>-2</v>
      </c>
      <c r="E279">
        <f t="shared" si="39"/>
        <v>2</v>
      </c>
      <c r="F279">
        <f t="shared" si="37"/>
        <v>0</v>
      </c>
      <c r="G279">
        <f t="shared" si="40"/>
        <v>10</v>
      </c>
      <c r="H279">
        <f t="shared" si="41"/>
        <v>0</v>
      </c>
      <c r="I279">
        <f t="shared" si="42"/>
        <v>80</v>
      </c>
      <c r="J279" t="str">
        <f t="shared" si="43"/>
        <v>DwarfNecromancerCha</v>
      </c>
    </row>
    <row r="280" spans="1:10" x14ac:dyDescent="0.3">
      <c r="A280" s="1" t="str">
        <f t="shared" si="44"/>
        <v>Dwarf</v>
      </c>
      <c r="B280" s="1" t="s">
        <v>91</v>
      </c>
      <c r="C280" s="1" t="s">
        <v>6</v>
      </c>
      <c r="D280">
        <f t="shared" si="38"/>
        <v>0</v>
      </c>
      <c r="E280">
        <f t="shared" si="39"/>
        <v>3</v>
      </c>
      <c r="F280">
        <f t="shared" si="37"/>
        <v>3</v>
      </c>
      <c r="G280">
        <f t="shared" si="40"/>
        <v>7</v>
      </c>
      <c r="H280">
        <f t="shared" si="41"/>
        <v>11</v>
      </c>
      <c r="I280">
        <f t="shared" si="42"/>
        <v>105</v>
      </c>
      <c r="J280" t="str">
        <f t="shared" si="43"/>
        <v>DwarfNecromancerBra</v>
      </c>
    </row>
    <row r="281" spans="1:10" x14ac:dyDescent="0.3">
      <c r="A281" s="1" t="str">
        <f t="shared" si="44"/>
        <v>Dwarf</v>
      </c>
      <c r="B281" s="1" t="s">
        <v>91</v>
      </c>
      <c r="C281" s="1" t="s">
        <v>7</v>
      </c>
      <c r="D281">
        <f t="shared" si="38"/>
        <v>2</v>
      </c>
      <c r="E281">
        <f t="shared" si="39"/>
        <v>-2</v>
      </c>
      <c r="F281">
        <f t="shared" si="37"/>
        <v>0</v>
      </c>
      <c r="G281">
        <f t="shared" si="40"/>
        <v>10</v>
      </c>
      <c r="H281">
        <f t="shared" si="41"/>
        <v>0</v>
      </c>
      <c r="I281">
        <f t="shared" si="42"/>
        <v>80</v>
      </c>
      <c r="J281" t="str">
        <f t="shared" si="43"/>
        <v>DwarfNecromancerHP</v>
      </c>
    </row>
    <row r="282" spans="1:10" x14ac:dyDescent="0.3">
      <c r="A282" s="1" t="str">
        <f t="shared" si="44"/>
        <v>Dwarf</v>
      </c>
      <c r="B282" s="1" t="s">
        <v>15</v>
      </c>
      <c r="C282" s="1" t="s">
        <v>0</v>
      </c>
      <c r="D282">
        <f t="shared" si="38"/>
        <v>-3</v>
      </c>
      <c r="E282">
        <f t="shared" si="39"/>
        <v>-7</v>
      </c>
      <c r="F282">
        <f t="shared" si="37"/>
        <v>-10</v>
      </c>
      <c r="G282">
        <f t="shared" si="40"/>
        <v>31</v>
      </c>
      <c r="H282">
        <f t="shared" si="41"/>
        <v>0</v>
      </c>
      <c r="I282">
        <f t="shared" si="42"/>
        <v>0</v>
      </c>
      <c r="J282" t="str">
        <f t="shared" si="43"/>
        <v>DwarfPriestMag</v>
      </c>
    </row>
    <row r="283" spans="1:10" x14ac:dyDescent="0.3">
      <c r="A283" s="1" t="str">
        <f t="shared" si="44"/>
        <v>Dwarf</v>
      </c>
      <c r="B283" s="1" t="s">
        <v>15</v>
      </c>
      <c r="C283" s="1" t="s">
        <v>1</v>
      </c>
      <c r="D283">
        <f t="shared" si="38"/>
        <v>0</v>
      </c>
      <c r="E283">
        <f t="shared" si="39"/>
        <v>3</v>
      </c>
      <c r="F283">
        <f t="shared" ref="F283:F346" si="45">E283+D283</f>
        <v>3</v>
      </c>
      <c r="G283">
        <f t="shared" si="40"/>
        <v>7</v>
      </c>
      <c r="H283">
        <f t="shared" si="41"/>
        <v>11</v>
      </c>
      <c r="I283">
        <f t="shared" si="42"/>
        <v>105</v>
      </c>
      <c r="J283" t="str">
        <f t="shared" si="43"/>
        <v>DwarfPriestDiv</v>
      </c>
    </row>
    <row r="284" spans="1:10" x14ac:dyDescent="0.3">
      <c r="A284" s="1" t="str">
        <f t="shared" si="44"/>
        <v>Dwarf</v>
      </c>
      <c r="B284" s="1" t="s">
        <v>15</v>
      </c>
      <c r="C284" s="1" t="s">
        <v>2</v>
      </c>
      <c r="D284">
        <f t="shared" si="38"/>
        <v>3</v>
      </c>
      <c r="E284">
        <f t="shared" si="39"/>
        <v>0</v>
      </c>
      <c r="F284">
        <f t="shared" si="45"/>
        <v>3</v>
      </c>
      <c r="G284">
        <f t="shared" si="40"/>
        <v>7</v>
      </c>
      <c r="H284">
        <f t="shared" si="41"/>
        <v>11</v>
      </c>
      <c r="I284">
        <f t="shared" si="42"/>
        <v>105</v>
      </c>
      <c r="J284" t="str">
        <f t="shared" si="43"/>
        <v>DwarfPriestStr</v>
      </c>
    </row>
    <row r="285" spans="1:10" x14ac:dyDescent="0.3">
      <c r="A285" s="1" t="str">
        <f t="shared" si="44"/>
        <v>Dwarf</v>
      </c>
      <c r="B285" s="1" t="s">
        <v>15</v>
      </c>
      <c r="C285" s="1" t="s">
        <v>3</v>
      </c>
      <c r="D285">
        <f t="shared" si="38"/>
        <v>-1</v>
      </c>
      <c r="E285">
        <f t="shared" si="39"/>
        <v>-2</v>
      </c>
      <c r="F285">
        <f t="shared" si="45"/>
        <v>-3</v>
      </c>
      <c r="G285">
        <f t="shared" si="40"/>
        <v>19</v>
      </c>
      <c r="H285">
        <f t="shared" si="41"/>
        <v>0</v>
      </c>
      <c r="I285">
        <f t="shared" si="42"/>
        <v>50</v>
      </c>
      <c r="J285" t="str">
        <f t="shared" si="43"/>
        <v>DwarfPriestDex</v>
      </c>
    </row>
    <row r="286" spans="1:10" x14ac:dyDescent="0.3">
      <c r="A286" s="1" t="str">
        <f t="shared" si="44"/>
        <v>Dwarf</v>
      </c>
      <c r="B286" s="1" t="s">
        <v>15</v>
      </c>
      <c r="C286" s="1" t="s">
        <v>4</v>
      </c>
      <c r="D286">
        <f t="shared" si="38"/>
        <v>1</v>
      </c>
      <c r="E286">
        <f t="shared" si="39"/>
        <v>-3</v>
      </c>
      <c r="F286">
        <f t="shared" si="45"/>
        <v>-2</v>
      </c>
      <c r="G286">
        <f t="shared" si="40"/>
        <v>16</v>
      </c>
      <c r="H286">
        <f t="shared" si="41"/>
        <v>0</v>
      </c>
      <c r="I286">
        <f t="shared" si="42"/>
        <v>60</v>
      </c>
      <c r="J286" t="str">
        <f t="shared" si="43"/>
        <v>DwarfPriestCon</v>
      </c>
    </row>
    <row r="287" spans="1:10" x14ac:dyDescent="0.3">
      <c r="A287" s="1" t="str">
        <f t="shared" si="44"/>
        <v>Dwarf</v>
      </c>
      <c r="B287" s="1" t="s">
        <v>15</v>
      </c>
      <c r="C287" s="1" t="s">
        <v>5</v>
      </c>
      <c r="D287">
        <f t="shared" si="38"/>
        <v>-2</v>
      </c>
      <c r="E287">
        <f t="shared" si="39"/>
        <v>2</v>
      </c>
      <c r="F287">
        <f t="shared" si="45"/>
        <v>0</v>
      </c>
      <c r="G287">
        <f t="shared" si="40"/>
        <v>10</v>
      </c>
      <c r="H287">
        <f t="shared" si="41"/>
        <v>0</v>
      </c>
      <c r="I287">
        <f t="shared" si="42"/>
        <v>80</v>
      </c>
      <c r="J287" t="str">
        <f t="shared" si="43"/>
        <v>DwarfPriestCha</v>
      </c>
    </row>
    <row r="288" spans="1:10" x14ac:dyDescent="0.3">
      <c r="A288" s="1" t="str">
        <f t="shared" si="44"/>
        <v>Dwarf</v>
      </c>
      <c r="B288" s="1" t="s">
        <v>15</v>
      </c>
      <c r="C288" s="1" t="s">
        <v>6</v>
      </c>
      <c r="D288">
        <f t="shared" si="38"/>
        <v>0</v>
      </c>
      <c r="E288">
        <f t="shared" si="39"/>
        <v>1</v>
      </c>
      <c r="F288">
        <f t="shared" si="45"/>
        <v>1</v>
      </c>
      <c r="G288">
        <f t="shared" si="40"/>
        <v>9</v>
      </c>
      <c r="H288">
        <f t="shared" si="41"/>
        <v>14</v>
      </c>
      <c r="I288">
        <f t="shared" si="42"/>
        <v>90</v>
      </c>
      <c r="J288" t="str">
        <f t="shared" si="43"/>
        <v>DwarfPriestBra</v>
      </c>
    </row>
    <row r="289" spans="1:10" x14ac:dyDescent="0.3">
      <c r="A289" s="1" t="str">
        <f t="shared" si="44"/>
        <v>Dwarf</v>
      </c>
      <c r="B289" s="1" t="s">
        <v>15</v>
      </c>
      <c r="C289" s="1" t="s">
        <v>7</v>
      </c>
      <c r="D289">
        <f t="shared" si="38"/>
        <v>2</v>
      </c>
      <c r="E289">
        <f t="shared" si="39"/>
        <v>-1</v>
      </c>
      <c r="F289">
        <f t="shared" si="45"/>
        <v>1</v>
      </c>
      <c r="G289">
        <f t="shared" si="40"/>
        <v>9</v>
      </c>
      <c r="H289">
        <f t="shared" si="41"/>
        <v>14</v>
      </c>
      <c r="I289">
        <f t="shared" si="42"/>
        <v>90</v>
      </c>
      <c r="J289" t="str">
        <f t="shared" si="43"/>
        <v>DwarfPriestHP</v>
      </c>
    </row>
    <row r="290" spans="1:10" x14ac:dyDescent="0.3">
      <c r="A290" s="1" t="str">
        <f t="shared" si="44"/>
        <v>Dwarf</v>
      </c>
      <c r="B290" s="1" t="s">
        <v>92</v>
      </c>
      <c r="C290" s="1" t="s">
        <v>0</v>
      </c>
      <c r="D290">
        <f t="shared" si="38"/>
        <v>-3</v>
      </c>
      <c r="E290">
        <f t="shared" si="39"/>
        <v>2</v>
      </c>
      <c r="F290">
        <f t="shared" si="45"/>
        <v>-1</v>
      </c>
      <c r="G290">
        <f t="shared" si="40"/>
        <v>13</v>
      </c>
      <c r="H290">
        <f t="shared" si="41"/>
        <v>0</v>
      </c>
      <c r="I290">
        <f t="shared" si="42"/>
        <v>70</v>
      </c>
      <c r="J290" t="str">
        <f t="shared" si="43"/>
        <v>DwarfMageMag</v>
      </c>
    </row>
    <row r="291" spans="1:10" x14ac:dyDescent="0.3">
      <c r="A291" s="1" t="str">
        <f t="shared" si="44"/>
        <v>Dwarf</v>
      </c>
      <c r="B291" s="1" t="s">
        <v>92</v>
      </c>
      <c r="C291" s="1" t="s">
        <v>1</v>
      </c>
      <c r="D291">
        <f t="shared" si="38"/>
        <v>0</v>
      </c>
      <c r="E291">
        <f t="shared" si="39"/>
        <v>-7</v>
      </c>
      <c r="F291">
        <f t="shared" si="45"/>
        <v>-7</v>
      </c>
      <c r="G291">
        <f t="shared" si="40"/>
        <v>31</v>
      </c>
      <c r="H291">
        <f t="shared" si="41"/>
        <v>0</v>
      </c>
      <c r="I291">
        <f t="shared" si="42"/>
        <v>0</v>
      </c>
      <c r="J291" t="str">
        <f t="shared" si="43"/>
        <v>DwarfMageDiv</v>
      </c>
    </row>
    <row r="292" spans="1:10" x14ac:dyDescent="0.3">
      <c r="A292" s="1" t="str">
        <f t="shared" si="44"/>
        <v>Dwarf</v>
      </c>
      <c r="B292" s="1" t="s">
        <v>92</v>
      </c>
      <c r="C292" s="1" t="s">
        <v>2</v>
      </c>
      <c r="D292">
        <f t="shared" si="38"/>
        <v>3</v>
      </c>
      <c r="E292">
        <f t="shared" si="39"/>
        <v>-3</v>
      </c>
      <c r="F292">
        <f t="shared" si="45"/>
        <v>0</v>
      </c>
      <c r="G292">
        <f t="shared" si="40"/>
        <v>10</v>
      </c>
      <c r="H292">
        <f t="shared" si="41"/>
        <v>0</v>
      </c>
      <c r="I292">
        <f t="shared" si="42"/>
        <v>80</v>
      </c>
      <c r="J292" t="str">
        <f t="shared" si="43"/>
        <v>DwarfMageStr</v>
      </c>
    </row>
    <row r="293" spans="1:10" x14ac:dyDescent="0.3">
      <c r="A293" s="1" t="str">
        <f t="shared" si="44"/>
        <v>Dwarf</v>
      </c>
      <c r="B293" s="1" t="s">
        <v>92</v>
      </c>
      <c r="C293" s="1" t="s">
        <v>3</v>
      </c>
      <c r="D293">
        <f t="shared" si="38"/>
        <v>-1</v>
      </c>
      <c r="E293">
        <f t="shared" si="39"/>
        <v>0</v>
      </c>
      <c r="F293">
        <f t="shared" si="45"/>
        <v>-1</v>
      </c>
      <c r="G293">
        <f t="shared" si="40"/>
        <v>13</v>
      </c>
      <c r="H293">
        <f t="shared" si="41"/>
        <v>0</v>
      </c>
      <c r="I293">
        <f t="shared" si="42"/>
        <v>70</v>
      </c>
      <c r="J293" t="str">
        <f t="shared" si="43"/>
        <v>DwarfMageDex</v>
      </c>
    </row>
    <row r="294" spans="1:10" x14ac:dyDescent="0.3">
      <c r="A294" s="1" t="str">
        <f t="shared" si="44"/>
        <v>Dwarf</v>
      </c>
      <c r="B294" s="1" t="s">
        <v>92</v>
      </c>
      <c r="C294" s="1" t="s">
        <v>4</v>
      </c>
      <c r="D294">
        <f t="shared" si="38"/>
        <v>1</v>
      </c>
      <c r="E294">
        <f t="shared" si="39"/>
        <v>-1</v>
      </c>
      <c r="F294">
        <f t="shared" si="45"/>
        <v>0</v>
      </c>
      <c r="G294">
        <f t="shared" si="40"/>
        <v>10</v>
      </c>
      <c r="H294">
        <f t="shared" si="41"/>
        <v>0</v>
      </c>
      <c r="I294">
        <f t="shared" si="42"/>
        <v>80</v>
      </c>
      <c r="J294" t="str">
        <f t="shared" si="43"/>
        <v>DwarfMageCon</v>
      </c>
    </row>
    <row r="295" spans="1:10" x14ac:dyDescent="0.3">
      <c r="A295" s="1" t="str">
        <f t="shared" si="44"/>
        <v>Dwarf</v>
      </c>
      <c r="B295" s="1" t="s">
        <v>92</v>
      </c>
      <c r="C295" s="1" t="s">
        <v>5</v>
      </c>
      <c r="D295">
        <f t="shared" si="38"/>
        <v>-2</v>
      </c>
      <c r="E295">
        <f t="shared" si="39"/>
        <v>1</v>
      </c>
      <c r="F295">
        <f t="shared" si="45"/>
        <v>-1</v>
      </c>
      <c r="G295">
        <f t="shared" si="40"/>
        <v>13</v>
      </c>
      <c r="H295">
        <f t="shared" si="41"/>
        <v>0</v>
      </c>
      <c r="I295">
        <f t="shared" si="42"/>
        <v>70</v>
      </c>
      <c r="J295" t="str">
        <f t="shared" si="43"/>
        <v>DwarfMageCha</v>
      </c>
    </row>
    <row r="296" spans="1:10" x14ac:dyDescent="0.3">
      <c r="A296" s="1" t="str">
        <f t="shared" si="44"/>
        <v>Dwarf</v>
      </c>
      <c r="B296" s="1" t="s">
        <v>92</v>
      </c>
      <c r="C296" s="1" t="s">
        <v>6</v>
      </c>
      <c r="D296">
        <f t="shared" si="38"/>
        <v>0</v>
      </c>
      <c r="E296">
        <f t="shared" si="39"/>
        <v>3</v>
      </c>
      <c r="F296">
        <f t="shared" si="45"/>
        <v>3</v>
      </c>
      <c r="G296">
        <f t="shared" si="40"/>
        <v>7</v>
      </c>
      <c r="H296">
        <f t="shared" si="41"/>
        <v>11</v>
      </c>
      <c r="I296">
        <f t="shared" si="42"/>
        <v>105</v>
      </c>
      <c r="J296" t="str">
        <f t="shared" si="43"/>
        <v>DwarfMageBra</v>
      </c>
    </row>
    <row r="297" spans="1:10" x14ac:dyDescent="0.3">
      <c r="A297" s="1" t="str">
        <f t="shared" si="44"/>
        <v>Dwarf</v>
      </c>
      <c r="B297" s="1" t="s">
        <v>92</v>
      </c>
      <c r="C297" s="1" t="s">
        <v>7</v>
      </c>
      <c r="D297">
        <f t="shared" si="38"/>
        <v>2</v>
      </c>
      <c r="E297">
        <f t="shared" si="39"/>
        <v>-2</v>
      </c>
      <c r="F297">
        <f t="shared" si="45"/>
        <v>0</v>
      </c>
      <c r="G297">
        <f t="shared" si="40"/>
        <v>10</v>
      </c>
      <c r="H297">
        <f t="shared" si="41"/>
        <v>0</v>
      </c>
      <c r="I297">
        <f t="shared" si="42"/>
        <v>80</v>
      </c>
      <c r="J297" t="str">
        <f t="shared" si="43"/>
        <v>DwarfMageHP</v>
      </c>
    </row>
    <row r="298" spans="1:10" x14ac:dyDescent="0.3">
      <c r="A298" s="1" t="str">
        <f t="shared" si="44"/>
        <v>Dwarf</v>
      </c>
      <c r="B298" s="1" t="s">
        <v>62</v>
      </c>
      <c r="C298" s="1" t="s">
        <v>0</v>
      </c>
      <c r="D298">
        <f t="shared" si="38"/>
        <v>-3</v>
      </c>
      <c r="E298">
        <f t="shared" si="39"/>
        <v>3</v>
      </c>
      <c r="F298">
        <f t="shared" si="45"/>
        <v>0</v>
      </c>
      <c r="G298">
        <f t="shared" si="40"/>
        <v>10</v>
      </c>
      <c r="H298">
        <f t="shared" si="41"/>
        <v>0</v>
      </c>
      <c r="I298">
        <f t="shared" si="42"/>
        <v>80</v>
      </c>
      <c r="J298" t="str">
        <f t="shared" si="43"/>
        <v>DwarfSorcererMag</v>
      </c>
    </row>
    <row r="299" spans="1:10" x14ac:dyDescent="0.3">
      <c r="A299" s="1" t="str">
        <f t="shared" si="44"/>
        <v>Dwarf</v>
      </c>
      <c r="B299" s="1" t="s">
        <v>62</v>
      </c>
      <c r="C299" s="1" t="s">
        <v>1</v>
      </c>
      <c r="D299">
        <f t="shared" si="38"/>
        <v>0</v>
      </c>
      <c r="E299">
        <f t="shared" si="39"/>
        <v>-7</v>
      </c>
      <c r="F299">
        <f t="shared" si="45"/>
        <v>-7</v>
      </c>
      <c r="G299">
        <f t="shared" si="40"/>
        <v>31</v>
      </c>
      <c r="H299">
        <f t="shared" si="41"/>
        <v>0</v>
      </c>
      <c r="I299">
        <f t="shared" si="42"/>
        <v>0</v>
      </c>
      <c r="J299" t="str">
        <f t="shared" si="43"/>
        <v>DwarfSorcererDiv</v>
      </c>
    </row>
    <row r="300" spans="1:10" x14ac:dyDescent="0.3">
      <c r="A300" s="1" t="str">
        <f t="shared" si="44"/>
        <v>Dwarf</v>
      </c>
      <c r="B300" s="1" t="s">
        <v>62</v>
      </c>
      <c r="C300" s="1" t="s">
        <v>2</v>
      </c>
      <c r="D300">
        <f t="shared" si="38"/>
        <v>3</v>
      </c>
      <c r="E300">
        <f t="shared" si="39"/>
        <v>-3</v>
      </c>
      <c r="F300">
        <f t="shared" si="45"/>
        <v>0</v>
      </c>
      <c r="G300">
        <f t="shared" si="40"/>
        <v>10</v>
      </c>
      <c r="H300">
        <f t="shared" si="41"/>
        <v>0</v>
      </c>
      <c r="I300">
        <f t="shared" si="42"/>
        <v>80</v>
      </c>
      <c r="J300" t="str">
        <f t="shared" si="43"/>
        <v>DwarfSorcererStr</v>
      </c>
    </row>
    <row r="301" spans="1:10" x14ac:dyDescent="0.3">
      <c r="A301" s="1" t="str">
        <f t="shared" si="44"/>
        <v>Dwarf</v>
      </c>
      <c r="B301" s="1" t="s">
        <v>62</v>
      </c>
      <c r="C301" s="1" t="s">
        <v>3</v>
      </c>
      <c r="D301">
        <f t="shared" si="38"/>
        <v>-1</v>
      </c>
      <c r="E301">
        <f t="shared" si="39"/>
        <v>0</v>
      </c>
      <c r="F301">
        <f t="shared" si="45"/>
        <v>-1</v>
      </c>
      <c r="G301">
        <f t="shared" si="40"/>
        <v>13</v>
      </c>
      <c r="H301">
        <f t="shared" si="41"/>
        <v>0</v>
      </c>
      <c r="I301">
        <f t="shared" si="42"/>
        <v>70</v>
      </c>
      <c r="J301" t="str">
        <f t="shared" si="43"/>
        <v>DwarfSorcererDex</v>
      </c>
    </row>
    <row r="302" spans="1:10" x14ac:dyDescent="0.3">
      <c r="A302" s="1" t="str">
        <f t="shared" si="44"/>
        <v>Dwarf</v>
      </c>
      <c r="B302" s="1" t="s">
        <v>62</v>
      </c>
      <c r="C302" s="1" t="s">
        <v>4</v>
      </c>
      <c r="D302">
        <f t="shared" si="38"/>
        <v>1</v>
      </c>
      <c r="E302">
        <f t="shared" si="39"/>
        <v>-2</v>
      </c>
      <c r="F302">
        <f t="shared" si="45"/>
        <v>-1</v>
      </c>
      <c r="G302">
        <f t="shared" si="40"/>
        <v>13</v>
      </c>
      <c r="H302">
        <f t="shared" si="41"/>
        <v>0</v>
      </c>
      <c r="I302">
        <f t="shared" si="42"/>
        <v>70</v>
      </c>
      <c r="J302" t="str">
        <f t="shared" si="43"/>
        <v>DwarfSorcererCon</v>
      </c>
    </row>
    <row r="303" spans="1:10" x14ac:dyDescent="0.3">
      <c r="A303" s="1" t="str">
        <f t="shared" si="44"/>
        <v>Dwarf</v>
      </c>
      <c r="B303" s="1" t="s">
        <v>62</v>
      </c>
      <c r="C303" s="1" t="s">
        <v>5</v>
      </c>
      <c r="D303">
        <f t="shared" si="38"/>
        <v>-2</v>
      </c>
      <c r="E303">
        <f t="shared" si="39"/>
        <v>1</v>
      </c>
      <c r="F303">
        <f t="shared" si="45"/>
        <v>-1</v>
      </c>
      <c r="G303">
        <f t="shared" si="40"/>
        <v>13</v>
      </c>
      <c r="H303">
        <f t="shared" si="41"/>
        <v>0</v>
      </c>
      <c r="I303">
        <f t="shared" si="42"/>
        <v>70</v>
      </c>
      <c r="J303" t="str">
        <f t="shared" si="43"/>
        <v>DwarfSorcererCha</v>
      </c>
    </row>
    <row r="304" spans="1:10" x14ac:dyDescent="0.3">
      <c r="A304" s="1" t="str">
        <f t="shared" si="44"/>
        <v>Dwarf</v>
      </c>
      <c r="B304" s="1" t="s">
        <v>62</v>
      </c>
      <c r="C304" s="1" t="s">
        <v>6</v>
      </c>
      <c r="D304">
        <f t="shared" si="38"/>
        <v>0</v>
      </c>
      <c r="E304">
        <f t="shared" si="39"/>
        <v>2</v>
      </c>
      <c r="F304">
        <f t="shared" si="45"/>
        <v>2</v>
      </c>
      <c r="G304">
        <f t="shared" si="40"/>
        <v>8</v>
      </c>
      <c r="H304">
        <f t="shared" si="41"/>
        <v>12</v>
      </c>
      <c r="I304">
        <f t="shared" si="42"/>
        <v>100</v>
      </c>
      <c r="J304" t="str">
        <f t="shared" si="43"/>
        <v>DwarfSorcererBra</v>
      </c>
    </row>
    <row r="305" spans="1:10" x14ac:dyDescent="0.3">
      <c r="A305" s="1" t="str">
        <f t="shared" si="44"/>
        <v>Dwarf</v>
      </c>
      <c r="B305" s="1" t="s">
        <v>62</v>
      </c>
      <c r="C305" s="1" t="s">
        <v>7</v>
      </c>
      <c r="D305">
        <f t="shared" si="38"/>
        <v>2</v>
      </c>
      <c r="E305">
        <f t="shared" si="39"/>
        <v>-1</v>
      </c>
      <c r="F305">
        <f t="shared" si="45"/>
        <v>1</v>
      </c>
      <c r="G305">
        <f t="shared" si="40"/>
        <v>9</v>
      </c>
      <c r="H305">
        <f t="shared" si="41"/>
        <v>14</v>
      </c>
      <c r="I305">
        <f t="shared" si="42"/>
        <v>90</v>
      </c>
      <c r="J305" t="str">
        <f t="shared" si="43"/>
        <v>DwarfSorcererHP</v>
      </c>
    </row>
    <row r="306" spans="1:10" x14ac:dyDescent="0.3">
      <c r="A306" s="1" t="str">
        <f t="shared" si="44"/>
        <v>Dwarf</v>
      </c>
      <c r="B306" s="1" t="s">
        <v>22</v>
      </c>
      <c r="C306" s="1" t="s">
        <v>0</v>
      </c>
      <c r="D306">
        <f t="shared" si="38"/>
        <v>-3</v>
      </c>
      <c r="E306">
        <f t="shared" si="39"/>
        <v>-5</v>
      </c>
      <c r="F306">
        <f t="shared" si="45"/>
        <v>-8</v>
      </c>
      <c r="G306">
        <f t="shared" si="40"/>
        <v>31</v>
      </c>
      <c r="H306">
        <f t="shared" si="41"/>
        <v>0</v>
      </c>
      <c r="I306">
        <f t="shared" si="42"/>
        <v>0</v>
      </c>
      <c r="J306" t="str">
        <f t="shared" si="43"/>
        <v>DwarfBarbarianMag</v>
      </c>
    </row>
    <row r="307" spans="1:10" x14ac:dyDescent="0.3">
      <c r="A307" s="1" t="str">
        <f t="shared" si="44"/>
        <v>Dwarf</v>
      </c>
      <c r="B307" s="1" t="s">
        <v>22</v>
      </c>
      <c r="C307" s="1" t="s">
        <v>1</v>
      </c>
      <c r="D307">
        <f t="shared" si="38"/>
        <v>0</v>
      </c>
      <c r="E307">
        <f t="shared" si="39"/>
        <v>-7</v>
      </c>
      <c r="F307">
        <f t="shared" si="45"/>
        <v>-7</v>
      </c>
      <c r="G307">
        <f t="shared" si="40"/>
        <v>31</v>
      </c>
      <c r="H307">
        <f t="shared" si="41"/>
        <v>0</v>
      </c>
      <c r="I307">
        <f t="shared" si="42"/>
        <v>0</v>
      </c>
      <c r="J307" t="str">
        <f t="shared" si="43"/>
        <v>DwarfBarbarianDiv</v>
      </c>
    </row>
    <row r="308" spans="1:10" x14ac:dyDescent="0.3">
      <c r="A308" s="1" t="str">
        <f t="shared" si="44"/>
        <v>Dwarf</v>
      </c>
      <c r="B308" s="1" t="s">
        <v>22</v>
      </c>
      <c r="C308" s="1" t="s">
        <v>2</v>
      </c>
      <c r="D308">
        <f t="shared" si="38"/>
        <v>3</v>
      </c>
      <c r="E308">
        <f t="shared" si="39"/>
        <v>3</v>
      </c>
      <c r="F308">
        <f t="shared" si="45"/>
        <v>6</v>
      </c>
      <c r="G308">
        <f t="shared" si="40"/>
        <v>5</v>
      </c>
      <c r="H308">
        <f t="shared" si="41"/>
        <v>8</v>
      </c>
      <c r="I308">
        <f t="shared" si="42"/>
        <v>111</v>
      </c>
      <c r="J308" t="str">
        <f t="shared" si="43"/>
        <v>DwarfBarbarianStr</v>
      </c>
    </row>
    <row r="309" spans="1:10" x14ac:dyDescent="0.3">
      <c r="A309" s="1" t="str">
        <f t="shared" si="44"/>
        <v>Dwarf</v>
      </c>
      <c r="B309" s="1" t="s">
        <v>22</v>
      </c>
      <c r="C309" s="1" t="s">
        <v>3</v>
      </c>
      <c r="D309">
        <f t="shared" si="38"/>
        <v>-1</v>
      </c>
      <c r="E309">
        <f t="shared" si="39"/>
        <v>2</v>
      </c>
      <c r="F309">
        <f t="shared" si="45"/>
        <v>1</v>
      </c>
      <c r="G309">
        <f t="shared" si="40"/>
        <v>9</v>
      </c>
      <c r="H309">
        <f t="shared" si="41"/>
        <v>14</v>
      </c>
      <c r="I309">
        <f t="shared" si="42"/>
        <v>90</v>
      </c>
      <c r="J309" t="str">
        <f t="shared" si="43"/>
        <v>DwarfBarbarianDex</v>
      </c>
    </row>
    <row r="310" spans="1:10" x14ac:dyDescent="0.3">
      <c r="A310" s="1" t="str">
        <f t="shared" si="44"/>
        <v>Dwarf</v>
      </c>
      <c r="B310" s="1" t="s">
        <v>22</v>
      </c>
      <c r="C310" s="1" t="s">
        <v>4</v>
      </c>
      <c r="D310">
        <f t="shared" si="38"/>
        <v>1</v>
      </c>
      <c r="E310">
        <f t="shared" si="39"/>
        <v>0</v>
      </c>
      <c r="F310">
        <f t="shared" si="45"/>
        <v>1</v>
      </c>
      <c r="G310">
        <f t="shared" si="40"/>
        <v>9</v>
      </c>
      <c r="H310">
        <f t="shared" si="41"/>
        <v>14</v>
      </c>
      <c r="I310">
        <f t="shared" si="42"/>
        <v>90</v>
      </c>
      <c r="J310" t="str">
        <f t="shared" si="43"/>
        <v>DwarfBarbarianCon</v>
      </c>
    </row>
    <row r="311" spans="1:10" x14ac:dyDescent="0.3">
      <c r="A311" s="1" t="str">
        <f t="shared" si="44"/>
        <v>Dwarf</v>
      </c>
      <c r="B311" s="1" t="s">
        <v>22</v>
      </c>
      <c r="C311" s="1" t="s">
        <v>5</v>
      </c>
      <c r="D311">
        <f t="shared" si="38"/>
        <v>-2</v>
      </c>
      <c r="E311">
        <f t="shared" si="39"/>
        <v>-1</v>
      </c>
      <c r="F311">
        <f t="shared" si="45"/>
        <v>-3</v>
      </c>
      <c r="G311">
        <f t="shared" si="40"/>
        <v>19</v>
      </c>
      <c r="H311">
        <f t="shared" si="41"/>
        <v>0</v>
      </c>
      <c r="I311">
        <f t="shared" si="42"/>
        <v>50</v>
      </c>
      <c r="J311" t="str">
        <f t="shared" si="43"/>
        <v>DwarfBarbarianCha</v>
      </c>
    </row>
    <row r="312" spans="1:10" x14ac:dyDescent="0.3">
      <c r="A312" s="1" t="str">
        <f t="shared" si="44"/>
        <v>Dwarf</v>
      </c>
      <c r="B312" s="1" t="s">
        <v>22</v>
      </c>
      <c r="C312" s="1" t="s">
        <v>6</v>
      </c>
      <c r="D312">
        <f t="shared" si="38"/>
        <v>0</v>
      </c>
      <c r="E312">
        <f t="shared" si="39"/>
        <v>-2</v>
      </c>
      <c r="F312">
        <f t="shared" si="45"/>
        <v>-2</v>
      </c>
      <c r="G312">
        <f t="shared" si="40"/>
        <v>16</v>
      </c>
      <c r="H312">
        <f t="shared" si="41"/>
        <v>0</v>
      </c>
      <c r="I312">
        <f t="shared" si="42"/>
        <v>60</v>
      </c>
      <c r="J312" t="str">
        <f t="shared" si="43"/>
        <v>DwarfBarbarianBra</v>
      </c>
    </row>
    <row r="313" spans="1:10" x14ac:dyDescent="0.3">
      <c r="A313" s="1" t="str">
        <f t="shared" si="44"/>
        <v>Dwarf</v>
      </c>
      <c r="B313" s="1" t="s">
        <v>22</v>
      </c>
      <c r="C313" s="1" t="s">
        <v>7</v>
      </c>
      <c r="D313">
        <f t="shared" si="38"/>
        <v>2</v>
      </c>
      <c r="E313">
        <f t="shared" si="39"/>
        <v>1</v>
      </c>
      <c r="F313">
        <f t="shared" si="45"/>
        <v>3</v>
      </c>
      <c r="G313">
        <f t="shared" si="40"/>
        <v>7</v>
      </c>
      <c r="H313">
        <f t="shared" si="41"/>
        <v>11</v>
      </c>
      <c r="I313">
        <f t="shared" si="42"/>
        <v>105</v>
      </c>
      <c r="J313" t="str">
        <f t="shared" si="43"/>
        <v>DwarfBarbarianHP</v>
      </c>
    </row>
    <row r="314" spans="1:10" x14ac:dyDescent="0.3">
      <c r="A314" s="1" t="s">
        <v>20</v>
      </c>
      <c r="B314" s="1" t="s">
        <v>8</v>
      </c>
      <c r="C314" s="1" t="s">
        <v>0</v>
      </c>
      <c r="D314">
        <f t="shared" si="38"/>
        <v>0</v>
      </c>
      <c r="E314">
        <f t="shared" si="39"/>
        <v>-7</v>
      </c>
      <c r="F314">
        <f t="shared" si="45"/>
        <v>-7</v>
      </c>
      <c r="G314">
        <f t="shared" si="40"/>
        <v>31</v>
      </c>
      <c r="H314">
        <f t="shared" si="41"/>
        <v>0</v>
      </c>
      <c r="I314">
        <f t="shared" si="42"/>
        <v>0</v>
      </c>
      <c r="J314" t="str">
        <f t="shared" si="43"/>
        <v>HalflingFighterMag</v>
      </c>
    </row>
    <row r="315" spans="1:10" x14ac:dyDescent="0.3">
      <c r="A315" s="1" t="str">
        <f>A314</f>
        <v>Halfling</v>
      </c>
      <c r="B315" s="1" t="s">
        <v>8</v>
      </c>
      <c r="C315" s="1" t="s">
        <v>1</v>
      </c>
      <c r="D315">
        <f t="shared" si="38"/>
        <v>-1</v>
      </c>
      <c r="E315">
        <f t="shared" si="39"/>
        <v>-5</v>
      </c>
      <c r="F315">
        <f t="shared" si="45"/>
        <v>-6</v>
      </c>
      <c r="G315">
        <f t="shared" si="40"/>
        <v>28</v>
      </c>
      <c r="H315">
        <f t="shared" si="41"/>
        <v>0</v>
      </c>
      <c r="I315">
        <f t="shared" si="42"/>
        <v>15</v>
      </c>
      <c r="J315" t="str">
        <f t="shared" si="43"/>
        <v>HalflingFighterDiv</v>
      </c>
    </row>
    <row r="316" spans="1:10" x14ac:dyDescent="0.3">
      <c r="A316" s="1" t="str">
        <f t="shared" ref="A316:A379" si="46">A315</f>
        <v>Halfling</v>
      </c>
      <c r="B316" s="1" t="s">
        <v>8</v>
      </c>
      <c r="C316" s="1" t="s">
        <v>2</v>
      </c>
      <c r="D316">
        <f t="shared" si="38"/>
        <v>0</v>
      </c>
      <c r="E316">
        <f t="shared" si="39"/>
        <v>2</v>
      </c>
      <c r="F316">
        <f t="shared" si="45"/>
        <v>2</v>
      </c>
      <c r="G316">
        <f t="shared" si="40"/>
        <v>8</v>
      </c>
      <c r="H316">
        <f t="shared" si="41"/>
        <v>12</v>
      </c>
      <c r="I316">
        <f t="shared" si="42"/>
        <v>100</v>
      </c>
      <c r="J316" t="str">
        <f t="shared" si="43"/>
        <v>HalflingFighterStr</v>
      </c>
    </row>
    <row r="317" spans="1:10" x14ac:dyDescent="0.3">
      <c r="A317" s="1" t="str">
        <f t="shared" si="46"/>
        <v>Halfling</v>
      </c>
      <c r="B317" s="1" t="s">
        <v>8</v>
      </c>
      <c r="C317" s="1" t="s">
        <v>3</v>
      </c>
      <c r="D317">
        <f t="shared" si="38"/>
        <v>3</v>
      </c>
      <c r="E317">
        <f t="shared" si="39"/>
        <v>0</v>
      </c>
      <c r="F317">
        <f t="shared" si="45"/>
        <v>3</v>
      </c>
      <c r="G317">
        <f t="shared" si="40"/>
        <v>7</v>
      </c>
      <c r="H317">
        <f t="shared" si="41"/>
        <v>11</v>
      </c>
      <c r="I317">
        <f t="shared" si="42"/>
        <v>105</v>
      </c>
      <c r="J317" t="str">
        <f t="shared" si="43"/>
        <v>HalflingFighterDex</v>
      </c>
    </row>
    <row r="318" spans="1:10" x14ac:dyDescent="0.3">
      <c r="A318" s="1" t="str">
        <f t="shared" si="46"/>
        <v>Halfling</v>
      </c>
      <c r="B318" s="1" t="s">
        <v>8</v>
      </c>
      <c r="C318" s="1" t="s">
        <v>4</v>
      </c>
      <c r="D318">
        <f t="shared" si="38"/>
        <v>0</v>
      </c>
      <c r="E318">
        <f t="shared" si="39"/>
        <v>1</v>
      </c>
      <c r="F318">
        <f t="shared" si="45"/>
        <v>1</v>
      </c>
      <c r="G318">
        <f t="shared" si="40"/>
        <v>9</v>
      </c>
      <c r="H318">
        <f t="shared" si="41"/>
        <v>14</v>
      </c>
      <c r="I318">
        <f t="shared" si="42"/>
        <v>90</v>
      </c>
      <c r="J318" t="str">
        <f t="shared" si="43"/>
        <v>HalflingFighterCon</v>
      </c>
    </row>
    <row r="319" spans="1:10" x14ac:dyDescent="0.3">
      <c r="A319" s="1" t="str">
        <f t="shared" si="46"/>
        <v>Halfling</v>
      </c>
      <c r="B319" s="1" t="s">
        <v>8</v>
      </c>
      <c r="C319" s="1" t="s">
        <v>5</v>
      </c>
      <c r="D319">
        <f t="shared" si="38"/>
        <v>0</v>
      </c>
      <c r="E319">
        <f t="shared" si="39"/>
        <v>-2</v>
      </c>
      <c r="F319">
        <f t="shared" si="45"/>
        <v>-2</v>
      </c>
      <c r="G319">
        <f t="shared" si="40"/>
        <v>16</v>
      </c>
      <c r="H319">
        <f t="shared" si="41"/>
        <v>0</v>
      </c>
      <c r="I319">
        <f t="shared" si="42"/>
        <v>60</v>
      </c>
      <c r="J319" t="str">
        <f t="shared" si="43"/>
        <v>HalflingFighterCha</v>
      </c>
    </row>
    <row r="320" spans="1:10" x14ac:dyDescent="0.3">
      <c r="A320" s="1" t="str">
        <f t="shared" si="46"/>
        <v>Halfling</v>
      </c>
      <c r="B320" s="1" t="s">
        <v>8</v>
      </c>
      <c r="C320" s="1" t="s">
        <v>6</v>
      </c>
      <c r="D320">
        <f t="shared" si="38"/>
        <v>-1</v>
      </c>
      <c r="E320">
        <f t="shared" si="39"/>
        <v>-1</v>
      </c>
      <c r="F320">
        <f t="shared" si="45"/>
        <v>-2</v>
      </c>
      <c r="G320">
        <f t="shared" si="40"/>
        <v>16</v>
      </c>
      <c r="H320">
        <f t="shared" si="41"/>
        <v>0</v>
      </c>
      <c r="I320">
        <f t="shared" si="42"/>
        <v>60</v>
      </c>
      <c r="J320" t="str">
        <f t="shared" si="43"/>
        <v>HalflingFighterBra</v>
      </c>
    </row>
    <row r="321" spans="1:10" x14ac:dyDescent="0.3">
      <c r="A321" s="1" t="str">
        <f t="shared" si="46"/>
        <v>Halfling</v>
      </c>
      <c r="B321" s="1" t="s">
        <v>8</v>
      </c>
      <c r="C321" s="1" t="s">
        <v>7</v>
      </c>
      <c r="D321">
        <f t="shared" si="38"/>
        <v>-1</v>
      </c>
      <c r="E321">
        <f t="shared" si="39"/>
        <v>3</v>
      </c>
      <c r="F321">
        <f t="shared" si="45"/>
        <v>2</v>
      </c>
      <c r="G321">
        <f t="shared" si="40"/>
        <v>8</v>
      </c>
      <c r="H321">
        <f t="shared" si="41"/>
        <v>12</v>
      </c>
      <c r="I321">
        <f t="shared" si="42"/>
        <v>100</v>
      </c>
      <c r="J321" t="str">
        <f t="shared" si="43"/>
        <v>HalflingFighterHP</v>
      </c>
    </row>
    <row r="322" spans="1:10" x14ac:dyDescent="0.3">
      <c r="A322" s="1" t="str">
        <f t="shared" si="46"/>
        <v>Halfling</v>
      </c>
      <c r="B322" s="1" t="s">
        <v>9</v>
      </c>
      <c r="C322" s="1" t="s">
        <v>0</v>
      </c>
      <c r="D322">
        <f t="shared" ref="D322:D385" si="47">INDEX(TblRaceValues,MATCH(C322, TblAbilities, 0),MATCH(A322,TblRaces,0))</f>
        <v>0</v>
      </c>
      <c r="E322">
        <f t="shared" ref="E322:E385" si="48">INDEX(TblProfessionValues,MATCH(C322,TblAbilities,0),MATCH(B322,TblProfessions,0))</f>
        <v>-7</v>
      </c>
      <c r="F322">
        <f t="shared" si="45"/>
        <v>-7</v>
      </c>
      <c r="G322">
        <f t="shared" ref="G322:G385" si="49">HLOOKUP(MIN(MAX(-7,F322),7),TblPracticeCost,2)</f>
        <v>31</v>
      </c>
      <c r="H322">
        <f t="shared" ref="H322:H385" si="50">HLOOKUP(MIN(MAX(-7,F322),7),TblPracticeCost,3)</f>
        <v>0</v>
      </c>
      <c r="I322">
        <f t="shared" ref="I322:I385" si="51">VLOOKUP(MIN(MAX(-7,F322),7),TblBonusMaxSkill,2)</f>
        <v>0</v>
      </c>
      <c r="J322" t="str">
        <f t="shared" si="43"/>
        <v>HalflingKnightMag</v>
      </c>
    </row>
    <row r="323" spans="1:10" x14ac:dyDescent="0.3">
      <c r="A323" s="1" t="str">
        <f t="shared" si="46"/>
        <v>Halfling</v>
      </c>
      <c r="B323" s="1" t="s">
        <v>9</v>
      </c>
      <c r="C323" s="1" t="s">
        <v>1</v>
      </c>
      <c r="D323">
        <f t="shared" si="47"/>
        <v>-1</v>
      </c>
      <c r="E323">
        <f t="shared" si="48"/>
        <v>0</v>
      </c>
      <c r="F323">
        <f t="shared" si="45"/>
        <v>-1</v>
      </c>
      <c r="G323">
        <f t="shared" si="49"/>
        <v>13</v>
      </c>
      <c r="H323">
        <f t="shared" si="50"/>
        <v>0</v>
      </c>
      <c r="I323">
        <f t="shared" si="51"/>
        <v>70</v>
      </c>
      <c r="J323" t="str">
        <f t="shared" ref="J323:J386" si="52">A323&amp;B323&amp;C323</f>
        <v>HalflingKnightDiv</v>
      </c>
    </row>
    <row r="324" spans="1:10" x14ac:dyDescent="0.3">
      <c r="A324" s="1" t="str">
        <f t="shared" si="46"/>
        <v>Halfling</v>
      </c>
      <c r="B324" s="1" t="s">
        <v>9</v>
      </c>
      <c r="C324" s="1" t="s">
        <v>2</v>
      </c>
      <c r="D324">
        <f t="shared" si="47"/>
        <v>0</v>
      </c>
      <c r="E324">
        <f t="shared" si="48"/>
        <v>2</v>
      </c>
      <c r="F324">
        <f t="shared" si="45"/>
        <v>2</v>
      </c>
      <c r="G324">
        <f t="shared" si="49"/>
        <v>8</v>
      </c>
      <c r="H324">
        <f t="shared" si="50"/>
        <v>12</v>
      </c>
      <c r="I324">
        <f t="shared" si="51"/>
        <v>100</v>
      </c>
      <c r="J324" t="str">
        <f t="shared" si="52"/>
        <v>HalflingKnightStr</v>
      </c>
    </row>
    <row r="325" spans="1:10" x14ac:dyDescent="0.3">
      <c r="A325" s="1" t="str">
        <f t="shared" si="46"/>
        <v>Halfling</v>
      </c>
      <c r="B325" s="1" t="s">
        <v>9</v>
      </c>
      <c r="C325" s="1" t="s">
        <v>3</v>
      </c>
      <c r="D325">
        <f t="shared" si="47"/>
        <v>3</v>
      </c>
      <c r="E325">
        <f t="shared" si="48"/>
        <v>-1</v>
      </c>
      <c r="F325">
        <f t="shared" si="45"/>
        <v>2</v>
      </c>
      <c r="G325">
        <f t="shared" si="49"/>
        <v>8</v>
      </c>
      <c r="H325">
        <f t="shared" si="50"/>
        <v>12</v>
      </c>
      <c r="I325">
        <f t="shared" si="51"/>
        <v>100</v>
      </c>
      <c r="J325" t="str">
        <f t="shared" si="52"/>
        <v>HalflingKnightDex</v>
      </c>
    </row>
    <row r="326" spans="1:10" x14ac:dyDescent="0.3">
      <c r="A326" s="1" t="str">
        <f t="shared" si="46"/>
        <v>Halfling</v>
      </c>
      <c r="B326" s="1" t="s">
        <v>9</v>
      </c>
      <c r="C326" s="1" t="s">
        <v>4</v>
      </c>
      <c r="D326">
        <f t="shared" si="47"/>
        <v>0</v>
      </c>
      <c r="E326">
        <f t="shared" si="48"/>
        <v>0</v>
      </c>
      <c r="F326">
        <f t="shared" si="45"/>
        <v>0</v>
      </c>
      <c r="G326">
        <f t="shared" si="49"/>
        <v>10</v>
      </c>
      <c r="H326">
        <f t="shared" si="50"/>
        <v>0</v>
      </c>
      <c r="I326">
        <f t="shared" si="51"/>
        <v>80</v>
      </c>
      <c r="J326" t="str">
        <f t="shared" si="52"/>
        <v>HalflingKnightCon</v>
      </c>
    </row>
    <row r="327" spans="1:10" x14ac:dyDescent="0.3">
      <c r="A327" s="1" t="str">
        <f t="shared" si="46"/>
        <v>Halfling</v>
      </c>
      <c r="B327" s="1" t="s">
        <v>9</v>
      </c>
      <c r="C327" s="1" t="s">
        <v>5</v>
      </c>
      <c r="D327">
        <f t="shared" si="47"/>
        <v>0</v>
      </c>
      <c r="E327">
        <f t="shared" si="48"/>
        <v>-2</v>
      </c>
      <c r="F327">
        <f t="shared" si="45"/>
        <v>-2</v>
      </c>
      <c r="G327">
        <f t="shared" si="49"/>
        <v>16</v>
      </c>
      <c r="H327">
        <f t="shared" si="50"/>
        <v>0</v>
      </c>
      <c r="I327">
        <f t="shared" si="51"/>
        <v>60</v>
      </c>
      <c r="J327" t="str">
        <f t="shared" si="52"/>
        <v>HalflingKnightCha</v>
      </c>
    </row>
    <row r="328" spans="1:10" x14ac:dyDescent="0.3">
      <c r="A328" s="1" t="str">
        <f t="shared" si="46"/>
        <v>Halfling</v>
      </c>
      <c r="B328" s="1" t="s">
        <v>9</v>
      </c>
      <c r="C328" s="1" t="s">
        <v>6</v>
      </c>
      <c r="D328">
        <f t="shared" si="47"/>
        <v>-1</v>
      </c>
      <c r="E328">
        <f t="shared" si="48"/>
        <v>0</v>
      </c>
      <c r="F328">
        <f t="shared" si="45"/>
        <v>-1</v>
      </c>
      <c r="G328">
        <f t="shared" si="49"/>
        <v>13</v>
      </c>
      <c r="H328">
        <f t="shared" si="50"/>
        <v>0</v>
      </c>
      <c r="I328">
        <f t="shared" si="51"/>
        <v>70</v>
      </c>
      <c r="J328" t="str">
        <f t="shared" si="52"/>
        <v>HalflingKnightBra</v>
      </c>
    </row>
    <row r="329" spans="1:10" x14ac:dyDescent="0.3">
      <c r="A329" s="1" t="str">
        <f t="shared" si="46"/>
        <v>Halfling</v>
      </c>
      <c r="B329" s="1" t="s">
        <v>9</v>
      </c>
      <c r="C329" s="1" t="s">
        <v>7</v>
      </c>
      <c r="D329">
        <f t="shared" si="47"/>
        <v>-1</v>
      </c>
      <c r="E329">
        <f t="shared" si="48"/>
        <v>1</v>
      </c>
      <c r="F329">
        <f t="shared" si="45"/>
        <v>0</v>
      </c>
      <c r="G329">
        <f t="shared" si="49"/>
        <v>10</v>
      </c>
      <c r="H329">
        <f t="shared" si="50"/>
        <v>0</v>
      </c>
      <c r="I329">
        <f t="shared" si="51"/>
        <v>80</v>
      </c>
      <c r="J329" t="str">
        <f t="shared" si="52"/>
        <v>HalflingKnightHP</v>
      </c>
    </row>
    <row r="330" spans="1:10" x14ac:dyDescent="0.3">
      <c r="A330" s="1" t="str">
        <f t="shared" si="46"/>
        <v>Halfling</v>
      </c>
      <c r="B330" s="1" t="s">
        <v>10</v>
      </c>
      <c r="C330" s="1" t="s">
        <v>0</v>
      </c>
      <c r="D330">
        <f t="shared" si="47"/>
        <v>0</v>
      </c>
      <c r="E330">
        <f t="shared" si="48"/>
        <v>-7</v>
      </c>
      <c r="F330">
        <f t="shared" si="45"/>
        <v>-7</v>
      </c>
      <c r="G330">
        <f t="shared" si="49"/>
        <v>31</v>
      </c>
      <c r="H330">
        <f t="shared" si="50"/>
        <v>0</v>
      </c>
      <c r="I330">
        <f t="shared" si="51"/>
        <v>0</v>
      </c>
      <c r="J330" t="str">
        <f t="shared" si="52"/>
        <v>HalflingPaladinMag</v>
      </c>
    </row>
    <row r="331" spans="1:10" x14ac:dyDescent="0.3">
      <c r="A331" s="1" t="str">
        <f t="shared" si="46"/>
        <v>Halfling</v>
      </c>
      <c r="B331" s="1" t="s">
        <v>10</v>
      </c>
      <c r="C331" s="1" t="s">
        <v>1</v>
      </c>
      <c r="D331">
        <f t="shared" si="47"/>
        <v>-1</v>
      </c>
      <c r="E331">
        <f t="shared" si="48"/>
        <v>0</v>
      </c>
      <c r="F331">
        <f t="shared" si="45"/>
        <v>-1</v>
      </c>
      <c r="G331">
        <f t="shared" si="49"/>
        <v>13</v>
      </c>
      <c r="H331">
        <f t="shared" si="50"/>
        <v>0</v>
      </c>
      <c r="I331">
        <f t="shared" si="51"/>
        <v>70</v>
      </c>
      <c r="J331" t="str">
        <f t="shared" si="52"/>
        <v>HalflingPaladinDiv</v>
      </c>
    </row>
    <row r="332" spans="1:10" x14ac:dyDescent="0.3">
      <c r="A332" s="1" t="str">
        <f t="shared" si="46"/>
        <v>Halfling</v>
      </c>
      <c r="B332" s="1" t="s">
        <v>10</v>
      </c>
      <c r="C332" s="1" t="s">
        <v>2</v>
      </c>
      <c r="D332">
        <f t="shared" si="47"/>
        <v>0</v>
      </c>
      <c r="E332">
        <f t="shared" si="48"/>
        <v>2</v>
      </c>
      <c r="F332">
        <f t="shared" si="45"/>
        <v>2</v>
      </c>
      <c r="G332">
        <f t="shared" si="49"/>
        <v>8</v>
      </c>
      <c r="H332">
        <f t="shared" si="50"/>
        <v>12</v>
      </c>
      <c r="I332">
        <f t="shared" si="51"/>
        <v>100</v>
      </c>
      <c r="J332" t="str">
        <f t="shared" si="52"/>
        <v>HalflingPaladinStr</v>
      </c>
    </row>
    <row r="333" spans="1:10" x14ac:dyDescent="0.3">
      <c r="A333" s="1" t="str">
        <f t="shared" si="46"/>
        <v>Halfling</v>
      </c>
      <c r="B333" s="1" t="s">
        <v>10</v>
      </c>
      <c r="C333" s="1" t="s">
        <v>3</v>
      </c>
      <c r="D333">
        <f t="shared" si="47"/>
        <v>3</v>
      </c>
      <c r="E333">
        <f t="shared" si="48"/>
        <v>-1</v>
      </c>
      <c r="F333">
        <f t="shared" si="45"/>
        <v>2</v>
      </c>
      <c r="G333">
        <f t="shared" si="49"/>
        <v>8</v>
      </c>
      <c r="H333">
        <f t="shared" si="50"/>
        <v>12</v>
      </c>
      <c r="I333">
        <f t="shared" si="51"/>
        <v>100</v>
      </c>
      <c r="J333" t="str">
        <f t="shared" si="52"/>
        <v>HalflingPaladinDex</v>
      </c>
    </row>
    <row r="334" spans="1:10" x14ac:dyDescent="0.3">
      <c r="A334" s="1" t="str">
        <f t="shared" si="46"/>
        <v>Halfling</v>
      </c>
      <c r="B334" s="1" t="s">
        <v>10</v>
      </c>
      <c r="C334" s="1" t="s">
        <v>4</v>
      </c>
      <c r="D334">
        <f t="shared" si="47"/>
        <v>0</v>
      </c>
      <c r="E334">
        <f t="shared" si="48"/>
        <v>0</v>
      </c>
      <c r="F334">
        <f t="shared" si="45"/>
        <v>0</v>
      </c>
      <c r="G334">
        <f t="shared" si="49"/>
        <v>10</v>
      </c>
      <c r="H334">
        <f t="shared" si="50"/>
        <v>0</v>
      </c>
      <c r="I334">
        <f t="shared" si="51"/>
        <v>80</v>
      </c>
      <c r="J334" t="str">
        <f t="shared" si="52"/>
        <v>HalflingPaladinCon</v>
      </c>
    </row>
    <row r="335" spans="1:10" x14ac:dyDescent="0.3">
      <c r="A335" s="1" t="str">
        <f t="shared" si="46"/>
        <v>Halfling</v>
      </c>
      <c r="B335" s="1" t="s">
        <v>10</v>
      </c>
      <c r="C335" s="1" t="s">
        <v>5</v>
      </c>
      <c r="D335">
        <f t="shared" si="47"/>
        <v>0</v>
      </c>
      <c r="E335">
        <f t="shared" si="48"/>
        <v>-2</v>
      </c>
      <c r="F335">
        <f t="shared" si="45"/>
        <v>-2</v>
      </c>
      <c r="G335">
        <f t="shared" si="49"/>
        <v>16</v>
      </c>
      <c r="H335">
        <f t="shared" si="50"/>
        <v>0</v>
      </c>
      <c r="I335">
        <f t="shared" si="51"/>
        <v>60</v>
      </c>
      <c r="J335" t="str">
        <f t="shared" si="52"/>
        <v>HalflingPaladinCha</v>
      </c>
    </row>
    <row r="336" spans="1:10" x14ac:dyDescent="0.3">
      <c r="A336" s="1" t="str">
        <f t="shared" si="46"/>
        <v>Halfling</v>
      </c>
      <c r="B336" s="1" t="s">
        <v>10</v>
      </c>
      <c r="C336" s="1" t="s">
        <v>6</v>
      </c>
      <c r="D336">
        <f t="shared" si="47"/>
        <v>-1</v>
      </c>
      <c r="E336">
        <f t="shared" si="48"/>
        <v>0</v>
      </c>
      <c r="F336">
        <f t="shared" si="45"/>
        <v>-1</v>
      </c>
      <c r="G336">
        <f t="shared" si="49"/>
        <v>13</v>
      </c>
      <c r="H336">
        <f t="shared" si="50"/>
        <v>0</v>
      </c>
      <c r="I336">
        <f t="shared" si="51"/>
        <v>70</v>
      </c>
      <c r="J336" t="str">
        <f t="shared" si="52"/>
        <v>HalflingPaladinBra</v>
      </c>
    </row>
    <row r="337" spans="1:10" x14ac:dyDescent="0.3">
      <c r="A337" s="1" t="str">
        <f t="shared" si="46"/>
        <v>Halfling</v>
      </c>
      <c r="B337" s="1" t="s">
        <v>10</v>
      </c>
      <c r="C337" s="1" t="s">
        <v>7</v>
      </c>
      <c r="D337">
        <f t="shared" si="47"/>
        <v>-1</v>
      </c>
      <c r="E337">
        <f t="shared" si="48"/>
        <v>1</v>
      </c>
      <c r="F337">
        <f t="shared" si="45"/>
        <v>0</v>
      </c>
      <c r="G337">
        <f t="shared" si="49"/>
        <v>10</v>
      </c>
      <c r="H337">
        <f t="shared" si="50"/>
        <v>0</v>
      </c>
      <c r="I337">
        <f t="shared" si="51"/>
        <v>80</v>
      </c>
      <c r="J337" t="str">
        <f t="shared" si="52"/>
        <v>HalflingPaladinHP</v>
      </c>
    </row>
    <row r="338" spans="1:10" x14ac:dyDescent="0.3">
      <c r="A338" s="1" t="str">
        <f t="shared" si="46"/>
        <v>Halfling</v>
      </c>
      <c r="B338" s="1" t="s">
        <v>11</v>
      </c>
      <c r="C338" s="1" t="s">
        <v>0</v>
      </c>
      <c r="D338">
        <f t="shared" si="47"/>
        <v>0</v>
      </c>
      <c r="E338">
        <f t="shared" si="48"/>
        <v>-7</v>
      </c>
      <c r="F338">
        <f t="shared" si="45"/>
        <v>-7</v>
      </c>
      <c r="G338">
        <f t="shared" si="49"/>
        <v>31</v>
      </c>
      <c r="H338">
        <f t="shared" si="50"/>
        <v>0</v>
      </c>
      <c r="I338">
        <f t="shared" si="51"/>
        <v>0</v>
      </c>
      <c r="J338" t="str">
        <f t="shared" si="52"/>
        <v>HalflingRangerMag</v>
      </c>
    </row>
    <row r="339" spans="1:10" x14ac:dyDescent="0.3">
      <c r="A339" s="1" t="str">
        <f t="shared" si="46"/>
        <v>Halfling</v>
      </c>
      <c r="B339" s="1" t="s">
        <v>11</v>
      </c>
      <c r="C339" s="1" t="s">
        <v>1</v>
      </c>
      <c r="D339">
        <f t="shared" si="47"/>
        <v>-1</v>
      </c>
      <c r="E339">
        <f t="shared" si="48"/>
        <v>0</v>
      </c>
      <c r="F339">
        <f t="shared" si="45"/>
        <v>-1</v>
      </c>
      <c r="G339">
        <f t="shared" si="49"/>
        <v>13</v>
      </c>
      <c r="H339">
        <f t="shared" si="50"/>
        <v>0</v>
      </c>
      <c r="I339">
        <f t="shared" si="51"/>
        <v>70</v>
      </c>
      <c r="J339" t="str">
        <f t="shared" si="52"/>
        <v>HalflingRangerDiv</v>
      </c>
    </row>
    <row r="340" spans="1:10" x14ac:dyDescent="0.3">
      <c r="A340" s="1" t="str">
        <f t="shared" si="46"/>
        <v>Halfling</v>
      </c>
      <c r="B340" s="1" t="s">
        <v>11</v>
      </c>
      <c r="C340" s="1" t="s">
        <v>2</v>
      </c>
      <c r="D340">
        <f t="shared" si="47"/>
        <v>0</v>
      </c>
      <c r="E340">
        <f t="shared" si="48"/>
        <v>1</v>
      </c>
      <c r="F340">
        <f t="shared" si="45"/>
        <v>1</v>
      </c>
      <c r="G340">
        <f t="shared" si="49"/>
        <v>9</v>
      </c>
      <c r="H340">
        <f t="shared" si="50"/>
        <v>14</v>
      </c>
      <c r="I340">
        <f t="shared" si="51"/>
        <v>90</v>
      </c>
      <c r="J340" t="str">
        <f t="shared" si="52"/>
        <v>HalflingRangerStr</v>
      </c>
    </row>
    <row r="341" spans="1:10" x14ac:dyDescent="0.3">
      <c r="A341" s="1" t="str">
        <f t="shared" si="46"/>
        <v>Halfling</v>
      </c>
      <c r="B341" s="1" t="s">
        <v>11</v>
      </c>
      <c r="C341" s="1" t="s">
        <v>3</v>
      </c>
      <c r="D341">
        <f t="shared" si="47"/>
        <v>3</v>
      </c>
      <c r="E341">
        <f t="shared" si="48"/>
        <v>2</v>
      </c>
      <c r="F341">
        <f t="shared" si="45"/>
        <v>5</v>
      </c>
      <c r="G341">
        <f t="shared" si="49"/>
        <v>5</v>
      </c>
      <c r="H341">
        <f t="shared" si="50"/>
        <v>8</v>
      </c>
      <c r="I341">
        <f t="shared" si="51"/>
        <v>110</v>
      </c>
      <c r="J341" t="str">
        <f t="shared" si="52"/>
        <v>HalflingRangerDex</v>
      </c>
    </row>
    <row r="342" spans="1:10" x14ac:dyDescent="0.3">
      <c r="A342" s="1" t="str">
        <f t="shared" si="46"/>
        <v>Halfling</v>
      </c>
      <c r="B342" s="1" t="s">
        <v>11</v>
      </c>
      <c r="C342" s="1" t="s">
        <v>4</v>
      </c>
      <c r="D342">
        <f t="shared" si="47"/>
        <v>0</v>
      </c>
      <c r="E342">
        <f t="shared" si="48"/>
        <v>0</v>
      </c>
      <c r="F342">
        <f t="shared" si="45"/>
        <v>0</v>
      </c>
      <c r="G342">
        <f t="shared" si="49"/>
        <v>10</v>
      </c>
      <c r="H342">
        <f t="shared" si="50"/>
        <v>0</v>
      </c>
      <c r="I342">
        <f t="shared" si="51"/>
        <v>80</v>
      </c>
      <c r="J342" t="str">
        <f t="shared" si="52"/>
        <v>HalflingRangerCon</v>
      </c>
    </row>
    <row r="343" spans="1:10" x14ac:dyDescent="0.3">
      <c r="A343" s="1" t="str">
        <f t="shared" si="46"/>
        <v>Halfling</v>
      </c>
      <c r="B343" s="1" t="s">
        <v>11</v>
      </c>
      <c r="C343" s="1" t="s">
        <v>5</v>
      </c>
      <c r="D343">
        <f t="shared" si="47"/>
        <v>0</v>
      </c>
      <c r="E343">
        <f t="shared" si="48"/>
        <v>-2</v>
      </c>
      <c r="F343">
        <f t="shared" si="45"/>
        <v>-2</v>
      </c>
      <c r="G343">
        <f t="shared" si="49"/>
        <v>16</v>
      </c>
      <c r="H343">
        <f t="shared" si="50"/>
        <v>0</v>
      </c>
      <c r="I343">
        <f t="shared" si="51"/>
        <v>60</v>
      </c>
      <c r="J343" t="str">
        <f t="shared" si="52"/>
        <v>HalflingRangerCha</v>
      </c>
    </row>
    <row r="344" spans="1:10" x14ac:dyDescent="0.3">
      <c r="A344" s="1" t="str">
        <f t="shared" si="46"/>
        <v>Halfling</v>
      </c>
      <c r="B344" s="1" t="s">
        <v>11</v>
      </c>
      <c r="C344" s="1" t="s">
        <v>6</v>
      </c>
      <c r="D344">
        <f t="shared" si="47"/>
        <v>-1</v>
      </c>
      <c r="E344">
        <f t="shared" si="48"/>
        <v>-1</v>
      </c>
      <c r="F344">
        <f t="shared" si="45"/>
        <v>-2</v>
      </c>
      <c r="G344">
        <f t="shared" si="49"/>
        <v>16</v>
      </c>
      <c r="H344">
        <f t="shared" si="50"/>
        <v>0</v>
      </c>
      <c r="I344">
        <f t="shared" si="51"/>
        <v>60</v>
      </c>
      <c r="J344" t="str">
        <f t="shared" si="52"/>
        <v>HalflingRangerBra</v>
      </c>
    </row>
    <row r="345" spans="1:10" x14ac:dyDescent="0.3">
      <c r="A345" s="1" t="str">
        <f t="shared" si="46"/>
        <v>Halfling</v>
      </c>
      <c r="B345" s="1" t="s">
        <v>11</v>
      </c>
      <c r="C345" s="1" t="s">
        <v>7</v>
      </c>
      <c r="D345">
        <f t="shared" si="47"/>
        <v>-1</v>
      </c>
      <c r="E345">
        <f t="shared" si="48"/>
        <v>0</v>
      </c>
      <c r="F345">
        <f t="shared" si="45"/>
        <v>-1</v>
      </c>
      <c r="G345">
        <f t="shared" si="49"/>
        <v>13</v>
      </c>
      <c r="H345">
        <f t="shared" si="50"/>
        <v>0</v>
      </c>
      <c r="I345">
        <f t="shared" si="51"/>
        <v>70</v>
      </c>
      <c r="J345" t="str">
        <f t="shared" si="52"/>
        <v>HalflingRangerHP</v>
      </c>
    </row>
    <row r="346" spans="1:10" x14ac:dyDescent="0.3">
      <c r="A346" s="1" t="str">
        <f t="shared" si="46"/>
        <v>Halfling</v>
      </c>
      <c r="B346" s="1" t="s">
        <v>12</v>
      </c>
      <c r="C346" s="1" t="s">
        <v>0</v>
      </c>
      <c r="D346">
        <f t="shared" si="47"/>
        <v>0</v>
      </c>
      <c r="E346">
        <f t="shared" si="48"/>
        <v>0</v>
      </c>
      <c r="F346">
        <f t="shared" si="45"/>
        <v>0</v>
      </c>
      <c r="G346">
        <f t="shared" si="49"/>
        <v>10</v>
      </c>
      <c r="H346">
        <f t="shared" si="50"/>
        <v>0</v>
      </c>
      <c r="I346">
        <f t="shared" si="51"/>
        <v>80</v>
      </c>
      <c r="J346" t="str">
        <f t="shared" si="52"/>
        <v>HalflingAssassinMag</v>
      </c>
    </row>
    <row r="347" spans="1:10" x14ac:dyDescent="0.3">
      <c r="A347" s="1" t="str">
        <f t="shared" si="46"/>
        <v>Halfling</v>
      </c>
      <c r="B347" s="1" t="s">
        <v>12</v>
      </c>
      <c r="C347" s="1" t="s">
        <v>1</v>
      </c>
      <c r="D347">
        <f t="shared" si="47"/>
        <v>-1</v>
      </c>
      <c r="E347">
        <f t="shared" si="48"/>
        <v>-7</v>
      </c>
      <c r="F347">
        <f t="shared" ref="F347:F410" si="53">E347+D347</f>
        <v>-8</v>
      </c>
      <c r="G347">
        <f t="shared" si="49"/>
        <v>31</v>
      </c>
      <c r="H347">
        <f t="shared" si="50"/>
        <v>0</v>
      </c>
      <c r="I347">
        <f t="shared" si="51"/>
        <v>0</v>
      </c>
      <c r="J347" t="str">
        <f t="shared" si="52"/>
        <v>HalflingAssassinDiv</v>
      </c>
    </row>
    <row r="348" spans="1:10" x14ac:dyDescent="0.3">
      <c r="A348" s="1" t="str">
        <f t="shared" si="46"/>
        <v>Halfling</v>
      </c>
      <c r="B348" s="1" t="s">
        <v>12</v>
      </c>
      <c r="C348" s="1" t="s">
        <v>2</v>
      </c>
      <c r="D348">
        <f t="shared" si="47"/>
        <v>0</v>
      </c>
      <c r="E348">
        <f t="shared" si="48"/>
        <v>0</v>
      </c>
      <c r="F348">
        <f t="shared" si="53"/>
        <v>0</v>
      </c>
      <c r="G348">
        <f t="shared" si="49"/>
        <v>10</v>
      </c>
      <c r="H348">
        <f t="shared" si="50"/>
        <v>0</v>
      </c>
      <c r="I348">
        <f t="shared" si="51"/>
        <v>80</v>
      </c>
      <c r="J348" t="str">
        <f t="shared" si="52"/>
        <v>HalflingAssassinStr</v>
      </c>
    </row>
    <row r="349" spans="1:10" x14ac:dyDescent="0.3">
      <c r="A349" s="1" t="str">
        <f t="shared" si="46"/>
        <v>Halfling</v>
      </c>
      <c r="B349" s="1" t="s">
        <v>12</v>
      </c>
      <c r="C349" s="1" t="s">
        <v>3</v>
      </c>
      <c r="D349">
        <f t="shared" si="47"/>
        <v>3</v>
      </c>
      <c r="E349">
        <f t="shared" si="48"/>
        <v>2</v>
      </c>
      <c r="F349">
        <f t="shared" si="53"/>
        <v>5</v>
      </c>
      <c r="G349">
        <f t="shared" si="49"/>
        <v>5</v>
      </c>
      <c r="H349">
        <f t="shared" si="50"/>
        <v>8</v>
      </c>
      <c r="I349">
        <f t="shared" si="51"/>
        <v>110</v>
      </c>
      <c r="J349" t="str">
        <f t="shared" si="52"/>
        <v>HalflingAssassinDex</v>
      </c>
    </row>
    <row r="350" spans="1:10" x14ac:dyDescent="0.3">
      <c r="A350" s="1" t="str">
        <f t="shared" si="46"/>
        <v>Halfling</v>
      </c>
      <c r="B350" s="1" t="s">
        <v>12</v>
      </c>
      <c r="C350" s="1" t="s">
        <v>4</v>
      </c>
      <c r="D350">
        <f t="shared" si="47"/>
        <v>0</v>
      </c>
      <c r="E350">
        <f t="shared" si="48"/>
        <v>0</v>
      </c>
      <c r="F350">
        <f t="shared" si="53"/>
        <v>0</v>
      </c>
      <c r="G350">
        <f t="shared" si="49"/>
        <v>10</v>
      </c>
      <c r="H350">
        <f t="shared" si="50"/>
        <v>0</v>
      </c>
      <c r="I350">
        <f t="shared" si="51"/>
        <v>80</v>
      </c>
      <c r="J350" t="str">
        <f t="shared" si="52"/>
        <v>HalflingAssassinCon</v>
      </c>
    </row>
    <row r="351" spans="1:10" x14ac:dyDescent="0.3">
      <c r="A351" s="1" t="str">
        <f t="shared" si="46"/>
        <v>Halfling</v>
      </c>
      <c r="B351" s="1" t="s">
        <v>12</v>
      </c>
      <c r="C351" s="1" t="s">
        <v>5</v>
      </c>
      <c r="D351">
        <f t="shared" si="47"/>
        <v>0</v>
      </c>
      <c r="E351">
        <f t="shared" si="48"/>
        <v>-2</v>
      </c>
      <c r="F351">
        <f t="shared" si="53"/>
        <v>-2</v>
      </c>
      <c r="G351">
        <f t="shared" si="49"/>
        <v>16</v>
      </c>
      <c r="H351">
        <f t="shared" si="50"/>
        <v>0</v>
      </c>
      <c r="I351">
        <f t="shared" si="51"/>
        <v>60</v>
      </c>
      <c r="J351" t="str">
        <f t="shared" si="52"/>
        <v>HalflingAssassinCha</v>
      </c>
    </row>
    <row r="352" spans="1:10" x14ac:dyDescent="0.3">
      <c r="A352" s="1" t="str">
        <f t="shared" si="46"/>
        <v>Halfling</v>
      </c>
      <c r="B352" s="1" t="s">
        <v>12</v>
      </c>
      <c r="C352" s="1" t="s">
        <v>6</v>
      </c>
      <c r="D352">
        <f t="shared" si="47"/>
        <v>-1</v>
      </c>
      <c r="E352">
        <f t="shared" si="48"/>
        <v>1</v>
      </c>
      <c r="F352">
        <f t="shared" si="53"/>
        <v>0</v>
      </c>
      <c r="G352">
        <f t="shared" si="49"/>
        <v>10</v>
      </c>
      <c r="H352">
        <f t="shared" si="50"/>
        <v>0</v>
      </c>
      <c r="I352">
        <f t="shared" si="51"/>
        <v>80</v>
      </c>
      <c r="J352" t="str">
        <f t="shared" si="52"/>
        <v>HalflingAssassinBra</v>
      </c>
    </row>
    <row r="353" spans="1:10" x14ac:dyDescent="0.3">
      <c r="A353" s="1" t="str">
        <f t="shared" si="46"/>
        <v>Halfling</v>
      </c>
      <c r="B353" s="1" t="s">
        <v>12</v>
      </c>
      <c r="C353" s="1" t="s">
        <v>7</v>
      </c>
      <c r="D353">
        <f t="shared" si="47"/>
        <v>-1</v>
      </c>
      <c r="E353">
        <f t="shared" si="48"/>
        <v>-1</v>
      </c>
      <c r="F353">
        <f t="shared" si="53"/>
        <v>-2</v>
      </c>
      <c r="G353">
        <f t="shared" si="49"/>
        <v>16</v>
      </c>
      <c r="H353">
        <f t="shared" si="50"/>
        <v>0</v>
      </c>
      <c r="I353">
        <f t="shared" si="51"/>
        <v>60</v>
      </c>
      <c r="J353" t="str">
        <f t="shared" si="52"/>
        <v>HalflingAssassinHP</v>
      </c>
    </row>
    <row r="354" spans="1:10" x14ac:dyDescent="0.3">
      <c r="A354" s="1" t="str">
        <f t="shared" si="46"/>
        <v>Halfling</v>
      </c>
      <c r="B354" s="1" t="s">
        <v>13</v>
      </c>
      <c r="C354" s="1" t="s">
        <v>0</v>
      </c>
      <c r="D354">
        <f t="shared" si="47"/>
        <v>0</v>
      </c>
      <c r="E354">
        <f t="shared" si="48"/>
        <v>-5</v>
      </c>
      <c r="F354">
        <f t="shared" si="53"/>
        <v>-5</v>
      </c>
      <c r="G354">
        <f t="shared" si="49"/>
        <v>25</v>
      </c>
      <c r="H354">
        <f t="shared" si="50"/>
        <v>0</v>
      </c>
      <c r="I354">
        <f t="shared" si="51"/>
        <v>30</v>
      </c>
      <c r="J354" t="str">
        <f t="shared" si="52"/>
        <v>HalflingThiefMag</v>
      </c>
    </row>
    <row r="355" spans="1:10" x14ac:dyDescent="0.3">
      <c r="A355" s="1" t="str">
        <f t="shared" si="46"/>
        <v>Halfling</v>
      </c>
      <c r="B355" s="1" t="s">
        <v>13</v>
      </c>
      <c r="C355" s="1" t="s">
        <v>1</v>
      </c>
      <c r="D355">
        <f t="shared" si="47"/>
        <v>-1</v>
      </c>
      <c r="E355">
        <f t="shared" si="48"/>
        <v>-7</v>
      </c>
      <c r="F355">
        <f t="shared" si="53"/>
        <v>-8</v>
      </c>
      <c r="G355">
        <f t="shared" si="49"/>
        <v>31</v>
      </c>
      <c r="H355">
        <f t="shared" si="50"/>
        <v>0</v>
      </c>
      <c r="I355">
        <f t="shared" si="51"/>
        <v>0</v>
      </c>
      <c r="J355" t="str">
        <f t="shared" si="52"/>
        <v>HalflingThiefDiv</v>
      </c>
    </row>
    <row r="356" spans="1:10" x14ac:dyDescent="0.3">
      <c r="A356" s="1" t="str">
        <f t="shared" si="46"/>
        <v>Halfling</v>
      </c>
      <c r="B356" s="1" t="s">
        <v>13</v>
      </c>
      <c r="C356" s="1" t="s">
        <v>2</v>
      </c>
      <c r="D356">
        <f t="shared" si="47"/>
        <v>0</v>
      </c>
      <c r="E356">
        <f t="shared" si="48"/>
        <v>0</v>
      </c>
      <c r="F356">
        <f t="shared" si="53"/>
        <v>0</v>
      </c>
      <c r="G356">
        <f t="shared" si="49"/>
        <v>10</v>
      </c>
      <c r="H356">
        <f t="shared" si="50"/>
        <v>0</v>
      </c>
      <c r="I356">
        <f t="shared" si="51"/>
        <v>80</v>
      </c>
      <c r="J356" t="str">
        <f t="shared" si="52"/>
        <v>HalflingThiefStr</v>
      </c>
    </row>
    <row r="357" spans="1:10" x14ac:dyDescent="0.3">
      <c r="A357" s="1" t="str">
        <f t="shared" si="46"/>
        <v>Halfling</v>
      </c>
      <c r="B357" s="1" t="s">
        <v>13</v>
      </c>
      <c r="C357" s="1" t="s">
        <v>3</v>
      </c>
      <c r="D357">
        <f t="shared" si="47"/>
        <v>3</v>
      </c>
      <c r="E357">
        <f t="shared" si="48"/>
        <v>3</v>
      </c>
      <c r="F357">
        <f t="shared" si="53"/>
        <v>6</v>
      </c>
      <c r="G357">
        <f t="shared" si="49"/>
        <v>5</v>
      </c>
      <c r="H357">
        <f t="shared" si="50"/>
        <v>8</v>
      </c>
      <c r="I357">
        <f t="shared" si="51"/>
        <v>111</v>
      </c>
      <c r="J357" t="str">
        <f t="shared" si="52"/>
        <v>HalflingThiefDex</v>
      </c>
    </row>
    <row r="358" spans="1:10" x14ac:dyDescent="0.3">
      <c r="A358" s="1" t="str">
        <f t="shared" si="46"/>
        <v>Halfling</v>
      </c>
      <c r="B358" s="1" t="s">
        <v>13</v>
      </c>
      <c r="C358" s="1" t="s">
        <v>4</v>
      </c>
      <c r="D358">
        <f t="shared" si="47"/>
        <v>0</v>
      </c>
      <c r="E358">
        <f t="shared" si="48"/>
        <v>-1</v>
      </c>
      <c r="F358">
        <f t="shared" si="53"/>
        <v>-1</v>
      </c>
      <c r="G358">
        <f t="shared" si="49"/>
        <v>13</v>
      </c>
      <c r="H358">
        <f t="shared" si="50"/>
        <v>0</v>
      </c>
      <c r="I358">
        <f t="shared" si="51"/>
        <v>70</v>
      </c>
      <c r="J358" t="str">
        <f t="shared" si="52"/>
        <v>HalflingThiefCon</v>
      </c>
    </row>
    <row r="359" spans="1:10" x14ac:dyDescent="0.3">
      <c r="A359" s="1" t="str">
        <f t="shared" si="46"/>
        <v>Halfling</v>
      </c>
      <c r="B359" s="1" t="s">
        <v>13</v>
      </c>
      <c r="C359" s="1" t="s">
        <v>5</v>
      </c>
      <c r="D359">
        <f t="shared" si="47"/>
        <v>0</v>
      </c>
      <c r="E359">
        <f t="shared" si="48"/>
        <v>-2</v>
      </c>
      <c r="F359">
        <f t="shared" si="53"/>
        <v>-2</v>
      </c>
      <c r="G359">
        <f t="shared" si="49"/>
        <v>16</v>
      </c>
      <c r="H359">
        <f t="shared" si="50"/>
        <v>0</v>
      </c>
      <c r="I359">
        <f t="shared" si="51"/>
        <v>60</v>
      </c>
      <c r="J359" t="str">
        <f t="shared" si="52"/>
        <v>HalflingThiefCha</v>
      </c>
    </row>
    <row r="360" spans="1:10" x14ac:dyDescent="0.3">
      <c r="A360" s="1" t="str">
        <f t="shared" si="46"/>
        <v>Halfling</v>
      </c>
      <c r="B360" s="1" t="s">
        <v>13</v>
      </c>
      <c r="C360" s="1" t="s">
        <v>6</v>
      </c>
      <c r="D360">
        <f t="shared" si="47"/>
        <v>-1</v>
      </c>
      <c r="E360">
        <f t="shared" si="48"/>
        <v>2</v>
      </c>
      <c r="F360">
        <f t="shared" si="53"/>
        <v>1</v>
      </c>
      <c r="G360">
        <f t="shared" si="49"/>
        <v>9</v>
      </c>
      <c r="H360">
        <f t="shared" si="50"/>
        <v>14</v>
      </c>
      <c r="I360">
        <f t="shared" si="51"/>
        <v>90</v>
      </c>
      <c r="J360" t="str">
        <f t="shared" si="52"/>
        <v>HalflingThiefBra</v>
      </c>
    </row>
    <row r="361" spans="1:10" x14ac:dyDescent="0.3">
      <c r="A361" s="1" t="str">
        <f t="shared" si="46"/>
        <v>Halfling</v>
      </c>
      <c r="B361" s="1" t="s">
        <v>13</v>
      </c>
      <c r="C361" s="1" t="s">
        <v>7</v>
      </c>
      <c r="D361">
        <f t="shared" si="47"/>
        <v>-1</v>
      </c>
      <c r="E361">
        <f t="shared" si="48"/>
        <v>1</v>
      </c>
      <c r="F361">
        <f t="shared" si="53"/>
        <v>0</v>
      </c>
      <c r="G361">
        <f t="shared" si="49"/>
        <v>10</v>
      </c>
      <c r="H361">
        <f t="shared" si="50"/>
        <v>0</v>
      </c>
      <c r="I361">
        <f t="shared" si="51"/>
        <v>80</v>
      </c>
      <c r="J361" t="str">
        <f t="shared" si="52"/>
        <v>HalflingThiefHP</v>
      </c>
    </row>
    <row r="362" spans="1:10" x14ac:dyDescent="0.3">
      <c r="A362" s="1" t="str">
        <f t="shared" si="46"/>
        <v>Halfling</v>
      </c>
      <c r="B362" s="1" t="s">
        <v>14</v>
      </c>
      <c r="C362" s="1" t="s">
        <v>0</v>
      </c>
      <c r="D362">
        <f t="shared" si="47"/>
        <v>0</v>
      </c>
      <c r="E362">
        <f t="shared" si="48"/>
        <v>-7</v>
      </c>
      <c r="F362">
        <f t="shared" si="53"/>
        <v>-7</v>
      </c>
      <c r="G362">
        <f t="shared" si="49"/>
        <v>31</v>
      </c>
      <c r="H362">
        <f t="shared" si="50"/>
        <v>0</v>
      </c>
      <c r="I362">
        <f t="shared" si="51"/>
        <v>0</v>
      </c>
      <c r="J362" t="str">
        <f t="shared" si="52"/>
        <v>HalflingDruidMag</v>
      </c>
    </row>
    <row r="363" spans="1:10" x14ac:dyDescent="0.3">
      <c r="A363" s="1" t="str">
        <f t="shared" si="46"/>
        <v>Halfling</v>
      </c>
      <c r="B363" s="1" t="s">
        <v>14</v>
      </c>
      <c r="C363" s="1" t="s">
        <v>1</v>
      </c>
      <c r="D363">
        <f t="shared" si="47"/>
        <v>-1</v>
      </c>
      <c r="E363">
        <f t="shared" si="48"/>
        <v>2</v>
      </c>
      <c r="F363">
        <f t="shared" si="53"/>
        <v>1</v>
      </c>
      <c r="G363">
        <f t="shared" si="49"/>
        <v>9</v>
      </c>
      <c r="H363">
        <f t="shared" si="50"/>
        <v>14</v>
      </c>
      <c r="I363">
        <f t="shared" si="51"/>
        <v>90</v>
      </c>
      <c r="J363" t="str">
        <f t="shared" si="52"/>
        <v>HalflingDruidDiv</v>
      </c>
    </row>
    <row r="364" spans="1:10" x14ac:dyDescent="0.3">
      <c r="A364" s="1" t="str">
        <f t="shared" si="46"/>
        <v>Halfling</v>
      </c>
      <c r="B364" s="1" t="s">
        <v>14</v>
      </c>
      <c r="C364" s="1" t="s">
        <v>2</v>
      </c>
      <c r="D364">
        <f t="shared" si="47"/>
        <v>0</v>
      </c>
      <c r="E364">
        <f t="shared" si="48"/>
        <v>-2</v>
      </c>
      <c r="F364">
        <f t="shared" si="53"/>
        <v>-2</v>
      </c>
      <c r="G364">
        <f t="shared" si="49"/>
        <v>16</v>
      </c>
      <c r="H364">
        <f t="shared" si="50"/>
        <v>0</v>
      </c>
      <c r="I364">
        <f t="shared" si="51"/>
        <v>60</v>
      </c>
      <c r="J364" t="str">
        <f t="shared" si="52"/>
        <v>HalflingDruidStr</v>
      </c>
    </row>
    <row r="365" spans="1:10" x14ac:dyDescent="0.3">
      <c r="A365" s="1" t="str">
        <f t="shared" si="46"/>
        <v>Halfling</v>
      </c>
      <c r="B365" s="1" t="s">
        <v>14</v>
      </c>
      <c r="C365" s="1" t="s">
        <v>3</v>
      </c>
      <c r="D365">
        <f t="shared" si="47"/>
        <v>3</v>
      </c>
      <c r="E365">
        <f t="shared" si="48"/>
        <v>0</v>
      </c>
      <c r="F365">
        <f t="shared" si="53"/>
        <v>3</v>
      </c>
      <c r="G365">
        <f t="shared" si="49"/>
        <v>7</v>
      </c>
      <c r="H365">
        <f t="shared" si="50"/>
        <v>11</v>
      </c>
      <c r="I365">
        <f t="shared" si="51"/>
        <v>105</v>
      </c>
      <c r="J365" t="str">
        <f t="shared" si="52"/>
        <v>HalflingDruidDex</v>
      </c>
    </row>
    <row r="366" spans="1:10" x14ac:dyDescent="0.3">
      <c r="A366" s="1" t="str">
        <f t="shared" si="46"/>
        <v>Halfling</v>
      </c>
      <c r="B366" s="1" t="s">
        <v>14</v>
      </c>
      <c r="C366" s="1" t="s">
        <v>4</v>
      </c>
      <c r="D366">
        <f t="shared" si="47"/>
        <v>0</v>
      </c>
      <c r="E366">
        <f t="shared" si="48"/>
        <v>-3</v>
      </c>
      <c r="F366">
        <f t="shared" si="53"/>
        <v>-3</v>
      </c>
      <c r="G366">
        <f t="shared" si="49"/>
        <v>19</v>
      </c>
      <c r="H366">
        <f t="shared" si="50"/>
        <v>0</v>
      </c>
      <c r="I366">
        <f t="shared" si="51"/>
        <v>50</v>
      </c>
      <c r="J366" t="str">
        <f t="shared" si="52"/>
        <v>HalflingDruidCon</v>
      </c>
    </row>
    <row r="367" spans="1:10" x14ac:dyDescent="0.3">
      <c r="A367" s="1" t="str">
        <f t="shared" si="46"/>
        <v>Halfling</v>
      </c>
      <c r="B367" s="1" t="s">
        <v>14</v>
      </c>
      <c r="C367" s="1" t="s">
        <v>5</v>
      </c>
      <c r="D367">
        <f t="shared" si="47"/>
        <v>0</v>
      </c>
      <c r="E367">
        <f t="shared" si="48"/>
        <v>1</v>
      </c>
      <c r="F367">
        <f t="shared" si="53"/>
        <v>1</v>
      </c>
      <c r="G367">
        <f t="shared" si="49"/>
        <v>9</v>
      </c>
      <c r="H367">
        <f t="shared" si="50"/>
        <v>14</v>
      </c>
      <c r="I367">
        <f t="shared" si="51"/>
        <v>90</v>
      </c>
      <c r="J367" t="str">
        <f t="shared" si="52"/>
        <v>HalflingDruidCha</v>
      </c>
    </row>
    <row r="368" spans="1:10" x14ac:dyDescent="0.3">
      <c r="A368" s="1" t="str">
        <f t="shared" si="46"/>
        <v>Halfling</v>
      </c>
      <c r="B368" s="1" t="s">
        <v>14</v>
      </c>
      <c r="C368" s="1" t="s">
        <v>6</v>
      </c>
      <c r="D368">
        <f t="shared" si="47"/>
        <v>-1</v>
      </c>
      <c r="E368">
        <f t="shared" si="48"/>
        <v>3</v>
      </c>
      <c r="F368">
        <f t="shared" si="53"/>
        <v>2</v>
      </c>
      <c r="G368">
        <f t="shared" si="49"/>
        <v>8</v>
      </c>
      <c r="H368">
        <f t="shared" si="50"/>
        <v>12</v>
      </c>
      <c r="I368">
        <f t="shared" si="51"/>
        <v>100</v>
      </c>
      <c r="J368" t="str">
        <f t="shared" si="52"/>
        <v>HalflingDruidBra</v>
      </c>
    </row>
    <row r="369" spans="1:10" x14ac:dyDescent="0.3">
      <c r="A369" s="1" t="str">
        <f t="shared" si="46"/>
        <v>Halfling</v>
      </c>
      <c r="B369" s="1" t="s">
        <v>14</v>
      </c>
      <c r="C369" s="1" t="s">
        <v>7</v>
      </c>
      <c r="D369">
        <f t="shared" si="47"/>
        <v>-1</v>
      </c>
      <c r="E369">
        <f t="shared" si="48"/>
        <v>-1</v>
      </c>
      <c r="F369">
        <f t="shared" si="53"/>
        <v>-2</v>
      </c>
      <c r="G369">
        <f t="shared" si="49"/>
        <v>16</v>
      </c>
      <c r="H369">
        <f t="shared" si="50"/>
        <v>0</v>
      </c>
      <c r="I369">
        <f t="shared" si="51"/>
        <v>60</v>
      </c>
      <c r="J369" t="str">
        <f t="shared" si="52"/>
        <v>HalflingDruidHP</v>
      </c>
    </row>
    <row r="370" spans="1:10" x14ac:dyDescent="0.3">
      <c r="A370" s="1" t="str">
        <f t="shared" si="46"/>
        <v>Halfling</v>
      </c>
      <c r="B370" s="1" t="s">
        <v>31</v>
      </c>
      <c r="C370" s="1" t="s">
        <v>0</v>
      </c>
      <c r="D370">
        <f t="shared" si="47"/>
        <v>0</v>
      </c>
      <c r="E370">
        <f t="shared" si="48"/>
        <v>2</v>
      </c>
      <c r="F370">
        <f t="shared" si="53"/>
        <v>2</v>
      </c>
      <c r="G370">
        <f t="shared" si="49"/>
        <v>8</v>
      </c>
      <c r="H370">
        <f t="shared" si="50"/>
        <v>12</v>
      </c>
      <c r="I370">
        <f t="shared" si="51"/>
        <v>100</v>
      </c>
      <c r="J370" t="str">
        <f t="shared" si="52"/>
        <v>HalflingObsoleteMag</v>
      </c>
    </row>
    <row r="371" spans="1:10" x14ac:dyDescent="0.3">
      <c r="A371" s="1" t="str">
        <f t="shared" si="46"/>
        <v>Halfling</v>
      </c>
      <c r="B371" s="1" t="s">
        <v>31</v>
      </c>
      <c r="C371" s="1" t="s">
        <v>1</v>
      </c>
      <c r="D371">
        <f t="shared" si="47"/>
        <v>-1</v>
      </c>
      <c r="E371">
        <f t="shared" si="48"/>
        <v>2</v>
      </c>
      <c r="F371">
        <f t="shared" si="53"/>
        <v>1</v>
      </c>
      <c r="G371">
        <f t="shared" si="49"/>
        <v>9</v>
      </c>
      <c r="H371">
        <f t="shared" si="50"/>
        <v>14</v>
      </c>
      <c r="I371">
        <f t="shared" si="51"/>
        <v>90</v>
      </c>
      <c r="J371" t="str">
        <f t="shared" si="52"/>
        <v>HalflingObsoleteDiv</v>
      </c>
    </row>
    <row r="372" spans="1:10" x14ac:dyDescent="0.3">
      <c r="A372" s="1" t="str">
        <f t="shared" si="46"/>
        <v>Halfling</v>
      </c>
      <c r="B372" s="1" t="s">
        <v>31</v>
      </c>
      <c r="C372" s="1" t="s">
        <v>2</v>
      </c>
      <c r="D372">
        <f t="shared" si="47"/>
        <v>0</v>
      </c>
      <c r="E372">
        <f t="shared" si="48"/>
        <v>-2</v>
      </c>
      <c r="F372">
        <f t="shared" si="53"/>
        <v>-2</v>
      </c>
      <c r="G372">
        <f t="shared" si="49"/>
        <v>16</v>
      </c>
      <c r="H372">
        <f t="shared" si="50"/>
        <v>0</v>
      </c>
      <c r="I372">
        <f t="shared" si="51"/>
        <v>60</v>
      </c>
      <c r="J372" t="str">
        <f t="shared" si="52"/>
        <v>HalflingObsoleteStr</v>
      </c>
    </row>
    <row r="373" spans="1:10" x14ac:dyDescent="0.3">
      <c r="A373" s="1" t="str">
        <f t="shared" si="46"/>
        <v>Halfling</v>
      </c>
      <c r="B373" s="1" t="s">
        <v>31</v>
      </c>
      <c r="C373" s="1" t="s">
        <v>3</v>
      </c>
      <c r="D373">
        <f t="shared" si="47"/>
        <v>3</v>
      </c>
      <c r="E373">
        <f t="shared" si="48"/>
        <v>-1</v>
      </c>
      <c r="F373">
        <f t="shared" si="53"/>
        <v>2</v>
      </c>
      <c r="G373">
        <f t="shared" si="49"/>
        <v>8</v>
      </c>
      <c r="H373">
        <f t="shared" si="50"/>
        <v>12</v>
      </c>
      <c r="I373">
        <f t="shared" si="51"/>
        <v>100</v>
      </c>
      <c r="J373" t="str">
        <f t="shared" si="52"/>
        <v>HalflingObsoleteDex</v>
      </c>
    </row>
    <row r="374" spans="1:10" x14ac:dyDescent="0.3">
      <c r="A374" s="1" t="str">
        <f t="shared" si="46"/>
        <v>Halfling</v>
      </c>
      <c r="B374" s="1" t="s">
        <v>31</v>
      </c>
      <c r="C374" s="1" t="s">
        <v>4</v>
      </c>
      <c r="D374">
        <f t="shared" si="47"/>
        <v>0</v>
      </c>
      <c r="E374">
        <f t="shared" si="48"/>
        <v>-2</v>
      </c>
      <c r="F374">
        <f t="shared" si="53"/>
        <v>-2</v>
      </c>
      <c r="G374">
        <f t="shared" si="49"/>
        <v>16</v>
      </c>
      <c r="H374">
        <f t="shared" si="50"/>
        <v>0</v>
      </c>
      <c r="I374">
        <f t="shared" si="51"/>
        <v>60</v>
      </c>
      <c r="J374" t="str">
        <f t="shared" si="52"/>
        <v>HalflingObsoleteCon</v>
      </c>
    </row>
    <row r="375" spans="1:10" x14ac:dyDescent="0.3">
      <c r="A375" s="1" t="str">
        <f t="shared" si="46"/>
        <v>Halfling</v>
      </c>
      <c r="B375" s="1" t="s">
        <v>31</v>
      </c>
      <c r="C375" s="1" t="s">
        <v>5</v>
      </c>
      <c r="D375">
        <f t="shared" si="47"/>
        <v>0</v>
      </c>
      <c r="E375">
        <f t="shared" si="48"/>
        <v>1</v>
      </c>
      <c r="F375">
        <f t="shared" si="53"/>
        <v>1</v>
      </c>
      <c r="G375">
        <f t="shared" si="49"/>
        <v>9</v>
      </c>
      <c r="H375">
        <f t="shared" si="50"/>
        <v>14</v>
      </c>
      <c r="I375">
        <f t="shared" si="51"/>
        <v>90</v>
      </c>
      <c r="J375" t="str">
        <f t="shared" si="52"/>
        <v>HalflingObsoleteCha</v>
      </c>
    </row>
    <row r="376" spans="1:10" x14ac:dyDescent="0.3">
      <c r="A376" s="1" t="str">
        <f t="shared" si="46"/>
        <v>Halfling</v>
      </c>
      <c r="B376" s="1" t="s">
        <v>31</v>
      </c>
      <c r="C376" s="1" t="s">
        <v>6</v>
      </c>
      <c r="D376">
        <f t="shared" si="47"/>
        <v>-1</v>
      </c>
      <c r="E376">
        <f t="shared" si="48"/>
        <v>2</v>
      </c>
      <c r="F376">
        <f t="shared" si="53"/>
        <v>1</v>
      </c>
      <c r="G376">
        <f t="shared" si="49"/>
        <v>9</v>
      </c>
      <c r="H376">
        <f t="shared" si="50"/>
        <v>14</v>
      </c>
      <c r="I376">
        <f t="shared" si="51"/>
        <v>90</v>
      </c>
      <c r="J376" t="str">
        <f t="shared" si="52"/>
        <v>HalflingObsoleteBra</v>
      </c>
    </row>
    <row r="377" spans="1:10" x14ac:dyDescent="0.3">
      <c r="A377" s="1" t="str">
        <f t="shared" si="46"/>
        <v>Halfling</v>
      </c>
      <c r="B377" s="1" t="s">
        <v>31</v>
      </c>
      <c r="C377" s="1" t="s">
        <v>7</v>
      </c>
      <c r="D377">
        <f t="shared" si="47"/>
        <v>-1</v>
      </c>
      <c r="E377">
        <f t="shared" si="48"/>
        <v>0</v>
      </c>
      <c r="F377">
        <f t="shared" si="53"/>
        <v>-1</v>
      </c>
      <c r="G377">
        <f t="shared" si="49"/>
        <v>13</v>
      </c>
      <c r="H377">
        <f t="shared" si="50"/>
        <v>0</v>
      </c>
      <c r="I377">
        <f t="shared" si="51"/>
        <v>70</v>
      </c>
      <c r="J377" t="str">
        <f t="shared" si="52"/>
        <v>HalflingObsoleteHP</v>
      </c>
    </row>
    <row r="378" spans="1:10" x14ac:dyDescent="0.3">
      <c r="A378" s="1" t="str">
        <f t="shared" si="46"/>
        <v>Halfling</v>
      </c>
      <c r="B378" s="1" t="s">
        <v>91</v>
      </c>
      <c r="C378" s="1" t="s">
        <v>0</v>
      </c>
      <c r="D378">
        <f t="shared" si="47"/>
        <v>0</v>
      </c>
      <c r="E378">
        <f t="shared" si="48"/>
        <v>-7</v>
      </c>
      <c r="F378">
        <f t="shared" si="53"/>
        <v>-7</v>
      </c>
      <c r="G378">
        <f t="shared" si="49"/>
        <v>31</v>
      </c>
      <c r="H378">
        <f t="shared" si="50"/>
        <v>0</v>
      </c>
      <c r="I378">
        <f t="shared" si="51"/>
        <v>0</v>
      </c>
      <c r="J378" t="str">
        <f t="shared" si="52"/>
        <v>HalflingNecromancerMag</v>
      </c>
    </row>
    <row r="379" spans="1:10" x14ac:dyDescent="0.3">
      <c r="A379" s="1" t="str">
        <f t="shared" si="46"/>
        <v>Halfling</v>
      </c>
      <c r="B379" s="1" t="s">
        <v>91</v>
      </c>
      <c r="C379" s="1" t="s">
        <v>1</v>
      </c>
      <c r="D379">
        <f t="shared" si="47"/>
        <v>-1</v>
      </c>
      <c r="E379">
        <f t="shared" si="48"/>
        <v>0</v>
      </c>
      <c r="F379">
        <f t="shared" si="53"/>
        <v>-1</v>
      </c>
      <c r="G379">
        <f t="shared" si="49"/>
        <v>13</v>
      </c>
      <c r="H379">
        <f t="shared" si="50"/>
        <v>0</v>
      </c>
      <c r="I379">
        <f t="shared" si="51"/>
        <v>70</v>
      </c>
      <c r="J379" t="str">
        <f t="shared" si="52"/>
        <v>HalflingNecromancerDiv</v>
      </c>
    </row>
    <row r="380" spans="1:10" x14ac:dyDescent="0.3">
      <c r="A380" s="1" t="str">
        <f t="shared" ref="A380:A417" si="54">A379</f>
        <v>Halfling</v>
      </c>
      <c r="B380" s="1" t="s">
        <v>91</v>
      </c>
      <c r="C380" s="1" t="s">
        <v>2</v>
      </c>
      <c r="D380">
        <f t="shared" si="47"/>
        <v>0</v>
      </c>
      <c r="E380">
        <f t="shared" si="48"/>
        <v>-1</v>
      </c>
      <c r="F380">
        <f t="shared" si="53"/>
        <v>-1</v>
      </c>
      <c r="G380">
        <f t="shared" si="49"/>
        <v>13</v>
      </c>
      <c r="H380">
        <f t="shared" si="50"/>
        <v>0</v>
      </c>
      <c r="I380">
        <f t="shared" si="51"/>
        <v>70</v>
      </c>
      <c r="J380" t="str">
        <f t="shared" si="52"/>
        <v>HalflingNecromancerStr</v>
      </c>
    </row>
    <row r="381" spans="1:10" x14ac:dyDescent="0.3">
      <c r="A381" s="1" t="str">
        <f t="shared" si="54"/>
        <v>Halfling</v>
      </c>
      <c r="B381" s="1" t="s">
        <v>91</v>
      </c>
      <c r="C381" s="1" t="s">
        <v>3</v>
      </c>
      <c r="D381">
        <f t="shared" si="47"/>
        <v>3</v>
      </c>
      <c r="E381">
        <f t="shared" si="48"/>
        <v>1</v>
      </c>
      <c r="F381">
        <f t="shared" si="53"/>
        <v>4</v>
      </c>
      <c r="G381">
        <f t="shared" si="49"/>
        <v>6</v>
      </c>
      <c r="H381">
        <f t="shared" si="50"/>
        <v>9</v>
      </c>
      <c r="I381">
        <f t="shared" si="51"/>
        <v>108</v>
      </c>
      <c r="J381" t="str">
        <f t="shared" si="52"/>
        <v>HalflingNecromancerDex</v>
      </c>
    </row>
    <row r="382" spans="1:10" x14ac:dyDescent="0.3">
      <c r="A382" s="1" t="str">
        <f t="shared" si="54"/>
        <v>Halfling</v>
      </c>
      <c r="B382" s="1" t="s">
        <v>91</v>
      </c>
      <c r="C382" s="1" t="s">
        <v>4</v>
      </c>
      <c r="D382">
        <f t="shared" si="47"/>
        <v>0</v>
      </c>
      <c r="E382">
        <f t="shared" si="48"/>
        <v>-3</v>
      </c>
      <c r="F382">
        <f t="shared" si="53"/>
        <v>-3</v>
      </c>
      <c r="G382">
        <f t="shared" si="49"/>
        <v>19</v>
      </c>
      <c r="H382">
        <f t="shared" si="50"/>
        <v>0</v>
      </c>
      <c r="I382">
        <f t="shared" si="51"/>
        <v>50</v>
      </c>
      <c r="J382" t="str">
        <f t="shared" si="52"/>
        <v>HalflingNecromancerCon</v>
      </c>
    </row>
    <row r="383" spans="1:10" x14ac:dyDescent="0.3">
      <c r="A383" s="1" t="str">
        <f t="shared" si="54"/>
        <v>Halfling</v>
      </c>
      <c r="B383" s="1" t="s">
        <v>91</v>
      </c>
      <c r="C383" s="1" t="s">
        <v>5</v>
      </c>
      <c r="D383">
        <f t="shared" si="47"/>
        <v>0</v>
      </c>
      <c r="E383">
        <f t="shared" si="48"/>
        <v>2</v>
      </c>
      <c r="F383">
        <f t="shared" si="53"/>
        <v>2</v>
      </c>
      <c r="G383">
        <f t="shared" si="49"/>
        <v>8</v>
      </c>
      <c r="H383">
        <f t="shared" si="50"/>
        <v>12</v>
      </c>
      <c r="I383">
        <f t="shared" si="51"/>
        <v>100</v>
      </c>
      <c r="J383" t="str">
        <f t="shared" si="52"/>
        <v>HalflingNecromancerCha</v>
      </c>
    </row>
    <row r="384" spans="1:10" x14ac:dyDescent="0.3">
      <c r="A384" s="1" t="str">
        <f t="shared" si="54"/>
        <v>Halfling</v>
      </c>
      <c r="B384" s="1" t="s">
        <v>91</v>
      </c>
      <c r="C384" s="1" t="s">
        <v>6</v>
      </c>
      <c r="D384">
        <f t="shared" si="47"/>
        <v>-1</v>
      </c>
      <c r="E384">
        <f t="shared" si="48"/>
        <v>3</v>
      </c>
      <c r="F384">
        <f t="shared" si="53"/>
        <v>2</v>
      </c>
      <c r="G384">
        <f t="shared" si="49"/>
        <v>8</v>
      </c>
      <c r="H384">
        <f t="shared" si="50"/>
        <v>12</v>
      </c>
      <c r="I384">
        <f t="shared" si="51"/>
        <v>100</v>
      </c>
      <c r="J384" t="str">
        <f t="shared" si="52"/>
        <v>HalflingNecromancerBra</v>
      </c>
    </row>
    <row r="385" spans="1:10" x14ac:dyDescent="0.3">
      <c r="A385" s="1" t="str">
        <f t="shared" si="54"/>
        <v>Halfling</v>
      </c>
      <c r="B385" s="1" t="s">
        <v>91</v>
      </c>
      <c r="C385" s="1" t="s">
        <v>7</v>
      </c>
      <c r="D385">
        <f t="shared" si="47"/>
        <v>-1</v>
      </c>
      <c r="E385">
        <f t="shared" si="48"/>
        <v>-2</v>
      </c>
      <c r="F385">
        <f t="shared" si="53"/>
        <v>-3</v>
      </c>
      <c r="G385">
        <f t="shared" si="49"/>
        <v>19</v>
      </c>
      <c r="H385">
        <f t="shared" si="50"/>
        <v>0</v>
      </c>
      <c r="I385">
        <f t="shared" si="51"/>
        <v>50</v>
      </c>
      <c r="J385" t="str">
        <f t="shared" si="52"/>
        <v>HalflingNecromancerHP</v>
      </c>
    </row>
    <row r="386" spans="1:10" x14ac:dyDescent="0.3">
      <c r="A386" s="1" t="str">
        <f t="shared" si="54"/>
        <v>Halfling</v>
      </c>
      <c r="B386" s="1" t="s">
        <v>15</v>
      </c>
      <c r="C386" s="1" t="s">
        <v>0</v>
      </c>
      <c r="D386">
        <f t="shared" ref="D386:D449" si="55">INDEX(TblRaceValues,MATCH(C386, TblAbilities, 0),MATCH(A386,TblRaces,0))</f>
        <v>0</v>
      </c>
      <c r="E386">
        <f t="shared" ref="E386:E449" si="56">INDEX(TblProfessionValues,MATCH(C386,TblAbilities,0),MATCH(B386,TblProfessions,0))</f>
        <v>-7</v>
      </c>
      <c r="F386">
        <f t="shared" si="53"/>
        <v>-7</v>
      </c>
      <c r="G386">
        <f t="shared" ref="G386:G449" si="57">HLOOKUP(MIN(MAX(-7,F386),7),TblPracticeCost,2)</f>
        <v>31</v>
      </c>
      <c r="H386">
        <f t="shared" ref="H386:H449" si="58">HLOOKUP(MIN(MAX(-7,F386),7),TblPracticeCost,3)</f>
        <v>0</v>
      </c>
      <c r="I386">
        <f t="shared" ref="I386:I449" si="59">VLOOKUP(MIN(MAX(-7,F386),7),TblBonusMaxSkill,2)</f>
        <v>0</v>
      </c>
      <c r="J386" t="str">
        <f t="shared" si="52"/>
        <v>HalflingPriestMag</v>
      </c>
    </row>
    <row r="387" spans="1:10" x14ac:dyDescent="0.3">
      <c r="A387" s="1" t="str">
        <f t="shared" si="54"/>
        <v>Halfling</v>
      </c>
      <c r="B387" s="1" t="s">
        <v>15</v>
      </c>
      <c r="C387" s="1" t="s">
        <v>1</v>
      </c>
      <c r="D387">
        <f t="shared" si="55"/>
        <v>-1</v>
      </c>
      <c r="E387">
        <f t="shared" si="56"/>
        <v>3</v>
      </c>
      <c r="F387">
        <f t="shared" si="53"/>
        <v>2</v>
      </c>
      <c r="G387">
        <f t="shared" si="57"/>
        <v>8</v>
      </c>
      <c r="H387">
        <f t="shared" si="58"/>
        <v>12</v>
      </c>
      <c r="I387">
        <f t="shared" si="59"/>
        <v>100</v>
      </c>
      <c r="J387" t="str">
        <f t="shared" ref="J387:J450" si="60">A387&amp;B387&amp;C387</f>
        <v>HalflingPriestDiv</v>
      </c>
    </row>
    <row r="388" spans="1:10" x14ac:dyDescent="0.3">
      <c r="A388" s="1" t="str">
        <f t="shared" si="54"/>
        <v>Halfling</v>
      </c>
      <c r="B388" s="1" t="s">
        <v>15</v>
      </c>
      <c r="C388" s="1" t="s">
        <v>2</v>
      </c>
      <c r="D388">
        <f t="shared" si="55"/>
        <v>0</v>
      </c>
      <c r="E388">
        <f t="shared" si="56"/>
        <v>0</v>
      </c>
      <c r="F388">
        <f t="shared" si="53"/>
        <v>0</v>
      </c>
      <c r="G388">
        <f t="shared" si="57"/>
        <v>10</v>
      </c>
      <c r="H388">
        <f t="shared" si="58"/>
        <v>0</v>
      </c>
      <c r="I388">
        <f t="shared" si="59"/>
        <v>80</v>
      </c>
      <c r="J388" t="str">
        <f t="shared" si="60"/>
        <v>HalflingPriestStr</v>
      </c>
    </row>
    <row r="389" spans="1:10" x14ac:dyDescent="0.3">
      <c r="A389" s="1" t="str">
        <f t="shared" si="54"/>
        <v>Halfling</v>
      </c>
      <c r="B389" s="1" t="s">
        <v>15</v>
      </c>
      <c r="C389" s="1" t="s">
        <v>3</v>
      </c>
      <c r="D389">
        <f t="shared" si="55"/>
        <v>3</v>
      </c>
      <c r="E389">
        <f t="shared" si="56"/>
        <v>-2</v>
      </c>
      <c r="F389">
        <f t="shared" si="53"/>
        <v>1</v>
      </c>
      <c r="G389">
        <f t="shared" si="57"/>
        <v>9</v>
      </c>
      <c r="H389">
        <f t="shared" si="58"/>
        <v>14</v>
      </c>
      <c r="I389">
        <f t="shared" si="59"/>
        <v>90</v>
      </c>
      <c r="J389" t="str">
        <f t="shared" si="60"/>
        <v>HalflingPriestDex</v>
      </c>
    </row>
    <row r="390" spans="1:10" x14ac:dyDescent="0.3">
      <c r="A390" s="1" t="str">
        <f t="shared" si="54"/>
        <v>Halfling</v>
      </c>
      <c r="B390" s="1" t="s">
        <v>15</v>
      </c>
      <c r="C390" s="1" t="s">
        <v>4</v>
      </c>
      <c r="D390">
        <f t="shared" si="55"/>
        <v>0</v>
      </c>
      <c r="E390">
        <f t="shared" si="56"/>
        <v>-3</v>
      </c>
      <c r="F390">
        <f t="shared" si="53"/>
        <v>-3</v>
      </c>
      <c r="G390">
        <f t="shared" si="57"/>
        <v>19</v>
      </c>
      <c r="H390">
        <f t="shared" si="58"/>
        <v>0</v>
      </c>
      <c r="I390">
        <f t="shared" si="59"/>
        <v>50</v>
      </c>
      <c r="J390" t="str">
        <f t="shared" si="60"/>
        <v>HalflingPriestCon</v>
      </c>
    </row>
    <row r="391" spans="1:10" x14ac:dyDescent="0.3">
      <c r="A391" s="1" t="str">
        <f t="shared" si="54"/>
        <v>Halfling</v>
      </c>
      <c r="B391" s="1" t="s">
        <v>15</v>
      </c>
      <c r="C391" s="1" t="s">
        <v>5</v>
      </c>
      <c r="D391">
        <f t="shared" si="55"/>
        <v>0</v>
      </c>
      <c r="E391">
        <f t="shared" si="56"/>
        <v>2</v>
      </c>
      <c r="F391">
        <f t="shared" si="53"/>
        <v>2</v>
      </c>
      <c r="G391">
        <f t="shared" si="57"/>
        <v>8</v>
      </c>
      <c r="H391">
        <f t="shared" si="58"/>
        <v>12</v>
      </c>
      <c r="I391">
        <f t="shared" si="59"/>
        <v>100</v>
      </c>
      <c r="J391" t="str">
        <f t="shared" si="60"/>
        <v>HalflingPriestCha</v>
      </c>
    </row>
    <row r="392" spans="1:10" x14ac:dyDescent="0.3">
      <c r="A392" s="1" t="str">
        <f t="shared" si="54"/>
        <v>Halfling</v>
      </c>
      <c r="B392" s="1" t="s">
        <v>15</v>
      </c>
      <c r="C392" s="1" t="s">
        <v>6</v>
      </c>
      <c r="D392">
        <f t="shared" si="55"/>
        <v>-1</v>
      </c>
      <c r="E392">
        <f t="shared" si="56"/>
        <v>1</v>
      </c>
      <c r="F392">
        <f t="shared" si="53"/>
        <v>0</v>
      </c>
      <c r="G392">
        <f t="shared" si="57"/>
        <v>10</v>
      </c>
      <c r="H392">
        <f t="shared" si="58"/>
        <v>0</v>
      </c>
      <c r="I392">
        <f t="shared" si="59"/>
        <v>80</v>
      </c>
      <c r="J392" t="str">
        <f t="shared" si="60"/>
        <v>HalflingPriestBra</v>
      </c>
    </row>
    <row r="393" spans="1:10" x14ac:dyDescent="0.3">
      <c r="A393" s="1" t="str">
        <f t="shared" si="54"/>
        <v>Halfling</v>
      </c>
      <c r="B393" s="1" t="s">
        <v>15</v>
      </c>
      <c r="C393" s="1" t="s">
        <v>7</v>
      </c>
      <c r="D393">
        <f t="shared" si="55"/>
        <v>-1</v>
      </c>
      <c r="E393">
        <f t="shared" si="56"/>
        <v>-1</v>
      </c>
      <c r="F393">
        <f t="shared" si="53"/>
        <v>-2</v>
      </c>
      <c r="G393">
        <f t="shared" si="57"/>
        <v>16</v>
      </c>
      <c r="H393">
        <f t="shared" si="58"/>
        <v>0</v>
      </c>
      <c r="I393">
        <f t="shared" si="59"/>
        <v>60</v>
      </c>
      <c r="J393" t="str">
        <f t="shared" si="60"/>
        <v>HalflingPriestHP</v>
      </c>
    </row>
    <row r="394" spans="1:10" x14ac:dyDescent="0.3">
      <c r="A394" s="1" t="str">
        <f t="shared" si="54"/>
        <v>Halfling</v>
      </c>
      <c r="B394" s="1" t="s">
        <v>92</v>
      </c>
      <c r="C394" s="1" t="s">
        <v>0</v>
      </c>
      <c r="D394">
        <f t="shared" si="55"/>
        <v>0</v>
      </c>
      <c r="E394">
        <f t="shared" si="56"/>
        <v>2</v>
      </c>
      <c r="F394">
        <f t="shared" si="53"/>
        <v>2</v>
      </c>
      <c r="G394">
        <f t="shared" si="57"/>
        <v>8</v>
      </c>
      <c r="H394">
        <f t="shared" si="58"/>
        <v>12</v>
      </c>
      <c r="I394">
        <f t="shared" si="59"/>
        <v>100</v>
      </c>
      <c r="J394" t="str">
        <f t="shared" si="60"/>
        <v>HalflingMageMag</v>
      </c>
    </row>
    <row r="395" spans="1:10" x14ac:dyDescent="0.3">
      <c r="A395" s="1" t="str">
        <f t="shared" si="54"/>
        <v>Halfling</v>
      </c>
      <c r="B395" s="1" t="s">
        <v>92</v>
      </c>
      <c r="C395" s="1" t="s">
        <v>1</v>
      </c>
      <c r="D395">
        <f t="shared" si="55"/>
        <v>-1</v>
      </c>
      <c r="E395">
        <f t="shared" si="56"/>
        <v>-7</v>
      </c>
      <c r="F395">
        <f t="shared" si="53"/>
        <v>-8</v>
      </c>
      <c r="G395">
        <f t="shared" si="57"/>
        <v>31</v>
      </c>
      <c r="H395">
        <f t="shared" si="58"/>
        <v>0</v>
      </c>
      <c r="I395">
        <f t="shared" si="59"/>
        <v>0</v>
      </c>
      <c r="J395" t="str">
        <f t="shared" si="60"/>
        <v>HalflingMageDiv</v>
      </c>
    </row>
    <row r="396" spans="1:10" x14ac:dyDescent="0.3">
      <c r="A396" s="1" t="str">
        <f t="shared" si="54"/>
        <v>Halfling</v>
      </c>
      <c r="B396" s="1" t="s">
        <v>92</v>
      </c>
      <c r="C396" s="1" t="s">
        <v>2</v>
      </c>
      <c r="D396">
        <f t="shared" si="55"/>
        <v>0</v>
      </c>
      <c r="E396">
        <f t="shared" si="56"/>
        <v>-3</v>
      </c>
      <c r="F396">
        <f t="shared" si="53"/>
        <v>-3</v>
      </c>
      <c r="G396">
        <f t="shared" si="57"/>
        <v>19</v>
      </c>
      <c r="H396">
        <f t="shared" si="58"/>
        <v>0</v>
      </c>
      <c r="I396">
        <f t="shared" si="59"/>
        <v>50</v>
      </c>
      <c r="J396" t="str">
        <f t="shared" si="60"/>
        <v>HalflingMageStr</v>
      </c>
    </row>
    <row r="397" spans="1:10" x14ac:dyDescent="0.3">
      <c r="A397" s="1" t="str">
        <f t="shared" si="54"/>
        <v>Halfling</v>
      </c>
      <c r="B397" s="1" t="s">
        <v>92</v>
      </c>
      <c r="C397" s="1" t="s">
        <v>3</v>
      </c>
      <c r="D397">
        <f t="shared" si="55"/>
        <v>3</v>
      </c>
      <c r="E397">
        <f t="shared" si="56"/>
        <v>0</v>
      </c>
      <c r="F397">
        <f t="shared" si="53"/>
        <v>3</v>
      </c>
      <c r="G397">
        <f t="shared" si="57"/>
        <v>7</v>
      </c>
      <c r="H397">
        <f t="shared" si="58"/>
        <v>11</v>
      </c>
      <c r="I397">
        <f t="shared" si="59"/>
        <v>105</v>
      </c>
      <c r="J397" t="str">
        <f t="shared" si="60"/>
        <v>HalflingMageDex</v>
      </c>
    </row>
    <row r="398" spans="1:10" x14ac:dyDescent="0.3">
      <c r="A398" s="1" t="str">
        <f t="shared" si="54"/>
        <v>Halfling</v>
      </c>
      <c r="B398" s="1" t="s">
        <v>92</v>
      </c>
      <c r="C398" s="1" t="s">
        <v>4</v>
      </c>
      <c r="D398">
        <f t="shared" si="55"/>
        <v>0</v>
      </c>
      <c r="E398">
        <f t="shared" si="56"/>
        <v>-1</v>
      </c>
      <c r="F398">
        <f t="shared" si="53"/>
        <v>-1</v>
      </c>
      <c r="G398">
        <f t="shared" si="57"/>
        <v>13</v>
      </c>
      <c r="H398">
        <f t="shared" si="58"/>
        <v>0</v>
      </c>
      <c r="I398">
        <f t="shared" si="59"/>
        <v>70</v>
      </c>
      <c r="J398" t="str">
        <f t="shared" si="60"/>
        <v>HalflingMageCon</v>
      </c>
    </row>
    <row r="399" spans="1:10" x14ac:dyDescent="0.3">
      <c r="A399" s="1" t="str">
        <f t="shared" si="54"/>
        <v>Halfling</v>
      </c>
      <c r="B399" s="1" t="s">
        <v>92</v>
      </c>
      <c r="C399" s="1" t="s">
        <v>5</v>
      </c>
      <c r="D399">
        <f t="shared" si="55"/>
        <v>0</v>
      </c>
      <c r="E399">
        <f t="shared" si="56"/>
        <v>1</v>
      </c>
      <c r="F399">
        <f t="shared" si="53"/>
        <v>1</v>
      </c>
      <c r="G399">
        <f t="shared" si="57"/>
        <v>9</v>
      </c>
      <c r="H399">
        <f t="shared" si="58"/>
        <v>14</v>
      </c>
      <c r="I399">
        <f t="shared" si="59"/>
        <v>90</v>
      </c>
      <c r="J399" t="str">
        <f t="shared" si="60"/>
        <v>HalflingMageCha</v>
      </c>
    </row>
    <row r="400" spans="1:10" x14ac:dyDescent="0.3">
      <c r="A400" s="1" t="str">
        <f t="shared" si="54"/>
        <v>Halfling</v>
      </c>
      <c r="B400" s="1" t="s">
        <v>92</v>
      </c>
      <c r="C400" s="1" t="s">
        <v>6</v>
      </c>
      <c r="D400">
        <f t="shared" si="55"/>
        <v>-1</v>
      </c>
      <c r="E400">
        <f t="shared" si="56"/>
        <v>3</v>
      </c>
      <c r="F400">
        <f t="shared" si="53"/>
        <v>2</v>
      </c>
      <c r="G400">
        <f t="shared" si="57"/>
        <v>8</v>
      </c>
      <c r="H400">
        <f t="shared" si="58"/>
        <v>12</v>
      </c>
      <c r="I400">
        <f t="shared" si="59"/>
        <v>100</v>
      </c>
      <c r="J400" t="str">
        <f t="shared" si="60"/>
        <v>HalflingMageBra</v>
      </c>
    </row>
    <row r="401" spans="1:10" x14ac:dyDescent="0.3">
      <c r="A401" s="1" t="str">
        <f t="shared" si="54"/>
        <v>Halfling</v>
      </c>
      <c r="B401" s="1" t="s">
        <v>92</v>
      </c>
      <c r="C401" s="1" t="s">
        <v>7</v>
      </c>
      <c r="D401">
        <f t="shared" si="55"/>
        <v>-1</v>
      </c>
      <c r="E401">
        <f t="shared" si="56"/>
        <v>-2</v>
      </c>
      <c r="F401">
        <f t="shared" si="53"/>
        <v>-3</v>
      </c>
      <c r="G401">
        <f t="shared" si="57"/>
        <v>19</v>
      </c>
      <c r="H401">
        <f t="shared" si="58"/>
        <v>0</v>
      </c>
      <c r="I401">
        <f t="shared" si="59"/>
        <v>50</v>
      </c>
      <c r="J401" t="str">
        <f t="shared" si="60"/>
        <v>HalflingMageHP</v>
      </c>
    </row>
    <row r="402" spans="1:10" x14ac:dyDescent="0.3">
      <c r="A402" s="1" t="str">
        <f t="shared" si="54"/>
        <v>Halfling</v>
      </c>
      <c r="B402" s="1" t="s">
        <v>62</v>
      </c>
      <c r="C402" s="1" t="s">
        <v>0</v>
      </c>
      <c r="D402">
        <f t="shared" si="55"/>
        <v>0</v>
      </c>
      <c r="E402">
        <f t="shared" si="56"/>
        <v>3</v>
      </c>
      <c r="F402">
        <f t="shared" si="53"/>
        <v>3</v>
      </c>
      <c r="G402">
        <f t="shared" si="57"/>
        <v>7</v>
      </c>
      <c r="H402">
        <f t="shared" si="58"/>
        <v>11</v>
      </c>
      <c r="I402">
        <f t="shared" si="59"/>
        <v>105</v>
      </c>
      <c r="J402" t="str">
        <f t="shared" si="60"/>
        <v>HalflingSorcererMag</v>
      </c>
    </row>
    <row r="403" spans="1:10" x14ac:dyDescent="0.3">
      <c r="A403" s="1" t="str">
        <f t="shared" si="54"/>
        <v>Halfling</v>
      </c>
      <c r="B403" s="1" t="s">
        <v>62</v>
      </c>
      <c r="C403" s="1" t="s">
        <v>1</v>
      </c>
      <c r="D403">
        <f t="shared" si="55"/>
        <v>-1</v>
      </c>
      <c r="E403">
        <f t="shared" si="56"/>
        <v>-7</v>
      </c>
      <c r="F403">
        <f t="shared" si="53"/>
        <v>-8</v>
      </c>
      <c r="G403">
        <f t="shared" si="57"/>
        <v>31</v>
      </c>
      <c r="H403">
        <f t="shared" si="58"/>
        <v>0</v>
      </c>
      <c r="I403">
        <f t="shared" si="59"/>
        <v>0</v>
      </c>
      <c r="J403" t="str">
        <f t="shared" si="60"/>
        <v>HalflingSorcererDiv</v>
      </c>
    </row>
    <row r="404" spans="1:10" x14ac:dyDescent="0.3">
      <c r="A404" s="1" t="str">
        <f t="shared" si="54"/>
        <v>Halfling</v>
      </c>
      <c r="B404" s="1" t="s">
        <v>62</v>
      </c>
      <c r="C404" s="1" t="s">
        <v>2</v>
      </c>
      <c r="D404">
        <f t="shared" si="55"/>
        <v>0</v>
      </c>
      <c r="E404">
        <f t="shared" si="56"/>
        <v>-3</v>
      </c>
      <c r="F404">
        <f t="shared" si="53"/>
        <v>-3</v>
      </c>
      <c r="G404">
        <f t="shared" si="57"/>
        <v>19</v>
      </c>
      <c r="H404">
        <f t="shared" si="58"/>
        <v>0</v>
      </c>
      <c r="I404">
        <f t="shared" si="59"/>
        <v>50</v>
      </c>
      <c r="J404" t="str">
        <f t="shared" si="60"/>
        <v>HalflingSorcererStr</v>
      </c>
    </row>
    <row r="405" spans="1:10" x14ac:dyDescent="0.3">
      <c r="A405" s="1" t="str">
        <f t="shared" si="54"/>
        <v>Halfling</v>
      </c>
      <c r="B405" s="1" t="s">
        <v>62</v>
      </c>
      <c r="C405" s="1" t="s">
        <v>3</v>
      </c>
      <c r="D405">
        <f t="shared" si="55"/>
        <v>3</v>
      </c>
      <c r="E405">
        <f t="shared" si="56"/>
        <v>0</v>
      </c>
      <c r="F405">
        <f t="shared" si="53"/>
        <v>3</v>
      </c>
      <c r="G405">
        <f t="shared" si="57"/>
        <v>7</v>
      </c>
      <c r="H405">
        <f t="shared" si="58"/>
        <v>11</v>
      </c>
      <c r="I405">
        <f t="shared" si="59"/>
        <v>105</v>
      </c>
      <c r="J405" t="str">
        <f t="shared" si="60"/>
        <v>HalflingSorcererDex</v>
      </c>
    </row>
    <row r="406" spans="1:10" x14ac:dyDescent="0.3">
      <c r="A406" s="1" t="str">
        <f t="shared" si="54"/>
        <v>Halfling</v>
      </c>
      <c r="B406" s="1" t="s">
        <v>62</v>
      </c>
      <c r="C406" s="1" t="s">
        <v>4</v>
      </c>
      <c r="D406">
        <f t="shared" si="55"/>
        <v>0</v>
      </c>
      <c r="E406">
        <f t="shared" si="56"/>
        <v>-2</v>
      </c>
      <c r="F406">
        <f t="shared" si="53"/>
        <v>-2</v>
      </c>
      <c r="G406">
        <f t="shared" si="57"/>
        <v>16</v>
      </c>
      <c r="H406">
        <f t="shared" si="58"/>
        <v>0</v>
      </c>
      <c r="I406">
        <f t="shared" si="59"/>
        <v>60</v>
      </c>
      <c r="J406" t="str">
        <f t="shared" si="60"/>
        <v>HalflingSorcererCon</v>
      </c>
    </row>
    <row r="407" spans="1:10" x14ac:dyDescent="0.3">
      <c r="A407" s="1" t="str">
        <f t="shared" si="54"/>
        <v>Halfling</v>
      </c>
      <c r="B407" s="1" t="s">
        <v>62</v>
      </c>
      <c r="C407" s="1" t="s">
        <v>5</v>
      </c>
      <c r="D407">
        <f t="shared" si="55"/>
        <v>0</v>
      </c>
      <c r="E407">
        <f t="shared" si="56"/>
        <v>1</v>
      </c>
      <c r="F407">
        <f t="shared" si="53"/>
        <v>1</v>
      </c>
      <c r="G407">
        <f t="shared" si="57"/>
        <v>9</v>
      </c>
      <c r="H407">
        <f t="shared" si="58"/>
        <v>14</v>
      </c>
      <c r="I407">
        <f t="shared" si="59"/>
        <v>90</v>
      </c>
      <c r="J407" t="str">
        <f t="shared" si="60"/>
        <v>HalflingSorcererCha</v>
      </c>
    </row>
    <row r="408" spans="1:10" x14ac:dyDescent="0.3">
      <c r="A408" s="1" t="str">
        <f t="shared" si="54"/>
        <v>Halfling</v>
      </c>
      <c r="B408" s="1" t="s">
        <v>62</v>
      </c>
      <c r="C408" s="1" t="s">
        <v>6</v>
      </c>
      <c r="D408">
        <f t="shared" si="55"/>
        <v>-1</v>
      </c>
      <c r="E408">
        <f t="shared" si="56"/>
        <v>2</v>
      </c>
      <c r="F408">
        <f t="shared" si="53"/>
        <v>1</v>
      </c>
      <c r="G408">
        <f t="shared" si="57"/>
        <v>9</v>
      </c>
      <c r="H408">
        <f t="shared" si="58"/>
        <v>14</v>
      </c>
      <c r="I408">
        <f t="shared" si="59"/>
        <v>90</v>
      </c>
      <c r="J408" t="str">
        <f t="shared" si="60"/>
        <v>HalflingSorcererBra</v>
      </c>
    </row>
    <row r="409" spans="1:10" x14ac:dyDescent="0.3">
      <c r="A409" s="1" t="str">
        <f t="shared" si="54"/>
        <v>Halfling</v>
      </c>
      <c r="B409" s="1" t="s">
        <v>62</v>
      </c>
      <c r="C409" s="1" t="s">
        <v>7</v>
      </c>
      <c r="D409">
        <f t="shared" si="55"/>
        <v>-1</v>
      </c>
      <c r="E409">
        <f t="shared" si="56"/>
        <v>-1</v>
      </c>
      <c r="F409">
        <f t="shared" si="53"/>
        <v>-2</v>
      </c>
      <c r="G409">
        <f t="shared" si="57"/>
        <v>16</v>
      </c>
      <c r="H409">
        <f t="shared" si="58"/>
        <v>0</v>
      </c>
      <c r="I409">
        <f t="shared" si="59"/>
        <v>60</v>
      </c>
      <c r="J409" t="str">
        <f t="shared" si="60"/>
        <v>HalflingSorcererHP</v>
      </c>
    </row>
    <row r="410" spans="1:10" x14ac:dyDescent="0.3">
      <c r="A410" s="1" t="str">
        <f t="shared" si="54"/>
        <v>Halfling</v>
      </c>
      <c r="B410" s="1" t="s">
        <v>22</v>
      </c>
      <c r="C410" s="1" t="s">
        <v>0</v>
      </c>
      <c r="D410">
        <f t="shared" si="55"/>
        <v>0</v>
      </c>
      <c r="E410">
        <f t="shared" si="56"/>
        <v>-5</v>
      </c>
      <c r="F410">
        <f t="shared" si="53"/>
        <v>-5</v>
      </c>
      <c r="G410">
        <f t="shared" si="57"/>
        <v>25</v>
      </c>
      <c r="H410">
        <f t="shared" si="58"/>
        <v>0</v>
      </c>
      <c r="I410">
        <f t="shared" si="59"/>
        <v>30</v>
      </c>
      <c r="J410" t="str">
        <f t="shared" si="60"/>
        <v>HalflingBarbarianMag</v>
      </c>
    </row>
    <row r="411" spans="1:10" x14ac:dyDescent="0.3">
      <c r="A411" s="1" t="str">
        <f t="shared" si="54"/>
        <v>Halfling</v>
      </c>
      <c r="B411" s="1" t="s">
        <v>22</v>
      </c>
      <c r="C411" s="1" t="s">
        <v>1</v>
      </c>
      <c r="D411">
        <f t="shared" si="55"/>
        <v>-1</v>
      </c>
      <c r="E411">
        <f t="shared" si="56"/>
        <v>-7</v>
      </c>
      <c r="F411">
        <f t="shared" ref="F411:F474" si="61">E411+D411</f>
        <v>-8</v>
      </c>
      <c r="G411">
        <f t="shared" si="57"/>
        <v>31</v>
      </c>
      <c r="H411">
        <f t="shared" si="58"/>
        <v>0</v>
      </c>
      <c r="I411">
        <f t="shared" si="59"/>
        <v>0</v>
      </c>
      <c r="J411" t="str">
        <f t="shared" si="60"/>
        <v>HalflingBarbarianDiv</v>
      </c>
    </row>
    <row r="412" spans="1:10" x14ac:dyDescent="0.3">
      <c r="A412" s="1" t="str">
        <f t="shared" si="54"/>
        <v>Halfling</v>
      </c>
      <c r="B412" s="1" t="s">
        <v>22</v>
      </c>
      <c r="C412" s="1" t="s">
        <v>2</v>
      </c>
      <c r="D412">
        <f t="shared" si="55"/>
        <v>0</v>
      </c>
      <c r="E412">
        <f t="shared" si="56"/>
        <v>3</v>
      </c>
      <c r="F412">
        <f t="shared" si="61"/>
        <v>3</v>
      </c>
      <c r="G412">
        <f t="shared" si="57"/>
        <v>7</v>
      </c>
      <c r="H412">
        <f t="shared" si="58"/>
        <v>11</v>
      </c>
      <c r="I412">
        <f t="shared" si="59"/>
        <v>105</v>
      </c>
      <c r="J412" t="str">
        <f t="shared" si="60"/>
        <v>HalflingBarbarianStr</v>
      </c>
    </row>
    <row r="413" spans="1:10" x14ac:dyDescent="0.3">
      <c r="A413" s="1" t="str">
        <f t="shared" si="54"/>
        <v>Halfling</v>
      </c>
      <c r="B413" s="1" t="s">
        <v>22</v>
      </c>
      <c r="C413" s="1" t="s">
        <v>3</v>
      </c>
      <c r="D413">
        <f t="shared" si="55"/>
        <v>3</v>
      </c>
      <c r="E413">
        <f t="shared" si="56"/>
        <v>2</v>
      </c>
      <c r="F413">
        <f t="shared" si="61"/>
        <v>5</v>
      </c>
      <c r="G413">
        <f t="shared" si="57"/>
        <v>5</v>
      </c>
      <c r="H413">
        <f t="shared" si="58"/>
        <v>8</v>
      </c>
      <c r="I413">
        <f t="shared" si="59"/>
        <v>110</v>
      </c>
      <c r="J413" t="str">
        <f t="shared" si="60"/>
        <v>HalflingBarbarianDex</v>
      </c>
    </row>
    <row r="414" spans="1:10" x14ac:dyDescent="0.3">
      <c r="A414" s="1" t="str">
        <f t="shared" si="54"/>
        <v>Halfling</v>
      </c>
      <c r="B414" s="1" t="s">
        <v>22</v>
      </c>
      <c r="C414" s="1" t="s">
        <v>4</v>
      </c>
      <c r="D414">
        <f t="shared" si="55"/>
        <v>0</v>
      </c>
      <c r="E414">
        <f t="shared" si="56"/>
        <v>0</v>
      </c>
      <c r="F414">
        <f t="shared" si="61"/>
        <v>0</v>
      </c>
      <c r="G414">
        <f t="shared" si="57"/>
        <v>10</v>
      </c>
      <c r="H414">
        <f t="shared" si="58"/>
        <v>0</v>
      </c>
      <c r="I414">
        <f t="shared" si="59"/>
        <v>80</v>
      </c>
      <c r="J414" t="str">
        <f t="shared" si="60"/>
        <v>HalflingBarbarianCon</v>
      </c>
    </row>
    <row r="415" spans="1:10" x14ac:dyDescent="0.3">
      <c r="A415" s="1" t="str">
        <f t="shared" si="54"/>
        <v>Halfling</v>
      </c>
      <c r="B415" s="1" t="s">
        <v>22</v>
      </c>
      <c r="C415" s="1" t="s">
        <v>5</v>
      </c>
      <c r="D415">
        <f t="shared" si="55"/>
        <v>0</v>
      </c>
      <c r="E415">
        <f t="shared" si="56"/>
        <v>-1</v>
      </c>
      <c r="F415">
        <f t="shared" si="61"/>
        <v>-1</v>
      </c>
      <c r="G415">
        <f t="shared" si="57"/>
        <v>13</v>
      </c>
      <c r="H415">
        <f t="shared" si="58"/>
        <v>0</v>
      </c>
      <c r="I415">
        <f t="shared" si="59"/>
        <v>70</v>
      </c>
      <c r="J415" t="str">
        <f t="shared" si="60"/>
        <v>HalflingBarbarianCha</v>
      </c>
    </row>
    <row r="416" spans="1:10" x14ac:dyDescent="0.3">
      <c r="A416" s="1" t="str">
        <f t="shared" si="54"/>
        <v>Halfling</v>
      </c>
      <c r="B416" s="1" t="s">
        <v>22</v>
      </c>
      <c r="C416" s="1" t="s">
        <v>6</v>
      </c>
      <c r="D416">
        <f t="shared" si="55"/>
        <v>-1</v>
      </c>
      <c r="E416">
        <f t="shared" si="56"/>
        <v>-2</v>
      </c>
      <c r="F416">
        <f t="shared" si="61"/>
        <v>-3</v>
      </c>
      <c r="G416">
        <f t="shared" si="57"/>
        <v>19</v>
      </c>
      <c r="H416">
        <f t="shared" si="58"/>
        <v>0</v>
      </c>
      <c r="I416">
        <f t="shared" si="59"/>
        <v>50</v>
      </c>
      <c r="J416" t="str">
        <f t="shared" si="60"/>
        <v>HalflingBarbarianBra</v>
      </c>
    </row>
    <row r="417" spans="1:10" x14ac:dyDescent="0.3">
      <c r="A417" s="1" t="str">
        <f t="shared" si="54"/>
        <v>Halfling</v>
      </c>
      <c r="B417" s="1" t="s">
        <v>22</v>
      </c>
      <c r="C417" s="1" t="s">
        <v>7</v>
      </c>
      <c r="D417">
        <f t="shared" si="55"/>
        <v>-1</v>
      </c>
      <c r="E417">
        <f t="shared" si="56"/>
        <v>1</v>
      </c>
      <c r="F417">
        <f t="shared" si="61"/>
        <v>0</v>
      </c>
      <c r="G417">
        <f t="shared" si="57"/>
        <v>10</v>
      </c>
      <c r="H417">
        <f t="shared" si="58"/>
        <v>0</v>
      </c>
      <c r="I417">
        <f t="shared" si="59"/>
        <v>80</v>
      </c>
      <c r="J417" t="str">
        <f t="shared" si="60"/>
        <v>HalflingBarbarianHP</v>
      </c>
    </row>
    <row r="418" spans="1:10" x14ac:dyDescent="0.3">
      <c r="A418" s="1" t="s">
        <v>21</v>
      </c>
      <c r="B418" s="1" t="s">
        <v>8</v>
      </c>
      <c r="C418" s="1" t="s">
        <v>0</v>
      </c>
      <c r="D418">
        <f t="shared" si="55"/>
        <v>3</v>
      </c>
      <c r="E418">
        <f t="shared" si="56"/>
        <v>-7</v>
      </c>
      <c r="F418">
        <f t="shared" si="61"/>
        <v>-4</v>
      </c>
      <c r="G418">
        <f t="shared" si="57"/>
        <v>22</v>
      </c>
      <c r="H418">
        <f t="shared" si="58"/>
        <v>0</v>
      </c>
      <c r="I418">
        <f t="shared" si="59"/>
        <v>40</v>
      </c>
      <c r="J418" t="str">
        <f t="shared" si="60"/>
        <v>GnomeFighterMag</v>
      </c>
    </row>
    <row r="419" spans="1:10" x14ac:dyDescent="0.3">
      <c r="A419" s="1" t="str">
        <f>A418</f>
        <v>Gnome</v>
      </c>
      <c r="B419" s="1" t="s">
        <v>8</v>
      </c>
      <c r="C419" s="1" t="s">
        <v>1</v>
      </c>
      <c r="D419">
        <f t="shared" si="55"/>
        <v>-3</v>
      </c>
      <c r="E419">
        <f t="shared" si="56"/>
        <v>-5</v>
      </c>
      <c r="F419">
        <f t="shared" si="61"/>
        <v>-8</v>
      </c>
      <c r="G419">
        <f t="shared" si="57"/>
        <v>31</v>
      </c>
      <c r="H419">
        <f t="shared" si="58"/>
        <v>0</v>
      </c>
      <c r="I419">
        <f t="shared" si="59"/>
        <v>0</v>
      </c>
      <c r="J419" t="str">
        <f t="shared" si="60"/>
        <v>GnomeFighterDiv</v>
      </c>
    </row>
    <row r="420" spans="1:10" x14ac:dyDescent="0.3">
      <c r="A420" s="1" t="str">
        <f t="shared" ref="A420:A483" si="62">A419</f>
        <v>Gnome</v>
      </c>
      <c r="B420" s="1" t="s">
        <v>8</v>
      </c>
      <c r="C420" s="1" t="s">
        <v>2</v>
      </c>
      <c r="D420">
        <f t="shared" si="55"/>
        <v>-1</v>
      </c>
      <c r="E420">
        <f t="shared" si="56"/>
        <v>2</v>
      </c>
      <c r="F420">
        <f t="shared" si="61"/>
        <v>1</v>
      </c>
      <c r="G420">
        <f t="shared" si="57"/>
        <v>9</v>
      </c>
      <c r="H420">
        <f t="shared" si="58"/>
        <v>14</v>
      </c>
      <c r="I420">
        <f t="shared" si="59"/>
        <v>90</v>
      </c>
      <c r="J420" t="str">
        <f t="shared" si="60"/>
        <v>GnomeFighterStr</v>
      </c>
    </row>
    <row r="421" spans="1:10" x14ac:dyDescent="0.3">
      <c r="A421" s="1" t="str">
        <f t="shared" si="62"/>
        <v>Gnome</v>
      </c>
      <c r="B421" s="1" t="s">
        <v>8</v>
      </c>
      <c r="C421" s="1" t="s">
        <v>3</v>
      </c>
      <c r="D421">
        <f t="shared" si="55"/>
        <v>0</v>
      </c>
      <c r="E421">
        <f t="shared" si="56"/>
        <v>0</v>
      </c>
      <c r="F421">
        <f t="shared" si="61"/>
        <v>0</v>
      </c>
      <c r="G421">
        <f t="shared" si="57"/>
        <v>10</v>
      </c>
      <c r="H421">
        <f t="shared" si="58"/>
        <v>0</v>
      </c>
      <c r="I421">
        <f t="shared" si="59"/>
        <v>80</v>
      </c>
      <c r="J421" t="str">
        <f t="shared" si="60"/>
        <v>GnomeFighterDex</v>
      </c>
    </row>
    <row r="422" spans="1:10" x14ac:dyDescent="0.3">
      <c r="A422" s="1" t="str">
        <f t="shared" si="62"/>
        <v>Gnome</v>
      </c>
      <c r="B422" s="1" t="s">
        <v>8</v>
      </c>
      <c r="C422" s="1" t="s">
        <v>4</v>
      </c>
      <c r="D422">
        <f t="shared" si="55"/>
        <v>0</v>
      </c>
      <c r="E422">
        <f t="shared" si="56"/>
        <v>1</v>
      </c>
      <c r="F422">
        <f t="shared" si="61"/>
        <v>1</v>
      </c>
      <c r="G422">
        <f t="shared" si="57"/>
        <v>9</v>
      </c>
      <c r="H422">
        <f t="shared" si="58"/>
        <v>14</v>
      </c>
      <c r="I422">
        <f t="shared" si="59"/>
        <v>90</v>
      </c>
      <c r="J422" t="str">
        <f t="shared" si="60"/>
        <v>GnomeFighterCon</v>
      </c>
    </row>
    <row r="423" spans="1:10" x14ac:dyDescent="0.3">
      <c r="A423" s="1" t="str">
        <f t="shared" si="62"/>
        <v>Gnome</v>
      </c>
      <c r="B423" s="1" t="s">
        <v>8</v>
      </c>
      <c r="C423" s="1" t="s">
        <v>5</v>
      </c>
      <c r="D423">
        <f t="shared" si="55"/>
        <v>1</v>
      </c>
      <c r="E423">
        <f t="shared" si="56"/>
        <v>-2</v>
      </c>
      <c r="F423">
        <f t="shared" si="61"/>
        <v>-1</v>
      </c>
      <c r="G423">
        <f t="shared" si="57"/>
        <v>13</v>
      </c>
      <c r="H423">
        <f t="shared" si="58"/>
        <v>0</v>
      </c>
      <c r="I423">
        <f t="shared" si="59"/>
        <v>70</v>
      </c>
      <c r="J423" t="str">
        <f t="shared" si="60"/>
        <v>GnomeFighterCha</v>
      </c>
    </row>
    <row r="424" spans="1:10" x14ac:dyDescent="0.3">
      <c r="A424" s="1" t="str">
        <f t="shared" si="62"/>
        <v>Gnome</v>
      </c>
      <c r="B424" s="1" t="s">
        <v>8</v>
      </c>
      <c r="C424" s="1" t="s">
        <v>6</v>
      </c>
      <c r="D424">
        <f t="shared" si="55"/>
        <v>2</v>
      </c>
      <c r="E424">
        <f t="shared" si="56"/>
        <v>-1</v>
      </c>
      <c r="F424">
        <f t="shared" si="61"/>
        <v>1</v>
      </c>
      <c r="G424">
        <f t="shared" si="57"/>
        <v>9</v>
      </c>
      <c r="H424">
        <f t="shared" si="58"/>
        <v>14</v>
      </c>
      <c r="I424">
        <f t="shared" si="59"/>
        <v>90</v>
      </c>
      <c r="J424" t="str">
        <f t="shared" si="60"/>
        <v>GnomeFighterBra</v>
      </c>
    </row>
    <row r="425" spans="1:10" x14ac:dyDescent="0.3">
      <c r="A425" s="1" t="str">
        <f t="shared" si="62"/>
        <v>Gnome</v>
      </c>
      <c r="B425" s="1" t="s">
        <v>8</v>
      </c>
      <c r="C425" s="1" t="s">
        <v>7</v>
      </c>
      <c r="D425">
        <f t="shared" si="55"/>
        <v>-2</v>
      </c>
      <c r="E425">
        <f t="shared" si="56"/>
        <v>3</v>
      </c>
      <c r="F425">
        <f t="shared" si="61"/>
        <v>1</v>
      </c>
      <c r="G425">
        <f t="shared" si="57"/>
        <v>9</v>
      </c>
      <c r="H425">
        <f t="shared" si="58"/>
        <v>14</v>
      </c>
      <c r="I425">
        <f t="shared" si="59"/>
        <v>90</v>
      </c>
      <c r="J425" t="str">
        <f t="shared" si="60"/>
        <v>GnomeFighterHP</v>
      </c>
    </row>
    <row r="426" spans="1:10" x14ac:dyDescent="0.3">
      <c r="A426" s="1" t="str">
        <f t="shared" si="62"/>
        <v>Gnome</v>
      </c>
      <c r="B426" s="1" t="s">
        <v>9</v>
      </c>
      <c r="C426" s="1" t="s">
        <v>0</v>
      </c>
      <c r="D426">
        <f t="shared" si="55"/>
        <v>3</v>
      </c>
      <c r="E426">
        <f t="shared" si="56"/>
        <v>-7</v>
      </c>
      <c r="F426">
        <f t="shared" si="61"/>
        <v>-4</v>
      </c>
      <c r="G426">
        <f t="shared" si="57"/>
        <v>22</v>
      </c>
      <c r="H426">
        <f t="shared" si="58"/>
        <v>0</v>
      </c>
      <c r="I426">
        <f t="shared" si="59"/>
        <v>40</v>
      </c>
      <c r="J426" t="str">
        <f t="shared" si="60"/>
        <v>GnomeKnightMag</v>
      </c>
    </row>
    <row r="427" spans="1:10" x14ac:dyDescent="0.3">
      <c r="A427" s="1" t="str">
        <f t="shared" si="62"/>
        <v>Gnome</v>
      </c>
      <c r="B427" s="1" t="s">
        <v>9</v>
      </c>
      <c r="C427" s="1" t="s">
        <v>1</v>
      </c>
      <c r="D427">
        <f t="shared" si="55"/>
        <v>-3</v>
      </c>
      <c r="E427">
        <f t="shared" si="56"/>
        <v>0</v>
      </c>
      <c r="F427">
        <f t="shared" si="61"/>
        <v>-3</v>
      </c>
      <c r="G427">
        <f t="shared" si="57"/>
        <v>19</v>
      </c>
      <c r="H427">
        <f t="shared" si="58"/>
        <v>0</v>
      </c>
      <c r="I427">
        <f t="shared" si="59"/>
        <v>50</v>
      </c>
      <c r="J427" t="str">
        <f t="shared" si="60"/>
        <v>GnomeKnightDiv</v>
      </c>
    </row>
    <row r="428" spans="1:10" x14ac:dyDescent="0.3">
      <c r="A428" s="1" t="str">
        <f t="shared" si="62"/>
        <v>Gnome</v>
      </c>
      <c r="B428" s="1" t="s">
        <v>9</v>
      </c>
      <c r="C428" s="1" t="s">
        <v>2</v>
      </c>
      <c r="D428">
        <f t="shared" si="55"/>
        <v>-1</v>
      </c>
      <c r="E428">
        <f t="shared" si="56"/>
        <v>2</v>
      </c>
      <c r="F428">
        <f t="shared" si="61"/>
        <v>1</v>
      </c>
      <c r="G428">
        <f t="shared" si="57"/>
        <v>9</v>
      </c>
      <c r="H428">
        <f t="shared" si="58"/>
        <v>14</v>
      </c>
      <c r="I428">
        <f t="shared" si="59"/>
        <v>90</v>
      </c>
      <c r="J428" t="str">
        <f t="shared" si="60"/>
        <v>GnomeKnightStr</v>
      </c>
    </row>
    <row r="429" spans="1:10" x14ac:dyDescent="0.3">
      <c r="A429" s="1" t="str">
        <f t="shared" si="62"/>
        <v>Gnome</v>
      </c>
      <c r="B429" s="1" t="s">
        <v>9</v>
      </c>
      <c r="C429" s="1" t="s">
        <v>3</v>
      </c>
      <c r="D429">
        <f t="shared" si="55"/>
        <v>0</v>
      </c>
      <c r="E429">
        <f t="shared" si="56"/>
        <v>-1</v>
      </c>
      <c r="F429">
        <f t="shared" si="61"/>
        <v>-1</v>
      </c>
      <c r="G429">
        <f t="shared" si="57"/>
        <v>13</v>
      </c>
      <c r="H429">
        <f t="shared" si="58"/>
        <v>0</v>
      </c>
      <c r="I429">
        <f t="shared" si="59"/>
        <v>70</v>
      </c>
      <c r="J429" t="str">
        <f t="shared" si="60"/>
        <v>GnomeKnightDex</v>
      </c>
    </row>
    <row r="430" spans="1:10" x14ac:dyDescent="0.3">
      <c r="A430" s="1" t="str">
        <f t="shared" si="62"/>
        <v>Gnome</v>
      </c>
      <c r="B430" s="1" t="s">
        <v>9</v>
      </c>
      <c r="C430" s="1" t="s">
        <v>4</v>
      </c>
      <c r="D430">
        <f t="shared" si="55"/>
        <v>0</v>
      </c>
      <c r="E430">
        <f t="shared" si="56"/>
        <v>0</v>
      </c>
      <c r="F430">
        <f t="shared" si="61"/>
        <v>0</v>
      </c>
      <c r="G430">
        <f t="shared" si="57"/>
        <v>10</v>
      </c>
      <c r="H430">
        <f t="shared" si="58"/>
        <v>0</v>
      </c>
      <c r="I430">
        <f t="shared" si="59"/>
        <v>80</v>
      </c>
      <c r="J430" t="str">
        <f t="shared" si="60"/>
        <v>GnomeKnightCon</v>
      </c>
    </row>
    <row r="431" spans="1:10" x14ac:dyDescent="0.3">
      <c r="A431" s="1" t="str">
        <f t="shared" si="62"/>
        <v>Gnome</v>
      </c>
      <c r="B431" s="1" t="s">
        <v>9</v>
      </c>
      <c r="C431" s="1" t="s">
        <v>5</v>
      </c>
      <c r="D431">
        <f t="shared" si="55"/>
        <v>1</v>
      </c>
      <c r="E431">
        <f t="shared" si="56"/>
        <v>-2</v>
      </c>
      <c r="F431">
        <f t="shared" si="61"/>
        <v>-1</v>
      </c>
      <c r="G431">
        <f t="shared" si="57"/>
        <v>13</v>
      </c>
      <c r="H431">
        <f t="shared" si="58"/>
        <v>0</v>
      </c>
      <c r="I431">
        <f t="shared" si="59"/>
        <v>70</v>
      </c>
      <c r="J431" t="str">
        <f t="shared" si="60"/>
        <v>GnomeKnightCha</v>
      </c>
    </row>
    <row r="432" spans="1:10" x14ac:dyDescent="0.3">
      <c r="A432" s="1" t="str">
        <f t="shared" si="62"/>
        <v>Gnome</v>
      </c>
      <c r="B432" s="1" t="s">
        <v>9</v>
      </c>
      <c r="C432" s="1" t="s">
        <v>6</v>
      </c>
      <c r="D432">
        <f t="shared" si="55"/>
        <v>2</v>
      </c>
      <c r="E432">
        <f t="shared" si="56"/>
        <v>0</v>
      </c>
      <c r="F432">
        <f t="shared" si="61"/>
        <v>2</v>
      </c>
      <c r="G432">
        <f t="shared" si="57"/>
        <v>8</v>
      </c>
      <c r="H432">
        <f t="shared" si="58"/>
        <v>12</v>
      </c>
      <c r="I432">
        <f t="shared" si="59"/>
        <v>100</v>
      </c>
      <c r="J432" t="str">
        <f t="shared" si="60"/>
        <v>GnomeKnightBra</v>
      </c>
    </row>
    <row r="433" spans="1:10" x14ac:dyDescent="0.3">
      <c r="A433" s="1" t="str">
        <f t="shared" si="62"/>
        <v>Gnome</v>
      </c>
      <c r="B433" s="1" t="s">
        <v>9</v>
      </c>
      <c r="C433" s="1" t="s">
        <v>7</v>
      </c>
      <c r="D433">
        <f t="shared" si="55"/>
        <v>-2</v>
      </c>
      <c r="E433">
        <f t="shared" si="56"/>
        <v>1</v>
      </c>
      <c r="F433">
        <f t="shared" si="61"/>
        <v>-1</v>
      </c>
      <c r="G433">
        <f t="shared" si="57"/>
        <v>13</v>
      </c>
      <c r="H433">
        <f t="shared" si="58"/>
        <v>0</v>
      </c>
      <c r="I433">
        <f t="shared" si="59"/>
        <v>70</v>
      </c>
      <c r="J433" t="str">
        <f t="shared" si="60"/>
        <v>GnomeKnightHP</v>
      </c>
    </row>
    <row r="434" spans="1:10" x14ac:dyDescent="0.3">
      <c r="A434" s="1" t="str">
        <f t="shared" si="62"/>
        <v>Gnome</v>
      </c>
      <c r="B434" s="1" t="s">
        <v>10</v>
      </c>
      <c r="C434" s="1" t="s">
        <v>0</v>
      </c>
      <c r="D434">
        <f t="shared" si="55"/>
        <v>3</v>
      </c>
      <c r="E434">
        <f t="shared" si="56"/>
        <v>-7</v>
      </c>
      <c r="F434">
        <f t="shared" si="61"/>
        <v>-4</v>
      </c>
      <c r="G434">
        <f t="shared" si="57"/>
        <v>22</v>
      </c>
      <c r="H434">
        <f t="shared" si="58"/>
        <v>0</v>
      </c>
      <c r="I434">
        <f t="shared" si="59"/>
        <v>40</v>
      </c>
      <c r="J434" t="str">
        <f t="shared" si="60"/>
        <v>GnomePaladinMag</v>
      </c>
    </row>
    <row r="435" spans="1:10" x14ac:dyDescent="0.3">
      <c r="A435" s="1" t="str">
        <f t="shared" si="62"/>
        <v>Gnome</v>
      </c>
      <c r="B435" s="1" t="s">
        <v>10</v>
      </c>
      <c r="C435" s="1" t="s">
        <v>1</v>
      </c>
      <c r="D435">
        <f t="shared" si="55"/>
        <v>-3</v>
      </c>
      <c r="E435">
        <f t="shared" si="56"/>
        <v>0</v>
      </c>
      <c r="F435">
        <f t="shared" si="61"/>
        <v>-3</v>
      </c>
      <c r="G435">
        <f t="shared" si="57"/>
        <v>19</v>
      </c>
      <c r="H435">
        <f t="shared" si="58"/>
        <v>0</v>
      </c>
      <c r="I435">
        <f t="shared" si="59"/>
        <v>50</v>
      </c>
      <c r="J435" t="str">
        <f t="shared" si="60"/>
        <v>GnomePaladinDiv</v>
      </c>
    </row>
    <row r="436" spans="1:10" x14ac:dyDescent="0.3">
      <c r="A436" s="1" t="str">
        <f t="shared" si="62"/>
        <v>Gnome</v>
      </c>
      <c r="B436" s="1" t="s">
        <v>10</v>
      </c>
      <c r="C436" s="1" t="s">
        <v>2</v>
      </c>
      <c r="D436">
        <f t="shared" si="55"/>
        <v>-1</v>
      </c>
      <c r="E436">
        <f t="shared" si="56"/>
        <v>2</v>
      </c>
      <c r="F436">
        <f t="shared" si="61"/>
        <v>1</v>
      </c>
      <c r="G436">
        <f t="shared" si="57"/>
        <v>9</v>
      </c>
      <c r="H436">
        <f t="shared" si="58"/>
        <v>14</v>
      </c>
      <c r="I436">
        <f t="shared" si="59"/>
        <v>90</v>
      </c>
      <c r="J436" t="str">
        <f t="shared" si="60"/>
        <v>GnomePaladinStr</v>
      </c>
    </row>
    <row r="437" spans="1:10" x14ac:dyDescent="0.3">
      <c r="A437" s="1" t="str">
        <f t="shared" si="62"/>
        <v>Gnome</v>
      </c>
      <c r="B437" s="1" t="s">
        <v>10</v>
      </c>
      <c r="C437" s="1" t="s">
        <v>3</v>
      </c>
      <c r="D437">
        <f t="shared" si="55"/>
        <v>0</v>
      </c>
      <c r="E437">
        <f t="shared" si="56"/>
        <v>-1</v>
      </c>
      <c r="F437">
        <f t="shared" si="61"/>
        <v>-1</v>
      </c>
      <c r="G437">
        <f t="shared" si="57"/>
        <v>13</v>
      </c>
      <c r="H437">
        <f t="shared" si="58"/>
        <v>0</v>
      </c>
      <c r="I437">
        <f t="shared" si="59"/>
        <v>70</v>
      </c>
      <c r="J437" t="str">
        <f t="shared" si="60"/>
        <v>GnomePaladinDex</v>
      </c>
    </row>
    <row r="438" spans="1:10" x14ac:dyDescent="0.3">
      <c r="A438" s="1" t="str">
        <f t="shared" si="62"/>
        <v>Gnome</v>
      </c>
      <c r="B438" s="1" t="s">
        <v>10</v>
      </c>
      <c r="C438" s="1" t="s">
        <v>4</v>
      </c>
      <c r="D438">
        <f t="shared" si="55"/>
        <v>0</v>
      </c>
      <c r="E438">
        <f t="shared" si="56"/>
        <v>0</v>
      </c>
      <c r="F438">
        <f t="shared" si="61"/>
        <v>0</v>
      </c>
      <c r="G438">
        <f t="shared" si="57"/>
        <v>10</v>
      </c>
      <c r="H438">
        <f t="shared" si="58"/>
        <v>0</v>
      </c>
      <c r="I438">
        <f t="shared" si="59"/>
        <v>80</v>
      </c>
      <c r="J438" t="str">
        <f t="shared" si="60"/>
        <v>GnomePaladinCon</v>
      </c>
    </row>
    <row r="439" spans="1:10" x14ac:dyDescent="0.3">
      <c r="A439" s="1" t="str">
        <f t="shared" si="62"/>
        <v>Gnome</v>
      </c>
      <c r="B439" s="1" t="s">
        <v>10</v>
      </c>
      <c r="C439" s="1" t="s">
        <v>5</v>
      </c>
      <c r="D439">
        <f t="shared" si="55"/>
        <v>1</v>
      </c>
      <c r="E439">
        <f t="shared" si="56"/>
        <v>-2</v>
      </c>
      <c r="F439">
        <f t="shared" si="61"/>
        <v>-1</v>
      </c>
      <c r="G439">
        <f t="shared" si="57"/>
        <v>13</v>
      </c>
      <c r="H439">
        <f t="shared" si="58"/>
        <v>0</v>
      </c>
      <c r="I439">
        <f t="shared" si="59"/>
        <v>70</v>
      </c>
      <c r="J439" t="str">
        <f t="shared" si="60"/>
        <v>GnomePaladinCha</v>
      </c>
    </row>
    <row r="440" spans="1:10" x14ac:dyDescent="0.3">
      <c r="A440" s="1" t="str">
        <f t="shared" si="62"/>
        <v>Gnome</v>
      </c>
      <c r="B440" s="1" t="s">
        <v>10</v>
      </c>
      <c r="C440" s="1" t="s">
        <v>6</v>
      </c>
      <c r="D440">
        <f t="shared" si="55"/>
        <v>2</v>
      </c>
      <c r="E440">
        <f t="shared" si="56"/>
        <v>0</v>
      </c>
      <c r="F440">
        <f t="shared" si="61"/>
        <v>2</v>
      </c>
      <c r="G440">
        <f t="shared" si="57"/>
        <v>8</v>
      </c>
      <c r="H440">
        <f t="shared" si="58"/>
        <v>12</v>
      </c>
      <c r="I440">
        <f t="shared" si="59"/>
        <v>100</v>
      </c>
      <c r="J440" t="str">
        <f t="shared" si="60"/>
        <v>GnomePaladinBra</v>
      </c>
    </row>
    <row r="441" spans="1:10" x14ac:dyDescent="0.3">
      <c r="A441" s="1" t="str">
        <f t="shared" si="62"/>
        <v>Gnome</v>
      </c>
      <c r="B441" s="1" t="s">
        <v>10</v>
      </c>
      <c r="C441" s="1" t="s">
        <v>7</v>
      </c>
      <c r="D441">
        <f t="shared" si="55"/>
        <v>-2</v>
      </c>
      <c r="E441">
        <f t="shared" si="56"/>
        <v>1</v>
      </c>
      <c r="F441">
        <f t="shared" si="61"/>
        <v>-1</v>
      </c>
      <c r="G441">
        <f t="shared" si="57"/>
        <v>13</v>
      </c>
      <c r="H441">
        <f t="shared" si="58"/>
        <v>0</v>
      </c>
      <c r="I441">
        <f t="shared" si="59"/>
        <v>70</v>
      </c>
      <c r="J441" t="str">
        <f t="shared" si="60"/>
        <v>GnomePaladinHP</v>
      </c>
    </row>
    <row r="442" spans="1:10" x14ac:dyDescent="0.3">
      <c r="A442" s="1" t="str">
        <f t="shared" si="62"/>
        <v>Gnome</v>
      </c>
      <c r="B442" s="1" t="s">
        <v>11</v>
      </c>
      <c r="C442" s="1" t="s">
        <v>0</v>
      </c>
      <c r="D442">
        <f t="shared" si="55"/>
        <v>3</v>
      </c>
      <c r="E442">
        <f t="shared" si="56"/>
        <v>-7</v>
      </c>
      <c r="F442">
        <f t="shared" si="61"/>
        <v>-4</v>
      </c>
      <c r="G442">
        <f t="shared" si="57"/>
        <v>22</v>
      </c>
      <c r="H442">
        <f t="shared" si="58"/>
        <v>0</v>
      </c>
      <c r="I442">
        <f t="shared" si="59"/>
        <v>40</v>
      </c>
      <c r="J442" t="str">
        <f t="shared" si="60"/>
        <v>GnomeRangerMag</v>
      </c>
    </row>
    <row r="443" spans="1:10" x14ac:dyDescent="0.3">
      <c r="A443" s="1" t="str">
        <f t="shared" si="62"/>
        <v>Gnome</v>
      </c>
      <c r="B443" s="1" t="s">
        <v>11</v>
      </c>
      <c r="C443" s="1" t="s">
        <v>1</v>
      </c>
      <c r="D443">
        <f t="shared" si="55"/>
        <v>-3</v>
      </c>
      <c r="E443">
        <f t="shared" si="56"/>
        <v>0</v>
      </c>
      <c r="F443">
        <f t="shared" si="61"/>
        <v>-3</v>
      </c>
      <c r="G443">
        <f t="shared" si="57"/>
        <v>19</v>
      </c>
      <c r="H443">
        <f t="shared" si="58"/>
        <v>0</v>
      </c>
      <c r="I443">
        <f t="shared" si="59"/>
        <v>50</v>
      </c>
      <c r="J443" t="str">
        <f t="shared" si="60"/>
        <v>GnomeRangerDiv</v>
      </c>
    </row>
    <row r="444" spans="1:10" x14ac:dyDescent="0.3">
      <c r="A444" s="1" t="str">
        <f t="shared" si="62"/>
        <v>Gnome</v>
      </c>
      <c r="B444" s="1" t="s">
        <v>11</v>
      </c>
      <c r="C444" s="1" t="s">
        <v>2</v>
      </c>
      <c r="D444">
        <f t="shared" si="55"/>
        <v>-1</v>
      </c>
      <c r="E444">
        <f t="shared" si="56"/>
        <v>1</v>
      </c>
      <c r="F444">
        <f t="shared" si="61"/>
        <v>0</v>
      </c>
      <c r="G444">
        <f t="shared" si="57"/>
        <v>10</v>
      </c>
      <c r="H444">
        <f t="shared" si="58"/>
        <v>0</v>
      </c>
      <c r="I444">
        <f t="shared" si="59"/>
        <v>80</v>
      </c>
      <c r="J444" t="str">
        <f t="shared" si="60"/>
        <v>GnomeRangerStr</v>
      </c>
    </row>
    <row r="445" spans="1:10" x14ac:dyDescent="0.3">
      <c r="A445" s="1" t="str">
        <f t="shared" si="62"/>
        <v>Gnome</v>
      </c>
      <c r="B445" s="1" t="s">
        <v>11</v>
      </c>
      <c r="C445" s="1" t="s">
        <v>3</v>
      </c>
      <c r="D445">
        <f t="shared" si="55"/>
        <v>0</v>
      </c>
      <c r="E445">
        <f t="shared" si="56"/>
        <v>2</v>
      </c>
      <c r="F445">
        <f t="shared" si="61"/>
        <v>2</v>
      </c>
      <c r="G445">
        <f t="shared" si="57"/>
        <v>8</v>
      </c>
      <c r="H445">
        <f t="shared" si="58"/>
        <v>12</v>
      </c>
      <c r="I445">
        <f t="shared" si="59"/>
        <v>100</v>
      </c>
      <c r="J445" t="str">
        <f t="shared" si="60"/>
        <v>GnomeRangerDex</v>
      </c>
    </row>
    <row r="446" spans="1:10" x14ac:dyDescent="0.3">
      <c r="A446" s="1" t="str">
        <f t="shared" si="62"/>
        <v>Gnome</v>
      </c>
      <c r="B446" s="1" t="s">
        <v>11</v>
      </c>
      <c r="C446" s="1" t="s">
        <v>4</v>
      </c>
      <c r="D446">
        <f t="shared" si="55"/>
        <v>0</v>
      </c>
      <c r="E446">
        <f t="shared" si="56"/>
        <v>0</v>
      </c>
      <c r="F446">
        <f t="shared" si="61"/>
        <v>0</v>
      </c>
      <c r="G446">
        <f t="shared" si="57"/>
        <v>10</v>
      </c>
      <c r="H446">
        <f t="shared" si="58"/>
        <v>0</v>
      </c>
      <c r="I446">
        <f t="shared" si="59"/>
        <v>80</v>
      </c>
      <c r="J446" t="str">
        <f t="shared" si="60"/>
        <v>GnomeRangerCon</v>
      </c>
    </row>
    <row r="447" spans="1:10" x14ac:dyDescent="0.3">
      <c r="A447" s="1" t="str">
        <f t="shared" si="62"/>
        <v>Gnome</v>
      </c>
      <c r="B447" s="1" t="s">
        <v>11</v>
      </c>
      <c r="C447" s="1" t="s">
        <v>5</v>
      </c>
      <c r="D447">
        <f t="shared" si="55"/>
        <v>1</v>
      </c>
      <c r="E447">
        <f t="shared" si="56"/>
        <v>-2</v>
      </c>
      <c r="F447">
        <f t="shared" si="61"/>
        <v>-1</v>
      </c>
      <c r="G447">
        <f t="shared" si="57"/>
        <v>13</v>
      </c>
      <c r="H447">
        <f t="shared" si="58"/>
        <v>0</v>
      </c>
      <c r="I447">
        <f t="shared" si="59"/>
        <v>70</v>
      </c>
      <c r="J447" t="str">
        <f t="shared" si="60"/>
        <v>GnomeRangerCha</v>
      </c>
    </row>
    <row r="448" spans="1:10" x14ac:dyDescent="0.3">
      <c r="A448" s="1" t="str">
        <f t="shared" si="62"/>
        <v>Gnome</v>
      </c>
      <c r="B448" s="1" t="s">
        <v>11</v>
      </c>
      <c r="C448" s="1" t="s">
        <v>6</v>
      </c>
      <c r="D448">
        <f t="shared" si="55"/>
        <v>2</v>
      </c>
      <c r="E448">
        <f t="shared" si="56"/>
        <v>-1</v>
      </c>
      <c r="F448">
        <f t="shared" si="61"/>
        <v>1</v>
      </c>
      <c r="G448">
        <f t="shared" si="57"/>
        <v>9</v>
      </c>
      <c r="H448">
        <f t="shared" si="58"/>
        <v>14</v>
      </c>
      <c r="I448">
        <f t="shared" si="59"/>
        <v>90</v>
      </c>
      <c r="J448" t="str">
        <f t="shared" si="60"/>
        <v>GnomeRangerBra</v>
      </c>
    </row>
    <row r="449" spans="1:10" x14ac:dyDescent="0.3">
      <c r="A449" s="1" t="str">
        <f t="shared" si="62"/>
        <v>Gnome</v>
      </c>
      <c r="B449" s="1" t="s">
        <v>11</v>
      </c>
      <c r="C449" s="1" t="s">
        <v>7</v>
      </c>
      <c r="D449">
        <f t="shared" si="55"/>
        <v>-2</v>
      </c>
      <c r="E449">
        <f t="shared" si="56"/>
        <v>0</v>
      </c>
      <c r="F449">
        <f t="shared" si="61"/>
        <v>-2</v>
      </c>
      <c r="G449">
        <f t="shared" si="57"/>
        <v>16</v>
      </c>
      <c r="H449">
        <f t="shared" si="58"/>
        <v>0</v>
      </c>
      <c r="I449">
        <f t="shared" si="59"/>
        <v>60</v>
      </c>
      <c r="J449" t="str">
        <f t="shared" si="60"/>
        <v>GnomeRangerHP</v>
      </c>
    </row>
    <row r="450" spans="1:10" x14ac:dyDescent="0.3">
      <c r="A450" s="1" t="str">
        <f t="shared" si="62"/>
        <v>Gnome</v>
      </c>
      <c r="B450" s="1" t="s">
        <v>12</v>
      </c>
      <c r="C450" s="1" t="s">
        <v>0</v>
      </c>
      <c r="D450">
        <f t="shared" ref="D450:D513" si="63">INDEX(TblRaceValues,MATCH(C450, TblAbilities, 0),MATCH(A450,TblRaces,0))</f>
        <v>3</v>
      </c>
      <c r="E450">
        <f t="shared" ref="E450:E513" si="64">INDEX(TblProfessionValues,MATCH(C450,TblAbilities,0),MATCH(B450,TblProfessions,0))</f>
        <v>0</v>
      </c>
      <c r="F450">
        <f t="shared" si="61"/>
        <v>3</v>
      </c>
      <c r="G450">
        <f t="shared" ref="G450:G513" si="65">HLOOKUP(MIN(MAX(-7,F450),7),TblPracticeCost,2)</f>
        <v>7</v>
      </c>
      <c r="H450">
        <f t="shared" ref="H450:H513" si="66">HLOOKUP(MIN(MAX(-7,F450),7),TblPracticeCost,3)</f>
        <v>11</v>
      </c>
      <c r="I450">
        <f t="shared" ref="I450:I513" si="67">VLOOKUP(MIN(MAX(-7,F450),7),TblBonusMaxSkill,2)</f>
        <v>105</v>
      </c>
      <c r="J450" t="str">
        <f t="shared" si="60"/>
        <v>GnomeAssassinMag</v>
      </c>
    </row>
    <row r="451" spans="1:10" x14ac:dyDescent="0.3">
      <c r="A451" s="1" t="str">
        <f t="shared" si="62"/>
        <v>Gnome</v>
      </c>
      <c r="B451" s="1" t="s">
        <v>12</v>
      </c>
      <c r="C451" s="1" t="s">
        <v>1</v>
      </c>
      <c r="D451">
        <f t="shared" si="63"/>
        <v>-3</v>
      </c>
      <c r="E451">
        <f t="shared" si="64"/>
        <v>-7</v>
      </c>
      <c r="F451">
        <f t="shared" si="61"/>
        <v>-10</v>
      </c>
      <c r="G451">
        <f t="shared" si="65"/>
        <v>31</v>
      </c>
      <c r="H451">
        <f t="shared" si="66"/>
        <v>0</v>
      </c>
      <c r="I451">
        <f t="shared" si="67"/>
        <v>0</v>
      </c>
      <c r="J451" t="str">
        <f t="shared" ref="J451:J514" si="68">A451&amp;B451&amp;C451</f>
        <v>GnomeAssassinDiv</v>
      </c>
    </row>
    <row r="452" spans="1:10" x14ac:dyDescent="0.3">
      <c r="A452" s="1" t="str">
        <f t="shared" si="62"/>
        <v>Gnome</v>
      </c>
      <c r="B452" s="1" t="s">
        <v>12</v>
      </c>
      <c r="C452" s="1" t="s">
        <v>2</v>
      </c>
      <c r="D452">
        <f t="shared" si="63"/>
        <v>-1</v>
      </c>
      <c r="E452">
        <f t="shared" si="64"/>
        <v>0</v>
      </c>
      <c r="F452">
        <f t="shared" si="61"/>
        <v>-1</v>
      </c>
      <c r="G452">
        <f t="shared" si="65"/>
        <v>13</v>
      </c>
      <c r="H452">
        <f t="shared" si="66"/>
        <v>0</v>
      </c>
      <c r="I452">
        <f t="shared" si="67"/>
        <v>70</v>
      </c>
      <c r="J452" t="str">
        <f t="shared" si="68"/>
        <v>GnomeAssassinStr</v>
      </c>
    </row>
    <row r="453" spans="1:10" x14ac:dyDescent="0.3">
      <c r="A453" s="1" t="str">
        <f t="shared" si="62"/>
        <v>Gnome</v>
      </c>
      <c r="B453" s="1" t="s">
        <v>12</v>
      </c>
      <c r="C453" s="1" t="s">
        <v>3</v>
      </c>
      <c r="D453">
        <f t="shared" si="63"/>
        <v>0</v>
      </c>
      <c r="E453">
        <f t="shared" si="64"/>
        <v>2</v>
      </c>
      <c r="F453">
        <f t="shared" si="61"/>
        <v>2</v>
      </c>
      <c r="G453">
        <f t="shared" si="65"/>
        <v>8</v>
      </c>
      <c r="H453">
        <f t="shared" si="66"/>
        <v>12</v>
      </c>
      <c r="I453">
        <f t="shared" si="67"/>
        <v>100</v>
      </c>
      <c r="J453" t="str">
        <f t="shared" si="68"/>
        <v>GnomeAssassinDex</v>
      </c>
    </row>
    <row r="454" spans="1:10" x14ac:dyDescent="0.3">
      <c r="A454" s="1" t="str">
        <f t="shared" si="62"/>
        <v>Gnome</v>
      </c>
      <c r="B454" s="1" t="s">
        <v>12</v>
      </c>
      <c r="C454" s="1" t="s">
        <v>4</v>
      </c>
      <c r="D454">
        <f t="shared" si="63"/>
        <v>0</v>
      </c>
      <c r="E454">
        <f t="shared" si="64"/>
        <v>0</v>
      </c>
      <c r="F454">
        <f t="shared" si="61"/>
        <v>0</v>
      </c>
      <c r="G454">
        <f t="shared" si="65"/>
        <v>10</v>
      </c>
      <c r="H454">
        <f t="shared" si="66"/>
        <v>0</v>
      </c>
      <c r="I454">
        <f t="shared" si="67"/>
        <v>80</v>
      </c>
      <c r="J454" t="str">
        <f t="shared" si="68"/>
        <v>GnomeAssassinCon</v>
      </c>
    </row>
    <row r="455" spans="1:10" x14ac:dyDescent="0.3">
      <c r="A455" s="1" t="str">
        <f t="shared" si="62"/>
        <v>Gnome</v>
      </c>
      <c r="B455" s="1" t="s">
        <v>12</v>
      </c>
      <c r="C455" s="1" t="s">
        <v>5</v>
      </c>
      <c r="D455">
        <f t="shared" si="63"/>
        <v>1</v>
      </c>
      <c r="E455">
        <f t="shared" si="64"/>
        <v>-2</v>
      </c>
      <c r="F455">
        <f t="shared" si="61"/>
        <v>-1</v>
      </c>
      <c r="G455">
        <f t="shared" si="65"/>
        <v>13</v>
      </c>
      <c r="H455">
        <f t="shared" si="66"/>
        <v>0</v>
      </c>
      <c r="I455">
        <f t="shared" si="67"/>
        <v>70</v>
      </c>
      <c r="J455" t="str">
        <f t="shared" si="68"/>
        <v>GnomeAssassinCha</v>
      </c>
    </row>
    <row r="456" spans="1:10" x14ac:dyDescent="0.3">
      <c r="A456" s="1" t="str">
        <f t="shared" si="62"/>
        <v>Gnome</v>
      </c>
      <c r="B456" s="1" t="s">
        <v>12</v>
      </c>
      <c r="C456" s="1" t="s">
        <v>6</v>
      </c>
      <c r="D456">
        <f t="shared" si="63"/>
        <v>2</v>
      </c>
      <c r="E456">
        <f t="shared" si="64"/>
        <v>1</v>
      </c>
      <c r="F456">
        <f t="shared" si="61"/>
        <v>3</v>
      </c>
      <c r="G456">
        <f t="shared" si="65"/>
        <v>7</v>
      </c>
      <c r="H456">
        <f t="shared" si="66"/>
        <v>11</v>
      </c>
      <c r="I456">
        <f t="shared" si="67"/>
        <v>105</v>
      </c>
      <c r="J456" t="str">
        <f t="shared" si="68"/>
        <v>GnomeAssassinBra</v>
      </c>
    </row>
    <row r="457" spans="1:10" x14ac:dyDescent="0.3">
      <c r="A457" s="1" t="str">
        <f t="shared" si="62"/>
        <v>Gnome</v>
      </c>
      <c r="B457" s="1" t="s">
        <v>12</v>
      </c>
      <c r="C457" s="1" t="s">
        <v>7</v>
      </c>
      <c r="D457">
        <f t="shared" si="63"/>
        <v>-2</v>
      </c>
      <c r="E457">
        <f t="shared" si="64"/>
        <v>-1</v>
      </c>
      <c r="F457">
        <f t="shared" si="61"/>
        <v>-3</v>
      </c>
      <c r="G457">
        <f t="shared" si="65"/>
        <v>19</v>
      </c>
      <c r="H457">
        <f t="shared" si="66"/>
        <v>0</v>
      </c>
      <c r="I457">
        <f t="shared" si="67"/>
        <v>50</v>
      </c>
      <c r="J457" t="str">
        <f t="shared" si="68"/>
        <v>GnomeAssassinHP</v>
      </c>
    </row>
    <row r="458" spans="1:10" x14ac:dyDescent="0.3">
      <c r="A458" s="1" t="str">
        <f t="shared" si="62"/>
        <v>Gnome</v>
      </c>
      <c r="B458" s="1" t="s">
        <v>13</v>
      </c>
      <c r="C458" s="1" t="s">
        <v>0</v>
      </c>
      <c r="D458">
        <f t="shared" si="63"/>
        <v>3</v>
      </c>
      <c r="E458">
        <f t="shared" si="64"/>
        <v>-5</v>
      </c>
      <c r="F458">
        <f t="shared" si="61"/>
        <v>-2</v>
      </c>
      <c r="G458">
        <f t="shared" si="65"/>
        <v>16</v>
      </c>
      <c r="H458">
        <f t="shared" si="66"/>
        <v>0</v>
      </c>
      <c r="I458">
        <f t="shared" si="67"/>
        <v>60</v>
      </c>
      <c r="J458" t="str">
        <f t="shared" si="68"/>
        <v>GnomeThiefMag</v>
      </c>
    </row>
    <row r="459" spans="1:10" x14ac:dyDescent="0.3">
      <c r="A459" s="1" t="str">
        <f t="shared" si="62"/>
        <v>Gnome</v>
      </c>
      <c r="B459" s="1" t="s">
        <v>13</v>
      </c>
      <c r="C459" s="1" t="s">
        <v>1</v>
      </c>
      <c r="D459">
        <f t="shared" si="63"/>
        <v>-3</v>
      </c>
      <c r="E459">
        <f t="shared" si="64"/>
        <v>-7</v>
      </c>
      <c r="F459">
        <f t="shared" si="61"/>
        <v>-10</v>
      </c>
      <c r="G459">
        <f t="shared" si="65"/>
        <v>31</v>
      </c>
      <c r="H459">
        <f t="shared" si="66"/>
        <v>0</v>
      </c>
      <c r="I459">
        <f t="shared" si="67"/>
        <v>0</v>
      </c>
      <c r="J459" t="str">
        <f t="shared" si="68"/>
        <v>GnomeThiefDiv</v>
      </c>
    </row>
    <row r="460" spans="1:10" x14ac:dyDescent="0.3">
      <c r="A460" s="1" t="str">
        <f t="shared" si="62"/>
        <v>Gnome</v>
      </c>
      <c r="B460" s="1" t="s">
        <v>13</v>
      </c>
      <c r="C460" s="1" t="s">
        <v>2</v>
      </c>
      <c r="D460">
        <f t="shared" si="63"/>
        <v>-1</v>
      </c>
      <c r="E460">
        <f t="shared" si="64"/>
        <v>0</v>
      </c>
      <c r="F460">
        <f t="shared" si="61"/>
        <v>-1</v>
      </c>
      <c r="G460">
        <f t="shared" si="65"/>
        <v>13</v>
      </c>
      <c r="H460">
        <f t="shared" si="66"/>
        <v>0</v>
      </c>
      <c r="I460">
        <f t="shared" si="67"/>
        <v>70</v>
      </c>
      <c r="J460" t="str">
        <f t="shared" si="68"/>
        <v>GnomeThiefStr</v>
      </c>
    </row>
    <row r="461" spans="1:10" x14ac:dyDescent="0.3">
      <c r="A461" s="1" t="str">
        <f t="shared" si="62"/>
        <v>Gnome</v>
      </c>
      <c r="B461" s="1" t="s">
        <v>13</v>
      </c>
      <c r="C461" s="1" t="s">
        <v>3</v>
      </c>
      <c r="D461">
        <f t="shared" si="63"/>
        <v>0</v>
      </c>
      <c r="E461">
        <f t="shared" si="64"/>
        <v>3</v>
      </c>
      <c r="F461">
        <f t="shared" si="61"/>
        <v>3</v>
      </c>
      <c r="G461">
        <f t="shared" si="65"/>
        <v>7</v>
      </c>
      <c r="H461">
        <f t="shared" si="66"/>
        <v>11</v>
      </c>
      <c r="I461">
        <f t="shared" si="67"/>
        <v>105</v>
      </c>
      <c r="J461" t="str">
        <f t="shared" si="68"/>
        <v>GnomeThiefDex</v>
      </c>
    </row>
    <row r="462" spans="1:10" x14ac:dyDescent="0.3">
      <c r="A462" s="1" t="str">
        <f t="shared" si="62"/>
        <v>Gnome</v>
      </c>
      <c r="B462" s="1" t="s">
        <v>13</v>
      </c>
      <c r="C462" s="1" t="s">
        <v>4</v>
      </c>
      <c r="D462">
        <f t="shared" si="63"/>
        <v>0</v>
      </c>
      <c r="E462">
        <f t="shared" si="64"/>
        <v>-1</v>
      </c>
      <c r="F462">
        <f t="shared" si="61"/>
        <v>-1</v>
      </c>
      <c r="G462">
        <f t="shared" si="65"/>
        <v>13</v>
      </c>
      <c r="H462">
        <f t="shared" si="66"/>
        <v>0</v>
      </c>
      <c r="I462">
        <f t="shared" si="67"/>
        <v>70</v>
      </c>
      <c r="J462" t="str">
        <f t="shared" si="68"/>
        <v>GnomeThiefCon</v>
      </c>
    </row>
    <row r="463" spans="1:10" x14ac:dyDescent="0.3">
      <c r="A463" s="1" t="str">
        <f t="shared" si="62"/>
        <v>Gnome</v>
      </c>
      <c r="B463" s="1" t="s">
        <v>13</v>
      </c>
      <c r="C463" s="1" t="s">
        <v>5</v>
      </c>
      <c r="D463">
        <f t="shared" si="63"/>
        <v>1</v>
      </c>
      <c r="E463">
        <f t="shared" si="64"/>
        <v>-2</v>
      </c>
      <c r="F463">
        <f t="shared" si="61"/>
        <v>-1</v>
      </c>
      <c r="G463">
        <f t="shared" si="65"/>
        <v>13</v>
      </c>
      <c r="H463">
        <f t="shared" si="66"/>
        <v>0</v>
      </c>
      <c r="I463">
        <f t="shared" si="67"/>
        <v>70</v>
      </c>
      <c r="J463" t="str">
        <f t="shared" si="68"/>
        <v>GnomeThiefCha</v>
      </c>
    </row>
    <row r="464" spans="1:10" x14ac:dyDescent="0.3">
      <c r="A464" s="1" t="str">
        <f t="shared" si="62"/>
        <v>Gnome</v>
      </c>
      <c r="B464" s="1" t="s">
        <v>13</v>
      </c>
      <c r="C464" s="1" t="s">
        <v>6</v>
      </c>
      <c r="D464">
        <f t="shared" si="63"/>
        <v>2</v>
      </c>
      <c r="E464">
        <f t="shared" si="64"/>
        <v>2</v>
      </c>
      <c r="F464">
        <f t="shared" si="61"/>
        <v>4</v>
      </c>
      <c r="G464">
        <f t="shared" si="65"/>
        <v>6</v>
      </c>
      <c r="H464">
        <f t="shared" si="66"/>
        <v>9</v>
      </c>
      <c r="I464">
        <f t="shared" si="67"/>
        <v>108</v>
      </c>
      <c r="J464" t="str">
        <f t="shared" si="68"/>
        <v>GnomeThiefBra</v>
      </c>
    </row>
    <row r="465" spans="1:10" x14ac:dyDescent="0.3">
      <c r="A465" s="1" t="str">
        <f t="shared" si="62"/>
        <v>Gnome</v>
      </c>
      <c r="B465" s="1" t="s">
        <v>13</v>
      </c>
      <c r="C465" s="1" t="s">
        <v>7</v>
      </c>
      <c r="D465">
        <f t="shared" si="63"/>
        <v>-2</v>
      </c>
      <c r="E465">
        <f t="shared" si="64"/>
        <v>1</v>
      </c>
      <c r="F465">
        <f t="shared" si="61"/>
        <v>-1</v>
      </c>
      <c r="G465">
        <f t="shared" si="65"/>
        <v>13</v>
      </c>
      <c r="H465">
        <f t="shared" si="66"/>
        <v>0</v>
      </c>
      <c r="I465">
        <f t="shared" si="67"/>
        <v>70</v>
      </c>
      <c r="J465" t="str">
        <f t="shared" si="68"/>
        <v>GnomeThiefHP</v>
      </c>
    </row>
    <row r="466" spans="1:10" x14ac:dyDescent="0.3">
      <c r="A466" s="1" t="str">
        <f t="shared" si="62"/>
        <v>Gnome</v>
      </c>
      <c r="B466" s="1" t="s">
        <v>14</v>
      </c>
      <c r="C466" s="1" t="s">
        <v>0</v>
      </c>
      <c r="D466">
        <f t="shared" si="63"/>
        <v>3</v>
      </c>
      <c r="E466">
        <f t="shared" si="64"/>
        <v>-7</v>
      </c>
      <c r="F466">
        <f t="shared" si="61"/>
        <v>-4</v>
      </c>
      <c r="G466">
        <f t="shared" si="65"/>
        <v>22</v>
      </c>
      <c r="H466">
        <f t="shared" si="66"/>
        <v>0</v>
      </c>
      <c r="I466">
        <f t="shared" si="67"/>
        <v>40</v>
      </c>
      <c r="J466" t="str">
        <f t="shared" si="68"/>
        <v>GnomeDruidMag</v>
      </c>
    </row>
    <row r="467" spans="1:10" x14ac:dyDescent="0.3">
      <c r="A467" s="1" t="str">
        <f t="shared" si="62"/>
        <v>Gnome</v>
      </c>
      <c r="B467" s="1" t="s">
        <v>14</v>
      </c>
      <c r="C467" s="1" t="s">
        <v>1</v>
      </c>
      <c r="D467">
        <f t="shared" si="63"/>
        <v>-3</v>
      </c>
      <c r="E467">
        <f t="shared" si="64"/>
        <v>2</v>
      </c>
      <c r="F467">
        <f t="shared" si="61"/>
        <v>-1</v>
      </c>
      <c r="G467">
        <f t="shared" si="65"/>
        <v>13</v>
      </c>
      <c r="H467">
        <f t="shared" si="66"/>
        <v>0</v>
      </c>
      <c r="I467">
        <f t="shared" si="67"/>
        <v>70</v>
      </c>
      <c r="J467" t="str">
        <f t="shared" si="68"/>
        <v>GnomeDruidDiv</v>
      </c>
    </row>
    <row r="468" spans="1:10" x14ac:dyDescent="0.3">
      <c r="A468" s="1" t="str">
        <f t="shared" si="62"/>
        <v>Gnome</v>
      </c>
      <c r="B468" s="1" t="s">
        <v>14</v>
      </c>
      <c r="C468" s="1" t="s">
        <v>2</v>
      </c>
      <c r="D468">
        <f t="shared" si="63"/>
        <v>-1</v>
      </c>
      <c r="E468">
        <f t="shared" si="64"/>
        <v>-2</v>
      </c>
      <c r="F468">
        <f t="shared" si="61"/>
        <v>-3</v>
      </c>
      <c r="G468">
        <f t="shared" si="65"/>
        <v>19</v>
      </c>
      <c r="H468">
        <f t="shared" si="66"/>
        <v>0</v>
      </c>
      <c r="I468">
        <f t="shared" si="67"/>
        <v>50</v>
      </c>
      <c r="J468" t="str">
        <f t="shared" si="68"/>
        <v>GnomeDruidStr</v>
      </c>
    </row>
    <row r="469" spans="1:10" x14ac:dyDescent="0.3">
      <c r="A469" s="1" t="str">
        <f t="shared" si="62"/>
        <v>Gnome</v>
      </c>
      <c r="B469" s="1" t="s">
        <v>14</v>
      </c>
      <c r="C469" s="1" t="s">
        <v>3</v>
      </c>
      <c r="D469">
        <f t="shared" si="63"/>
        <v>0</v>
      </c>
      <c r="E469">
        <f t="shared" si="64"/>
        <v>0</v>
      </c>
      <c r="F469">
        <f t="shared" si="61"/>
        <v>0</v>
      </c>
      <c r="G469">
        <f t="shared" si="65"/>
        <v>10</v>
      </c>
      <c r="H469">
        <f t="shared" si="66"/>
        <v>0</v>
      </c>
      <c r="I469">
        <f t="shared" si="67"/>
        <v>80</v>
      </c>
      <c r="J469" t="str">
        <f t="shared" si="68"/>
        <v>GnomeDruidDex</v>
      </c>
    </row>
    <row r="470" spans="1:10" x14ac:dyDescent="0.3">
      <c r="A470" s="1" t="str">
        <f t="shared" si="62"/>
        <v>Gnome</v>
      </c>
      <c r="B470" s="1" t="s">
        <v>14</v>
      </c>
      <c r="C470" s="1" t="s">
        <v>4</v>
      </c>
      <c r="D470">
        <f t="shared" si="63"/>
        <v>0</v>
      </c>
      <c r="E470">
        <f t="shared" si="64"/>
        <v>-3</v>
      </c>
      <c r="F470">
        <f t="shared" si="61"/>
        <v>-3</v>
      </c>
      <c r="G470">
        <f t="shared" si="65"/>
        <v>19</v>
      </c>
      <c r="H470">
        <f t="shared" si="66"/>
        <v>0</v>
      </c>
      <c r="I470">
        <f t="shared" si="67"/>
        <v>50</v>
      </c>
      <c r="J470" t="str">
        <f t="shared" si="68"/>
        <v>GnomeDruidCon</v>
      </c>
    </row>
    <row r="471" spans="1:10" x14ac:dyDescent="0.3">
      <c r="A471" s="1" t="str">
        <f t="shared" si="62"/>
        <v>Gnome</v>
      </c>
      <c r="B471" s="1" t="s">
        <v>14</v>
      </c>
      <c r="C471" s="1" t="s">
        <v>5</v>
      </c>
      <c r="D471">
        <f t="shared" si="63"/>
        <v>1</v>
      </c>
      <c r="E471">
        <f t="shared" si="64"/>
        <v>1</v>
      </c>
      <c r="F471">
        <f t="shared" si="61"/>
        <v>2</v>
      </c>
      <c r="G471">
        <f t="shared" si="65"/>
        <v>8</v>
      </c>
      <c r="H471">
        <f t="shared" si="66"/>
        <v>12</v>
      </c>
      <c r="I471">
        <f t="shared" si="67"/>
        <v>100</v>
      </c>
      <c r="J471" t="str">
        <f t="shared" si="68"/>
        <v>GnomeDruidCha</v>
      </c>
    </row>
    <row r="472" spans="1:10" x14ac:dyDescent="0.3">
      <c r="A472" s="1" t="str">
        <f t="shared" si="62"/>
        <v>Gnome</v>
      </c>
      <c r="B472" s="1" t="s">
        <v>14</v>
      </c>
      <c r="C472" s="1" t="s">
        <v>6</v>
      </c>
      <c r="D472">
        <f t="shared" si="63"/>
        <v>2</v>
      </c>
      <c r="E472">
        <f t="shared" si="64"/>
        <v>3</v>
      </c>
      <c r="F472">
        <f t="shared" si="61"/>
        <v>5</v>
      </c>
      <c r="G472">
        <f t="shared" si="65"/>
        <v>5</v>
      </c>
      <c r="H472">
        <f t="shared" si="66"/>
        <v>8</v>
      </c>
      <c r="I472">
        <f t="shared" si="67"/>
        <v>110</v>
      </c>
      <c r="J472" t="str">
        <f t="shared" si="68"/>
        <v>GnomeDruidBra</v>
      </c>
    </row>
    <row r="473" spans="1:10" x14ac:dyDescent="0.3">
      <c r="A473" s="1" t="str">
        <f t="shared" si="62"/>
        <v>Gnome</v>
      </c>
      <c r="B473" s="1" t="s">
        <v>14</v>
      </c>
      <c r="C473" s="1" t="s">
        <v>7</v>
      </c>
      <c r="D473">
        <f t="shared" si="63"/>
        <v>-2</v>
      </c>
      <c r="E473">
        <f t="shared" si="64"/>
        <v>-1</v>
      </c>
      <c r="F473">
        <f t="shared" si="61"/>
        <v>-3</v>
      </c>
      <c r="G473">
        <f t="shared" si="65"/>
        <v>19</v>
      </c>
      <c r="H473">
        <f t="shared" si="66"/>
        <v>0</v>
      </c>
      <c r="I473">
        <f t="shared" si="67"/>
        <v>50</v>
      </c>
      <c r="J473" t="str">
        <f t="shared" si="68"/>
        <v>GnomeDruidHP</v>
      </c>
    </row>
    <row r="474" spans="1:10" x14ac:dyDescent="0.3">
      <c r="A474" s="1" t="str">
        <f t="shared" si="62"/>
        <v>Gnome</v>
      </c>
      <c r="B474" s="1" t="s">
        <v>31</v>
      </c>
      <c r="C474" s="1" t="s">
        <v>0</v>
      </c>
      <c r="D474">
        <f t="shared" si="63"/>
        <v>3</v>
      </c>
      <c r="E474">
        <f t="shared" si="64"/>
        <v>2</v>
      </c>
      <c r="F474">
        <f t="shared" si="61"/>
        <v>5</v>
      </c>
      <c r="G474">
        <f t="shared" si="65"/>
        <v>5</v>
      </c>
      <c r="H474">
        <f t="shared" si="66"/>
        <v>8</v>
      </c>
      <c r="I474">
        <f t="shared" si="67"/>
        <v>110</v>
      </c>
      <c r="J474" t="str">
        <f t="shared" si="68"/>
        <v>GnomeObsoleteMag</v>
      </c>
    </row>
    <row r="475" spans="1:10" x14ac:dyDescent="0.3">
      <c r="A475" s="1" t="str">
        <f t="shared" si="62"/>
        <v>Gnome</v>
      </c>
      <c r="B475" s="1" t="s">
        <v>31</v>
      </c>
      <c r="C475" s="1" t="s">
        <v>1</v>
      </c>
      <c r="D475">
        <f t="shared" si="63"/>
        <v>-3</v>
      </c>
      <c r="E475">
        <f t="shared" si="64"/>
        <v>2</v>
      </c>
      <c r="F475">
        <f t="shared" ref="F475:F538" si="69">E475+D475</f>
        <v>-1</v>
      </c>
      <c r="G475">
        <f t="shared" si="65"/>
        <v>13</v>
      </c>
      <c r="H475">
        <f t="shared" si="66"/>
        <v>0</v>
      </c>
      <c r="I475">
        <f t="shared" si="67"/>
        <v>70</v>
      </c>
      <c r="J475" t="str">
        <f t="shared" si="68"/>
        <v>GnomeObsoleteDiv</v>
      </c>
    </row>
    <row r="476" spans="1:10" x14ac:dyDescent="0.3">
      <c r="A476" s="1" t="str">
        <f t="shared" si="62"/>
        <v>Gnome</v>
      </c>
      <c r="B476" s="1" t="s">
        <v>31</v>
      </c>
      <c r="C476" s="1" t="s">
        <v>2</v>
      </c>
      <c r="D476">
        <f t="shared" si="63"/>
        <v>-1</v>
      </c>
      <c r="E476">
        <f t="shared" si="64"/>
        <v>-2</v>
      </c>
      <c r="F476">
        <f t="shared" si="69"/>
        <v>-3</v>
      </c>
      <c r="G476">
        <f t="shared" si="65"/>
        <v>19</v>
      </c>
      <c r="H476">
        <f t="shared" si="66"/>
        <v>0</v>
      </c>
      <c r="I476">
        <f t="shared" si="67"/>
        <v>50</v>
      </c>
      <c r="J476" t="str">
        <f t="shared" si="68"/>
        <v>GnomeObsoleteStr</v>
      </c>
    </row>
    <row r="477" spans="1:10" x14ac:dyDescent="0.3">
      <c r="A477" s="1" t="str">
        <f t="shared" si="62"/>
        <v>Gnome</v>
      </c>
      <c r="B477" s="1" t="s">
        <v>31</v>
      </c>
      <c r="C477" s="1" t="s">
        <v>3</v>
      </c>
      <c r="D477">
        <f t="shared" si="63"/>
        <v>0</v>
      </c>
      <c r="E477">
        <f t="shared" si="64"/>
        <v>-1</v>
      </c>
      <c r="F477">
        <f t="shared" si="69"/>
        <v>-1</v>
      </c>
      <c r="G477">
        <f t="shared" si="65"/>
        <v>13</v>
      </c>
      <c r="H477">
        <f t="shared" si="66"/>
        <v>0</v>
      </c>
      <c r="I477">
        <f t="shared" si="67"/>
        <v>70</v>
      </c>
      <c r="J477" t="str">
        <f t="shared" si="68"/>
        <v>GnomeObsoleteDex</v>
      </c>
    </row>
    <row r="478" spans="1:10" x14ac:dyDescent="0.3">
      <c r="A478" s="1" t="str">
        <f t="shared" si="62"/>
        <v>Gnome</v>
      </c>
      <c r="B478" s="1" t="s">
        <v>31</v>
      </c>
      <c r="C478" s="1" t="s">
        <v>4</v>
      </c>
      <c r="D478">
        <f t="shared" si="63"/>
        <v>0</v>
      </c>
      <c r="E478">
        <f t="shared" si="64"/>
        <v>-2</v>
      </c>
      <c r="F478">
        <f t="shared" si="69"/>
        <v>-2</v>
      </c>
      <c r="G478">
        <f t="shared" si="65"/>
        <v>16</v>
      </c>
      <c r="H478">
        <f t="shared" si="66"/>
        <v>0</v>
      </c>
      <c r="I478">
        <f t="shared" si="67"/>
        <v>60</v>
      </c>
      <c r="J478" t="str">
        <f t="shared" si="68"/>
        <v>GnomeObsoleteCon</v>
      </c>
    </row>
    <row r="479" spans="1:10" x14ac:dyDescent="0.3">
      <c r="A479" s="1" t="str">
        <f t="shared" si="62"/>
        <v>Gnome</v>
      </c>
      <c r="B479" s="1" t="s">
        <v>31</v>
      </c>
      <c r="C479" s="1" t="s">
        <v>5</v>
      </c>
      <c r="D479">
        <f t="shared" si="63"/>
        <v>1</v>
      </c>
      <c r="E479">
        <f t="shared" si="64"/>
        <v>1</v>
      </c>
      <c r="F479">
        <f t="shared" si="69"/>
        <v>2</v>
      </c>
      <c r="G479">
        <f t="shared" si="65"/>
        <v>8</v>
      </c>
      <c r="H479">
        <f t="shared" si="66"/>
        <v>12</v>
      </c>
      <c r="I479">
        <f t="shared" si="67"/>
        <v>100</v>
      </c>
      <c r="J479" t="str">
        <f t="shared" si="68"/>
        <v>GnomeObsoleteCha</v>
      </c>
    </row>
    <row r="480" spans="1:10" x14ac:dyDescent="0.3">
      <c r="A480" s="1" t="str">
        <f t="shared" si="62"/>
        <v>Gnome</v>
      </c>
      <c r="B480" s="1" t="s">
        <v>31</v>
      </c>
      <c r="C480" s="1" t="s">
        <v>6</v>
      </c>
      <c r="D480">
        <f t="shared" si="63"/>
        <v>2</v>
      </c>
      <c r="E480">
        <f t="shared" si="64"/>
        <v>2</v>
      </c>
      <c r="F480">
        <f t="shared" si="69"/>
        <v>4</v>
      </c>
      <c r="G480">
        <f t="shared" si="65"/>
        <v>6</v>
      </c>
      <c r="H480">
        <f t="shared" si="66"/>
        <v>9</v>
      </c>
      <c r="I480">
        <f t="shared" si="67"/>
        <v>108</v>
      </c>
      <c r="J480" t="str">
        <f t="shared" si="68"/>
        <v>GnomeObsoleteBra</v>
      </c>
    </row>
    <row r="481" spans="1:10" x14ac:dyDescent="0.3">
      <c r="A481" s="1" t="str">
        <f t="shared" si="62"/>
        <v>Gnome</v>
      </c>
      <c r="B481" s="1" t="s">
        <v>31</v>
      </c>
      <c r="C481" s="1" t="s">
        <v>7</v>
      </c>
      <c r="D481">
        <f t="shared" si="63"/>
        <v>-2</v>
      </c>
      <c r="E481">
        <f t="shared" si="64"/>
        <v>0</v>
      </c>
      <c r="F481">
        <f t="shared" si="69"/>
        <v>-2</v>
      </c>
      <c r="G481">
        <f t="shared" si="65"/>
        <v>16</v>
      </c>
      <c r="H481">
        <f t="shared" si="66"/>
        <v>0</v>
      </c>
      <c r="I481">
        <f t="shared" si="67"/>
        <v>60</v>
      </c>
      <c r="J481" t="str">
        <f t="shared" si="68"/>
        <v>GnomeObsoleteHP</v>
      </c>
    </row>
    <row r="482" spans="1:10" x14ac:dyDescent="0.3">
      <c r="A482" s="1" t="str">
        <f t="shared" si="62"/>
        <v>Gnome</v>
      </c>
      <c r="B482" s="1" t="s">
        <v>91</v>
      </c>
      <c r="C482" s="1" t="s">
        <v>0</v>
      </c>
      <c r="D482">
        <f t="shared" si="63"/>
        <v>3</v>
      </c>
      <c r="E482">
        <f t="shared" si="64"/>
        <v>-7</v>
      </c>
      <c r="F482">
        <f t="shared" si="69"/>
        <v>-4</v>
      </c>
      <c r="G482">
        <f t="shared" si="65"/>
        <v>22</v>
      </c>
      <c r="H482">
        <f t="shared" si="66"/>
        <v>0</v>
      </c>
      <c r="I482">
        <f t="shared" si="67"/>
        <v>40</v>
      </c>
      <c r="J482" t="str">
        <f t="shared" si="68"/>
        <v>GnomeNecromancerMag</v>
      </c>
    </row>
    <row r="483" spans="1:10" x14ac:dyDescent="0.3">
      <c r="A483" s="1" t="str">
        <f t="shared" si="62"/>
        <v>Gnome</v>
      </c>
      <c r="B483" s="1" t="s">
        <v>91</v>
      </c>
      <c r="C483" s="1" t="s">
        <v>1</v>
      </c>
      <c r="D483">
        <f t="shared" si="63"/>
        <v>-3</v>
      </c>
      <c r="E483">
        <f t="shared" si="64"/>
        <v>0</v>
      </c>
      <c r="F483">
        <f t="shared" si="69"/>
        <v>-3</v>
      </c>
      <c r="G483">
        <f t="shared" si="65"/>
        <v>19</v>
      </c>
      <c r="H483">
        <f t="shared" si="66"/>
        <v>0</v>
      </c>
      <c r="I483">
        <f t="shared" si="67"/>
        <v>50</v>
      </c>
      <c r="J483" t="str">
        <f t="shared" si="68"/>
        <v>GnomeNecromancerDiv</v>
      </c>
    </row>
    <row r="484" spans="1:10" x14ac:dyDescent="0.3">
      <c r="A484" s="1" t="str">
        <f t="shared" ref="A484:A521" si="70">A483</f>
        <v>Gnome</v>
      </c>
      <c r="B484" s="1" t="s">
        <v>91</v>
      </c>
      <c r="C484" s="1" t="s">
        <v>2</v>
      </c>
      <c r="D484">
        <f t="shared" si="63"/>
        <v>-1</v>
      </c>
      <c r="E484">
        <f t="shared" si="64"/>
        <v>-1</v>
      </c>
      <c r="F484">
        <f t="shared" si="69"/>
        <v>-2</v>
      </c>
      <c r="G484">
        <f t="shared" si="65"/>
        <v>16</v>
      </c>
      <c r="H484">
        <f t="shared" si="66"/>
        <v>0</v>
      </c>
      <c r="I484">
        <f t="shared" si="67"/>
        <v>60</v>
      </c>
      <c r="J484" t="str">
        <f t="shared" si="68"/>
        <v>GnomeNecromancerStr</v>
      </c>
    </row>
    <row r="485" spans="1:10" x14ac:dyDescent="0.3">
      <c r="A485" s="1" t="str">
        <f t="shared" si="70"/>
        <v>Gnome</v>
      </c>
      <c r="B485" s="1" t="s">
        <v>91</v>
      </c>
      <c r="C485" s="1" t="s">
        <v>3</v>
      </c>
      <c r="D485">
        <f t="shared" si="63"/>
        <v>0</v>
      </c>
      <c r="E485">
        <f t="shared" si="64"/>
        <v>1</v>
      </c>
      <c r="F485">
        <f t="shared" si="69"/>
        <v>1</v>
      </c>
      <c r="G485">
        <f t="shared" si="65"/>
        <v>9</v>
      </c>
      <c r="H485">
        <f t="shared" si="66"/>
        <v>14</v>
      </c>
      <c r="I485">
        <f t="shared" si="67"/>
        <v>90</v>
      </c>
      <c r="J485" t="str">
        <f t="shared" si="68"/>
        <v>GnomeNecromancerDex</v>
      </c>
    </row>
    <row r="486" spans="1:10" x14ac:dyDescent="0.3">
      <c r="A486" s="1" t="str">
        <f t="shared" si="70"/>
        <v>Gnome</v>
      </c>
      <c r="B486" s="1" t="s">
        <v>91</v>
      </c>
      <c r="C486" s="1" t="s">
        <v>4</v>
      </c>
      <c r="D486">
        <f t="shared" si="63"/>
        <v>0</v>
      </c>
      <c r="E486">
        <f t="shared" si="64"/>
        <v>-3</v>
      </c>
      <c r="F486">
        <f t="shared" si="69"/>
        <v>-3</v>
      </c>
      <c r="G486">
        <f t="shared" si="65"/>
        <v>19</v>
      </c>
      <c r="H486">
        <f t="shared" si="66"/>
        <v>0</v>
      </c>
      <c r="I486">
        <f t="shared" si="67"/>
        <v>50</v>
      </c>
      <c r="J486" t="str">
        <f t="shared" si="68"/>
        <v>GnomeNecromancerCon</v>
      </c>
    </row>
    <row r="487" spans="1:10" x14ac:dyDescent="0.3">
      <c r="A487" s="1" t="str">
        <f t="shared" si="70"/>
        <v>Gnome</v>
      </c>
      <c r="B487" s="1" t="s">
        <v>91</v>
      </c>
      <c r="C487" s="1" t="s">
        <v>5</v>
      </c>
      <c r="D487">
        <f t="shared" si="63"/>
        <v>1</v>
      </c>
      <c r="E487">
        <f t="shared" si="64"/>
        <v>2</v>
      </c>
      <c r="F487">
        <f t="shared" si="69"/>
        <v>3</v>
      </c>
      <c r="G487">
        <f t="shared" si="65"/>
        <v>7</v>
      </c>
      <c r="H487">
        <f t="shared" si="66"/>
        <v>11</v>
      </c>
      <c r="I487">
        <f t="shared" si="67"/>
        <v>105</v>
      </c>
      <c r="J487" t="str">
        <f t="shared" si="68"/>
        <v>GnomeNecromancerCha</v>
      </c>
    </row>
    <row r="488" spans="1:10" x14ac:dyDescent="0.3">
      <c r="A488" s="1" t="str">
        <f t="shared" si="70"/>
        <v>Gnome</v>
      </c>
      <c r="B488" s="1" t="s">
        <v>91</v>
      </c>
      <c r="C488" s="1" t="s">
        <v>6</v>
      </c>
      <c r="D488">
        <f t="shared" si="63"/>
        <v>2</v>
      </c>
      <c r="E488">
        <f t="shared" si="64"/>
        <v>3</v>
      </c>
      <c r="F488">
        <f t="shared" si="69"/>
        <v>5</v>
      </c>
      <c r="G488">
        <f t="shared" si="65"/>
        <v>5</v>
      </c>
      <c r="H488">
        <f t="shared" si="66"/>
        <v>8</v>
      </c>
      <c r="I488">
        <f t="shared" si="67"/>
        <v>110</v>
      </c>
      <c r="J488" t="str">
        <f t="shared" si="68"/>
        <v>GnomeNecromancerBra</v>
      </c>
    </row>
    <row r="489" spans="1:10" x14ac:dyDescent="0.3">
      <c r="A489" s="1" t="str">
        <f t="shared" si="70"/>
        <v>Gnome</v>
      </c>
      <c r="B489" s="1" t="s">
        <v>91</v>
      </c>
      <c r="C489" s="1" t="s">
        <v>7</v>
      </c>
      <c r="D489">
        <f t="shared" si="63"/>
        <v>-2</v>
      </c>
      <c r="E489">
        <f t="shared" si="64"/>
        <v>-2</v>
      </c>
      <c r="F489">
        <f t="shared" si="69"/>
        <v>-4</v>
      </c>
      <c r="G489">
        <f t="shared" si="65"/>
        <v>22</v>
      </c>
      <c r="H489">
        <f t="shared" si="66"/>
        <v>0</v>
      </c>
      <c r="I489">
        <f t="shared" si="67"/>
        <v>40</v>
      </c>
      <c r="J489" t="str">
        <f t="shared" si="68"/>
        <v>GnomeNecromancerHP</v>
      </c>
    </row>
    <row r="490" spans="1:10" x14ac:dyDescent="0.3">
      <c r="A490" s="1" t="str">
        <f t="shared" si="70"/>
        <v>Gnome</v>
      </c>
      <c r="B490" s="1" t="s">
        <v>15</v>
      </c>
      <c r="C490" s="1" t="s">
        <v>0</v>
      </c>
      <c r="D490">
        <f t="shared" si="63"/>
        <v>3</v>
      </c>
      <c r="E490">
        <f t="shared" si="64"/>
        <v>-7</v>
      </c>
      <c r="F490">
        <f t="shared" si="69"/>
        <v>-4</v>
      </c>
      <c r="G490">
        <f t="shared" si="65"/>
        <v>22</v>
      </c>
      <c r="H490">
        <f t="shared" si="66"/>
        <v>0</v>
      </c>
      <c r="I490">
        <f t="shared" si="67"/>
        <v>40</v>
      </c>
      <c r="J490" t="str">
        <f t="shared" si="68"/>
        <v>GnomePriestMag</v>
      </c>
    </row>
    <row r="491" spans="1:10" x14ac:dyDescent="0.3">
      <c r="A491" s="1" t="str">
        <f t="shared" si="70"/>
        <v>Gnome</v>
      </c>
      <c r="B491" s="1" t="s">
        <v>15</v>
      </c>
      <c r="C491" s="1" t="s">
        <v>1</v>
      </c>
      <c r="D491">
        <f t="shared" si="63"/>
        <v>-3</v>
      </c>
      <c r="E491">
        <f t="shared" si="64"/>
        <v>3</v>
      </c>
      <c r="F491">
        <f t="shared" si="69"/>
        <v>0</v>
      </c>
      <c r="G491">
        <f t="shared" si="65"/>
        <v>10</v>
      </c>
      <c r="H491">
        <f t="shared" si="66"/>
        <v>0</v>
      </c>
      <c r="I491">
        <f t="shared" si="67"/>
        <v>80</v>
      </c>
      <c r="J491" t="str">
        <f t="shared" si="68"/>
        <v>GnomePriestDiv</v>
      </c>
    </row>
    <row r="492" spans="1:10" x14ac:dyDescent="0.3">
      <c r="A492" s="1" t="str">
        <f t="shared" si="70"/>
        <v>Gnome</v>
      </c>
      <c r="B492" s="1" t="s">
        <v>15</v>
      </c>
      <c r="C492" s="1" t="s">
        <v>2</v>
      </c>
      <c r="D492">
        <f t="shared" si="63"/>
        <v>-1</v>
      </c>
      <c r="E492">
        <f t="shared" si="64"/>
        <v>0</v>
      </c>
      <c r="F492">
        <f t="shared" si="69"/>
        <v>-1</v>
      </c>
      <c r="G492">
        <f t="shared" si="65"/>
        <v>13</v>
      </c>
      <c r="H492">
        <f t="shared" si="66"/>
        <v>0</v>
      </c>
      <c r="I492">
        <f t="shared" si="67"/>
        <v>70</v>
      </c>
      <c r="J492" t="str">
        <f t="shared" si="68"/>
        <v>GnomePriestStr</v>
      </c>
    </row>
    <row r="493" spans="1:10" x14ac:dyDescent="0.3">
      <c r="A493" s="1" t="str">
        <f t="shared" si="70"/>
        <v>Gnome</v>
      </c>
      <c r="B493" s="1" t="s">
        <v>15</v>
      </c>
      <c r="C493" s="1" t="s">
        <v>3</v>
      </c>
      <c r="D493">
        <f t="shared" si="63"/>
        <v>0</v>
      </c>
      <c r="E493">
        <f t="shared" si="64"/>
        <v>-2</v>
      </c>
      <c r="F493">
        <f t="shared" si="69"/>
        <v>-2</v>
      </c>
      <c r="G493">
        <f t="shared" si="65"/>
        <v>16</v>
      </c>
      <c r="H493">
        <f t="shared" si="66"/>
        <v>0</v>
      </c>
      <c r="I493">
        <f t="shared" si="67"/>
        <v>60</v>
      </c>
      <c r="J493" t="str">
        <f t="shared" si="68"/>
        <v>GnomePriestDex</v>
      </c>
    </row>
    <row r="494" spans="1:10" x14ac:dyDescent="0.3">
      <c r="A494" s="1" t="str">
        <f t="shared" si="70"/>
        <v>Gnome</v>
      </c>
      <c r="B494" s="1" t="s">
        <v>15</v>
      </c>
      <c r="C494" s="1" t="s">
        <v>4</v>
      </c>
      <c r="D494">
        <f t="shared" si="63"/>
        <v>0</v>
      </c>
      <c r="E494">
        <f t="shared" si="64"/>
        <v>-3</v>
      </c>
      <c r="F494">
        <f t="shared" si="69"/>
        <v>-3</v>
      </c>
      <c r="G494">
        <f t="shared" si="65"/>
        <v>19</v>
      </c>
      <c r="H494">
        <f t="shared" si="66"/>
        <v>0</v>
      </c>
      <c r="I494">
        <f t="shared" si="67"/>
        <v>50</v>
      </c>
      <c r="J494" t="str">
        <f t="shared" si="68"/>
        <v>GnomePriestCon</v>
      </c>
    </row>
    <row r="495" spans="1:10" x14ac:dyDescent="0.3">
      <c r="A495" s="1" t="str">
        <f t="shared" si="70"/>
        <v>Gnome</v>
      </c>
      <c r="B495" s="1" t="s">
        <v>15</v>
      </c>
      <c r="C495" s="1" t="s">
        <v>5</v>
      </c>
      <c r="D495">
        <f t="shared" si="63"/>
        <v>1</v>
      </c>
      <c r="E495">
        <f t="shared" si="64"/>
        <v>2</v>
      </c>
      <c r="F495">
        <f t="shared" si="69"/>
        <v>3</v>
      </c>
      <c r="G495">
        <f t="shared" si="65"/>
        <v>7</v>
      </c>
      <c r="H495">
        <f t="shared" si="66"/>
        <v>11</v>
      </c>
      <c r="I495">
        <f t="shared" si="67"/>
        <v>105</v>
      </c>
      <c r="J495" t="str">
        <f t="shared" si="68"/>
        <v>GnomePriestCha</v>
      </c>
    </row>
    <row r="496" spans="1:10" x14ac:dyDescent="0.3">
      <c r="A496" s="1" t="str">
        <f t="shared" si="70"/>
        <v>Gnome</v>
      </c>
      <c r="B496" s="1" t="s">
        <v>15</v>
      </c>
      <c r="C496" s="1" t="s">
        <v>6</v>
      </c>
      <c r="D496">
        <f t="shared" si="63"/>
        <v>2</v>
      </c>
      <c r="E496">
        <f t="shared" si="64"/>
        <v>1</v>
      </c>
      <c r="F496">
        <f t="shared" si="69"/>
        <v>3</v>
      </c>
      <c r="G496">
        <f t="shared" si="65"/>
        <v>7</v>
      </c>
      <c r="H496">
        <f t="shared" si="66"/>
        <v>11</v>
      </c>
      <c r="I496">
        <f t="shared" si="67"/>
        <v>105</v>
      </c>
      <c r="J496" t="str">
        <f t="shared" si="68"/>
        <v>GnomePriestBra</v>
      </c>
    </row>
    <row r="497" spans="1:10" x14ac:dyDescent="0.3">
      <c r="A497" s="1" t="str">
        <f t="shared" si="70"/>
        <v>Gnome</v>
      </c>
      <c r="B497" s="1" t="s">
        <v>15</v>
      </c>
      <c r="C497" s="1" t="s">
        <v>7</v>
      </c>
      <c r="D497">
        <f t="shared" si="63"/>
        <v>-2</v>
      </c>
      <c r="E497">
        <f t="shared" si="64"/>
        <v>-1</v>
      </c>
      <c r="F497">
        <f t="shared" si="69"/>
        <v>-3</v>
      </c>
      <c r="G497">
        <f t="shared" si="65"/>
        <v>19</v>
      </c>
      <c r="H497">
        <f t="shared" si="66"/>
        <v>0</v>
      </c>
      <c r="I497">
        <f t="shared" si="67"/>
        <v>50</v>
      </c>
      <c r="J497" t="str">
        <f t="shared" si="68"/>
        <v>GnomePriestHP</v>
      </c>
    </row>
    <row r="498" spans="1:10" x14ac:dyDescent="0.3">
      <c r="A498" s="1" t="str">
        <f t="shared" si="70"/>
        <v>Gnome</v>
      </c>
      <c r="B498" s="1" t="s">
        <v>92</v>
      </c>
      <c r="C498" s="1" t="s">
        <v>0</v>
      </c>
      <c r="D498">
        <f t="shared" si="63"/>
        <v>3</v>
      </c>
      <c r="E498">
        <f t="shared" si="64"/>
        <v>2</v>
      </c>
      <c r="F498">
        <f t="shared" si="69"/>
        <v>5</v>
      </c>
      <c r="G498">
        <f t="shared" si="65"/>
        <v>5</v>
      </c>
      <c r="H498">
        <f t="shared" si="66"/>
        <v>8</v>
      </c>
      <c r="I498">
        <f t="shared" si="67"/>
        <v>110</v>
      </c>
      <c r="J498" t="str">
        <f t="shared" si="68"/>
        <v>GnomeMageMag</v>
      </c>
    </row>
    <row r="499" spans="1:10" x14ac:dyDescent="0.3">
      <c r="A499" s="1" t="str">
        <f t="shared" si="70"/>
        <v>Gnome</v>
      </c>
      <c r="B499" s="1" t="s">
        <v>92</v>
      </c>
      <c r="C499" s="1" t="s">
        <v>1</v>
      </c>
      <c r="D499">
        <f t="shared" si="63"/>
        <v>-3</v>
      </c>
      <c r="E499">
        <f t="shared" si="64"/>
        <v>-7</v>
      </c>
      <c r="F499">
        <f t="shared" si="69"/>
        <v>-10</v>
      </c>
      <c r="G499">
        <f t="shared" si="65"/>
        <v>31</v>
      </c>
      <c r="H499">
        <f t="shared" si="66"/>
        <v>0</v>
      </c>
      <c r="I499">
        <f t="shared" si="67"/>
        <v>0</v>
      </c>
      <c r="J499" t="str">
        <f t="shared" si="68"/>
        <v>GnomeMageDiv</v>
      </c>
    </row>
    <row r="500" spans="1:10" x14ac:dyDescent="0.3">
      <c r="A500" s="1" t="str">
        <f t="shared" si="70"/>
        <v>Gnome</v>
      </c>
      <c r="B500" s="1" t="s">
        <v>92</v>
      </c>
      <c r="C500" s="1" t="s">
        <v>2</v>
      </c>
      <c r="D500">
        <f t="shared" si="63"/>
        <v>-1</v>
      </c>
      <c r="E500">
        <f t="shared" si="64"/>
        <v>-3</v>
      </c>
      <c r="F500">
        <f t="shared" si="69"/>
        <v>-4</v>
      </c>
      <c r="G500">
        <f t="shared" si="65"/>
        <v>22</v>
      </c>
      <c r="H500">
        <f t="shared" si="66"/>
        <v>0</v>
      </c>
      <c r="I500">
        <f t="shared" si="67"/>
        <v>40</v>
      </c>
      <c r="J500" t="str">
        <f t="shared" si="68"/>
        <v>GnomeMageStr</v>
      </c>
    </row>
    <row r="501" spans="1:10" x14ac:dyDescent="0.3">
      <c r="A501" s="1" t="str">
        <f t="shared" si="70"/>
        <v>Gnome</v>
      </c>
      <c r="B501" s="1" t="s">
        <v>92</v>
      </c>
      <c r="C501" s="1" t="s">
        <v>3</v>
      </c>
      <c r="D501">
        <f t="shared" si="63"/>
        <v>0</v>
      </c>
      <c r="E501">
        <f t="shared" si="64"/>
        <v>0</v>
      </c>
      <c r="F501">
        <f t="shared" si="69"/>
        <v>0</v>
      </c>
      <c r="G501">
        <f t="shared" si="65"/>
        <v>10</v>
      </c>
      <c r="H501">
        <f t="shared" si="66"/>
        <v>0</v>
      </c>
      <c r="I501">
        <f t="shared" si="67"/>
        <v>80</v>
      </c>
      <c r="J501" t="str">
        <f t="shared" si="68"/>
        <v>GnomeMageDex</v>
      </c>
    </row>
    <row r="502" spans="1:10" x14ac:dyDescent="0.3">
      <c r="A502" s="1" t="str">
        <f t="shared" si="70"/>
        <v>Gnome</v>
      </c>
      <c r="B502" s="1" t="s">
        <v>92</v>
      </c>
      <c r="C502" s="1" t="s">
        <v>4</v>
      </c>
      <c r="D502">
        <f t="shared" si="63"/>
        <v>0</v>
      </c>
      <c r="E502">
        <f t="shared" si="64"/>
        <v>-1</v>
      </c>
      <c r="F502">
        <f t="shared" si="69"/>
        <v>-1</v>
      </c>
      <c r="G502">
        <f t="shared" si="65"/>
        <v>13</v>
      </c>
      <c r="H502">
        <f t="shared" si="66"/>
        <v>0</v>
      </c>
      <c r="I502">
        <f t="shared" si="67"/>
        <v>70</v>
      </c>
      <c r="J502" t="str">
        <f t="shared" si="68"/>
        <v>GnomeMageCon</v>
      </c>
    </row>
    <row r="503" spans="1:10" x14ac:dyDescent="0.3">
      <c r="A503" s="1" t="str">
        <f t="shared" si="70"/>
        <v>Gnome</v>
      </c>
      <c r="B503" s="1" t="s">
        <v>92</v>
      </c>
      <c r="C503" s="1" t="s">
        <v>5</v>
      </c>
      <c r="D503">
        <f t="shared" si="63"/>
        <v>1</v>
      </c>
      <c r="E503">
        <f t="shared" si="64"/>
        <v>1</v>
      </c>
      <c r="F503">
        <f t="shared" si="69"/>
        <v>2</v>
      </c>
      <c r="G503">
        <f t="shared" si="65"/>
        <v>8</v>
      </c>
      <c r="H503">
        <f t="shared" si="66"/>
        <v>12</v>
      </c>
      <c r="I503">
        <f t="shared" si="67"/>
        <v>100</v>
      </c>
      <c r="J503" t="str">
        <f t="shared" si="68"/>
        <v>GnomeMageCha</v>
      </c>
    </row>
    <row r="504" spans="1:10" x14ac:dyDescent="0.3">
      <c r="A504" s="1" t="str">
        <f t="shared" si="70"/>
        <v>Gnome</v>
      </c>
      <c r="B504" s="1" t="s">
        <v>92</v>
      </c>
      <c r="C504" s="1" t="s">
        <v>6</v>
      </c>
      <c r="D504">
        <f t="shared" si="63"/>
        <v>2</v>
      </c>
      <c r="E504">
        <f t="shared" si="64"/>
        <v>3</v>
      </c>
      <c r="F504">
        <f t="shared" si="69"/>
        <v>5</v>
      </c>
      <c r="G504">
        <f t="shared" si="65"/>
        <v>5</v>
      </c>
      <c r="H504">
        <f t="shared" si="66"/>
        <v>8</v>
      </c>
      <c r="I504">
        <f t="shared" si="67"/>
        <v>110</v>
      </c>
      <c r="J504" t="str">
        <f t="shared" si="68"/>
        <v>GnomeMageBra</v>
      </c>
    </row>
    <row r="505" spans="1:10" x14ac:dyDescent="0.3">
      <c r="A505" s="1" t="str">
        <f t="shared" si="70"/>
        <v>Gnome</v>
      </c>
      <c r="B505" s="1" t="s">
        <v>92</v>
      </c>
      <c r="C505" s="1" t="s">
        <v>7</v>
      </c>
      <c r="D505">
        <f t="shared" si="63"/>
        <v>-2</v>
      </c>
      <c r="E505">
        <f t="shared" si="64"/>
        <v>-2</v>
      </c>
      <c r="F505">
        <f t="shared" si="69"/>
        <v>-4</v>
      </c>
      <c r="G505">
        <f t="shared" si="65"/>
        <v>22</v>
      </c>
      <c r="H505">
        <f t="shared" si="66"/>
        <v>0</v>
      </c>
      <c r="I505">
        <f t="shared" si="67"/>
        <v>40</v>
      </c>
      <c r="J505" t="str">
        <f t="shared" si="68"/>
        <v>GnomeMageHP</v>
      </c>
    </row>
    <row r="506" spans="1:10" x14ac:dyDescent="0.3">
      <c r="A506" s="1" t="str">
        <f t="shared" si="70"/>
        <v>Gnome</v>
      </c>
      <c r="B506" s="1" t="s">
        <v>62</v>
      </c>
      <c r="C506" s="1" t="s">
        <v>0</v>
      </c>
      <c r="D506">
        <f t="shared" si="63"/>
        <v>3</v>
      </c>
      <c r="E506">
        <f t="shared" si="64"/>
        <v>3</v>
      </c>
      <c r="F506">
        <f t="shared" si="69"/>
        <v>6</v>
      </c>
      <c r="G506">
        <f t="shared" si="65"/>
        <v>5</v>
      </c>
      <c r="H506">
        <f t="shared" si="66"/>
        <v>8</v>
      </c>
      <c r="I506">
        <f t="shared" si="67"/>
        <v>111</v>
      </c>
      <c r="J506" t="str">
        <f t="shared" si="68"/>
        <v>GnomeSorcererMag</v>
      </c>
    </row>
    <row r="507" spans="1:10" x14ac:dyDescent="0.3">
      <c r="A507" s="1" t="str">
        <f t="shared" si="70"/>
        <v>Gnome</v>
      </c>
      <c r="B507" s="1" t="s">
        <v>62</v>
      </c>
      <c r="C507" s="1" t="s">
        <v>1</v>
      </c>
      <c r="D507">
        <f t="shared" si="63"/>
        <v>-3</v>
      </c>
      <c r="E507">
        <f t="shared" si="64"/>
        <v>-7</v>
      </c>
      <c r="F507">
        <f t="shared" si="69"/>
        <v>-10</v>
      </c>
      <c r="G507">
        <f t="shared" si="65"/>
        <v>31</v>
      </c>
      <c r="H507">
        <f t="shared" si="66"/>
        <v>0</v>
      </c>
      <c r="I507">
        <f t="shared" si="67"/>
        <v>0</v>
      </c>
      <c r="J507" t="str">
        <f t="shared" si="68"/>
        <v>GnomeSorcererDiv</v>
      </c>
    </row>
    <row r="508" spans="1:10" x14ac:dyDescent="0.3">
      <c r="A508" s="1" t="str">
        <f t="shared" si="70"/>
        <v>Gnome</v>
      </c>
      <c r="B508" s="1" t="s">
        <v>62</v>
      </c>
      <c r="C508" s="1" t="s">
        <v>2</v>
      </c>
      <c r="D508">
        <f t="shared" si="63"/>
        <v>-1</v>
      </c>
      <c r="E508">
        <f t="shared" si="64"/>
        <v>-3</v>
      </c>
      <c r="F508">
        <f t="shared" si="69"/>
        <v>-4</v>
      </c>
      <c r="G508">
        <f t="shared" si="65"/>
        <v>22</v>
      </c>
      <c r="H508">
        <f t="shared" si="66"/>
        <v>0</v>
      </c>
      <c r="I508">
        <f t="shared" si="67"/>
        <v>40</v>
      </c>
      <c r="J508" t="str">
        <f t="shared" si="68"/>
        <v>GnomeSorcererStr</v>
      </c>
    </row>
    <row r="509" spans="1:10" x14ac:dyDescent="0.3">
      <c r="A509" s="1" t="str">
        <f t="shared" si="70"/>
        <v>Gnome</v>
      </c>
      <c r="B509" s="1" t="s">
        <v>62</v>
      </c>
      <c r="C509" s="1" t="s">
        <v>3</v>
      </c>
      <c r="D509">
        <f t="shared" si="63"/>
        <v>0</v>
      </c>
      <c r="E509">
        <f t="shared" si="64"/>
        <v>0</v>
      </c>
      <c r="F509">
        <f t="shared" si="69"/>
        <v>0</v>
      </c>
      <c r="G509">
        <f t="shared" si="65"/>
        <v>10</v>
      </c>
      <c r="H509">
        <f t="shared" si="66"/>
        <v>0</v>
      </c>
      <c r="I509">
        <f t="shared" si="67"/>
        <v>80</v>
      </c>
      <c r="J509" t="str">
        <f t="shared" si="68"/>
        <v>GnomeSorcererDex</v>
      </c>
    </row>
    <row r="510" spans="1:10" x14ac:dyDescent="0.3">
      <c r="A510" s="1" t="str">
        <f t="shared" si="70"/>
        <v>Gnome</v>
      </c>
      <c r="B510" s="1" t="s">
        <v>62</v>
      </c>
      <c r="C510" s="1" t="s">
        <v>4</v>
      </c>
      <c r="D510">
        <f t="shared" si="63"/>
        <v>0</v>
      </c>
      <c r="E510">
        <f t="shared" si="64"/>
        <v>-2</v>
      </c>
      <c r="F510">
        <f t="shared" si="69"/>
        <v>-2</v>
      </c>
      <c r="G510">
        <f t="shared" si="65"/>
        <v>16</v>
      </c>
      <c r="H510">
        <f t="shared" si="66"/>
        <v>0</v>
      </c>
      <c r="I510">
        <f t="shared" si="67"/>
        <v>60</v>
      </c>
      <c r="J510" t="str">
        <f t="shared" si="68"/>
        <v>GnomeSorcererCon</v>
      </c>
    </row>
    <row r="511" spans="1:10" x14ac:dyDescent="0.3">
      <c r="A511" s="1" t="str">
        <f t="shared" si="70"/>
        <v>Gnome</v>
      </c>
      <c r="B511" s="1" t="s">
        <v>62</v>
      </c>
      <c r="C511" s="1" t="s">
        <v>5</v>
      </c>
      <c r="D511">
        <f t="shared" si="63"/>
        <v>1</v>
      </c>
      <c r="E511">
        <f t="shared" si="64"/>
        <v>1</v>
      </c>
      <c r="F511">
        <f t="shared" si="69"/>
        <v>2</v>
      </c>
      <c r="G511">
        <f t="shared" si="65"/>
        <v>8</v>
      </c>
      <c r="H511">
        <f t="shared" si="66"/>
        <v>12</v>
      </c>
      <c r="I511">
        <f t="shared" si="67"/>
        <v>100</v>
      </c>
      <c r="J511" t="str">
        <f t="shared" si="68"/>
        <v>GnomeSorcererCha</v>
      </c>
    </row>
    <row r="512" spans="1:10" x14ac:dyDescent="0.3">
      <c r="A512" s="1" t="str">
        <f t="shared" si="70"/>
        <v>Gnome</v>
      </c>
      <c r="B512" s="1" t="s">
        <v>62</v>
      </c>
      <c r="C512" s="1" t="s">
        <v>6</v>
      </c>
      <c r="D512">
        <f t="shared" si="63"/>
        <v>2</v>
      </c>
      <c r="E512">
        <f t="shared" si="64"/>
        <v>2</v>
      </c>
      <c r="F512">
        <f t="shared" si="69"/>
        <v>4</v>
      </c>
      <c r="G512">
        <f t="shared" si="65"/>
        <v>6</v>
      </c>
      <c r="H512">
        <f t="shared" si="66"/>
        <v>9</v>
      </c>
      <c r="I512">
        <f t="shared" si="67"/>
        <v>108</v>
      </c>
      <c r="J512" t="str">
        <f t="shared" si="68"/>
        <v>GnomeSorcererBra</v>
      </c>
    </row>
    <row r="513" spans="1:10" x14ac:dyDescent="0.3">
      <c r="A513" s="1" t="str">
        <f t="shared" si="70"/>
        <v>Gnome</v>
      </c>
      <c r="B513" s="1" t="s">
        <v>62</v>
      </c>
      <c r="C513" s="1" t="s">
        <v>7</v>
      </c>
      <c r="D513">
        <f t="shared" si="63"/>
        <v>-2</v>
      </c>
      <c r="E513">
        <f t="shared" si="64"/>
        <v>-1</v>
      </c>
      <c r="F513">
        <f t="shared" si="69"/>
        <v>-3</v>
      </c>
      <c r="G513">
        <f t="shared" si="65"/>
        <v>19</v>
      </c>
      <c r="H513">
        <f t="shared" si="66"/>
        <v>0</v>
      </c>
      <c r="I513">
        <f t="shared" si="67"/>
        <v>50</v>
      </c>
      <c r="J513" t="str">
        <f t="shared" si="68"/>
        <v>GnomeSorcererHP</v>
      </c>
    </row>
    <row r="514" spans="1:10" x14ac:dyDescent="0.3">
      <c r="A514" s="1" t="str">
        <f t="shared" si="70"/>
        <v>Gnome</v>
      </c>
      <c r="B514" s="1" t="s">
        <v>22</v>
      </c>
      <c r="C514" s="1" t="s">
        <v>0</v>
      </c>
      <c r="D514">
        <f t="shared" ref="D514:D577" si="71">INDEX(TblRaceValues,MATCH(C514, TblAbilities, 0),MATCH(A514,TblRaces,0))</f>
        <v>3</v>
      </c>
      <c r="E514">
        <f t="shared" ref="E514:E577" si="72">INDEX(TblProfessionValues,MATCH(C514,TblAbilities,0),MATCH(B514,TblProfessions,0))</f>
        <v>-5</v>
      </c>
      <c r="F514">
        <f t="shared" si="69"/>
        <v>-2</v>
      </c>
      <c r="G514">
        <f t="shared" ref="G514:G577" si="73">HLOOKUP(MIN(MAX(-7,F514),7),TblPracticeCost,2)</f>
        <v>16</v>
      </c>
      <c r="H514">
        <f t="shared" ref="H514:H577" si="74">HLOOKUP(MIN(MAX(-7,F514),7),TblPracticeCost,3)</f>
        <v>0</v>
      </c>
      <c r="I514">
        <f t="shared" ref="I514:I577" si="75">VLOOKUP(MIN(MAX(-7,F514),7),TblBonusMaxSkill,2)</f>
        <v>60</v>
      </c>
      <c r="J514" t="str">
        <f t="shared" si="68"/>
        <v>GnomeBarbarianMag</v>
      </c>
    </row>
    <row r="515" spans="1:10" x14ac:dyDescent="0.3">
      <c r="A515" s="1" t="str">
        <f t="shared" si="70"/>
        <v>Gnome</v>
      </c>
      <c r="B515" s="1" t="s">
        <v>22</v>
      </c>
      <c r="C515" s="1" t="s">
        <v>1</v>
      </c>
      <c r="D515">
        <f t="shared" si="71"/>
        <v>-3</v>
      </c>
      <c r="E515">
        <f t="shared" si="72"/>
        <v>-7</v>
      </c>
      <c r="F515">
        <f t="shared" si="69"/>
        <v>-10</v>
      </c>
      <c r="G515">
        <f t="shared" si="73"/>
        <v>31</v>
      </c>
      <c r="H515">
        <f t="shared" si="74"/>
        <v>0</v>
      </c>
      <c r="I515">
        <f t="shared" si="75"/>
        <v>0</v>
      </c>
      <c r="J515" t="str">
        <f t="shared" ref="J515:J578" si="76">A515&amp;B515&amp;C515</f>
        <v>GnomeBarbarianDiv</v>
      </c>
    </row>
    <row r="516" spans="1:10" x14ac:dyDescent="0.3">
      <c r="A516" s="1" t="str">
        <f t="shared" si="70"/>
        <v>Gnome</v>
      </c>
      <c r="B516" s="1" t="s">
        <v>22</v>
      </c>
      <c r="C516" s="1" t="s">
        <v>2</v>
      </c>
      <c r="D516">
        <f t="shared" si="71"/>
        <v>-1</v>
      </c>
      <c r="E516">
        <f t="shared" si="72"/>
        <v>3</v>
      </c>
      <c r="F516">
        <f t="shared" si="69"/>
        <v>2</v>
      </c>
      <c r="G516">
        <f t="shared" si="73"/>
        <v>8</v>
      </c>
      <c r="H516">
        <f t="shared" si="74"/>
        <v>12</v>
      </c>
      <c r="I516">
        <f t="shared" si="75"/>
        <v>100</v>
      </c>
      <c r="J516" t="str">
        <f t="shared" si="76"/>
        <v>GnomeBarbarianStr</v>
      </c>
    </row>
    <row r="517" spans="1:10" x14ac:dyDescent="0.3">
      <c r="A517" s="1" t="str">
        <f t="shared" si="70"/>
        <v>Gnome</v>
      </c>
      <c r="B517" s="1" t="s">
        <v>22</v>
      </c>
      <c r="C517" s="1" t="s">
        <v>3</v>
      </c>
      <c r="D517">
        <f t="shared" si="71"/>
        <v>0</v>
      </c>
      <c r="E517">
        <f t="shared" si="72"/>
        <v>2</v>
      </c>
      <c r="F517">
        <f t="shared" si="69"/>
        <v>2</v>
      </c>
      <c r="G517">
        <f t="shared" si="73"/>
        <v>8</v>
      </c>
      <c r="H517">
        <f t="shared" si="74"/>
        <v>12</v>
      </c>
      <c r="I517">
        <f t="shared" si="75"/>
        <v>100</v>
      </c>
      <c r="J517" t="str">
        <f t="shared" si="76"/>
        <v>GnomeBarbarianDex</v>
      </c>
    </row>
    <row r="518" spans="1:10" x14ac:dyDescent="0.3">
      <c r="A518" s="1" t="str">
        <f t="shared" si="70"/>
        <v>Gnome</v>
      </c>
      <c r="B518" s="1" t="s">
        <v>22</v>
      </c>
      <c r="C518" s="1" t="s">
        <v>4</v>
      </c>
      <c r="D518">
        <f t="shared" si="71"/>
        <v>0</v>
      </c>
      <c r="E518">
        <f t="shared" si="72"/>
        <v>0</v>
      </c>
      <c r="F518">
        <f t="shared" si="69"/>
        <v>0</v>
      </c>
      <c r="G518">
        <f t="shared" si="73"/>
        <v>10</v>
      </c>
      <c r="H518">
        <f t="shared" si="74"/>
        <v>0</v>
      </c>
      <c r="I518">
        <f t="shared" si="75"/>
        <v>80</v>
      </c>
      <c r="J518" t="str">
        <f t="shared" si="76"/>
        <v>GnomeBarbarianCon</v>
      </c>
    </row>
    <row r="519" spans="1:10" x14ac:dyDescent="0.3">
      <c r="A519" s="1" t="str">
        <f t="shared" si="70"/>
        <v>Gnome</v>
      </c>
      <c r="B519" s="1" t="s">
        <v>22</v>
      </c>
      <c r="C519" s="1" t="s">
        <v>5</v>
      </c>
      <c r="D519">
        <f t="shared" si="71"/>
        <v>1</v>
      </c>
      <c r="E519">
        <f t="shared" si="72"/>
        <v>-1</v>
      </c>
      <c r="F519">
        <f t="shared" si="69"/>
        <v>0</v>
      </c>
      <c r="G519">
        <f t="shared" si="73"/>
        <v>10</v>
      </c>
      <c r="H519">
        <f t="shared" si="74"/>
        <v>0</v>
      </c>
      <c r="I519">
        <f t="shared" si="75"/>
        <v>80</v>
      </c>
      <c r="J519" t="str">
        <f t="shared" si="76"/>
        <v>GnomeBarbarianCha</v>
      </c>
    </row>
    <row r="520" spans="1:10" x14ac:dyDescent="0.3">
      <c r="A520" s="1" t="str">
        <f t="shared" si="70"/>
        <v>Gnome</v>
      </c>
      <c r="B520" s="1" t="s">
        <v>22</v>
      </c>
      <c r="C520" s="1" t="s">
        <v>6</v>
      </c>
      <c r="D520">
        <f t="shared" si="71"/>
        <v>2</v>
      </c>
      <c r="E520">
        <f t="shared" si="72"/>
        <v>-2</v>
      </c>
      <c r="F520">
        <f t="shared" si="69"/>
        <v>0</v>
      </c>
      <c r="G520">
        <f t="shared" si="73"/>
        <v>10</v>
      </c>
      <c r="H520">
        <f t="shared" si="74"/>
        <v>0</v>
      </c>
      <c r="I520">
        <f t="shared" si="75"/>
        <v>80</v>
      </c>
      <c r="J520" t="str">
        <f t="shared" si="76"/>
        <v>GnomeBarbarianBra</v>
      </c>
    </row>
    <row r="521" spans="1:10" x14ac:dyDescent="0.3">
      <c r="A521" s="1" t="str">
        <f t="shared" si="70"/>
        <v>Gnome</v>
      </c>
      <c r="B521" s="1" t="s">
        <v>22</v>
      </c>
      <c r="C521" s="1" t="s">
        <v>7</v>
      </c>
      <c r="D521">
        <f t="shared" si="71"/>
        <v>-2</v>
      </c>
      <c r="E521">
        <f t="shared" si="72"/>
        <v>1</v>
      </c>
      <c r="F521">
        <f t="shared" si="69"/>
        <v>-1</v>
      </c>
      <c r="G521">
        <f t="shared" si="73"/>
        <v>13</v>
      </c>
      <c r="H521">
        <f t="shared" si="74"/>
        <v>0</v>
      </c>
      <c r="I521">
        <f t="shared" si="75"/>
        <v>70</v>
      </c>
      <c r="J521" t="str">
        <f t="shared" si="76"/>
        <v>GnomeBarbarianHP</v>
      </c>
    </row>
    <row r="522" spans="1:10" x14ac:dyDescent="0.3">
      <c r="A522" s="1" t="s">
        <v>42</v>
      </c>
      <c r="B522" s="1" t="s">
        <v>8</v>
      </c>
      <c r="C522" s="1" t="s">
        <v>0</v>
      </c>
      <c r="D522">
        <f t="shared" si="71"/>
        <v>-1</v>
      </c>
      <c r="E522">
        <f t="shared" si="72"/>
        <v>-7</v>
      </c>
      <c r="F522">
        <f t="shared" si="69"/>
        <v>-8</v>
      </c>
      <c r="G522">
        <f t="shared" si="73"/>
        <v>31</v>
      </c>
      <c r="H522">
        <f t="shared" si="74"/>
        <v>0</v>
      </c>
      <c r="I522">
        <f t="shared" si="75"/>
        <v>0</v>
      </c>
      <c r="J522" t="str">
        <f t="shared" si="76"/>
        <v>Half-orcFighterMag</v>
      </c>
    </row>
    <row r="523" spans="1:10" x14ac:dyDescent="0.3">
      <c r="A523" s="1" t="str">
        <f>A522</f>
        <v>Half-orc</v>
      </c>
      <c r="B523" s="1" t="s">
        <v>8</v>
      </c>
      <c r="C523" s="1" t="s">
        <v>1</v>
      </c>
      <c r="D523">
        <f t="shared" si="71"/>
        <v>1</v>
      </c>
      <c r="E523">
        <f t="shared" si="72"/>
        <v>-5</v>
      </c>
      <c r="F523">
        <f t="shared" si="69"/>
        <v>-4</v>
      </c>
      <c r="G523">
        <f t="shared" si="73"/>
        <v>22</v>
      </c>
      <c r="H523">
        <f t="shared" si="74"/>
        <v>0</v>
      </c>
      <c r="I523">
        <f t="shared" si="75"/>
        <v>40</v>
      </c>
      <c r="J523" t="str">
        <f t="shared" si="76"/>
        <v>Half-orcFighterDiv</v>
      </c>
    </row>
    <row r="524" spans="1:10" x14ac:dyDescent="0.3">
      <c r="A524" s="1" t="str">
        <f t="shared" ref="A524:A587" si="77">A523</f>
        <v>Half-orc</v>
      </c>
      <c r="B524" s="1" t="s">
        <v>8</v>
      </c>
      <c r="C524" s="1" t="s">
        <v>2</v>
      </c>
      <c r="D524">
        <f t="shared" si="71"/>
        <v>0</v>
      </c>
      <c r="E524">
        <f t="shared" si="72"/>
        <v>2</v>
      </c>
      <c r="F524">
        <f t="shared" si="69"/>
        <v>2</v>
      </c>
      <c r="G524">
        <f t="shared" si="73"/>
        <v>8</v>
      </c>
      <c r="H524">
        <f t="shared" si="74"/>
        <v>12</v>
      </c>
      <c r="I524">
        <f t="shared" si="75"/>
        <v>100</v>
      </c>
      <c r="J524" t="str">
        <f t="shared" si="76"/>
        <v>Half-orcFighterStr</v>
      </c>
    </row>
    <row r="525" spans="1:10" x14ac:dyDescent="0.3">
      <c r="A525" s="1" t="str">
        <f t="shared" si="77"/>
        <v>Half-orc</v>
      </c>
      <c r="B525" s="1" t="s">
        <v>8</v>
      </c>
      <c r="C525" s="1" t="s">
        <v>3</v>
      </c>
      <c r="D525">
        <f t="shared" si="71"/>
        <v>-2</v>
      </c>
      <c r="E525">
        <f t="shared" si="72"/>
        <v>0</v>
      </c>
      <c r="F525">
        <f t="shared" si="69"/>
        <v>-2</v>
      </c>
      <c r="G525">
        <f t="shared" si="73"/>
        <v>16</v>
      </c>
      <c r="H525">
        <f t="shared" si="74"/>
        <v>0</v>
      </c>
      <c r="I525">
        <f t="shared" si="75"/>
        <v>60</v>
      </c>
      <c r="J525" t="str">
        <f t="shared" si="76"/>
        <v>Half-orcFighterDex</v>
      </c>
    </row>
    <row r="526" spans="1:10" x14ac:dyDescent="0.3">
      <c r="A526" s="1" t="str">
        <f t="shared" si="77"/>
        <v>Half-orc</v>
      </c>
      <c r="B526" s="1" t="s">
        <v>8</v>
      </c>
      <c r="C526" s="1" t="s">
        <v>4</v>
      </c>
      <c r="D526">
        <f t="shared" si="71"/>
        <v>2</v>
      </c>
      <c r="E526">
        <f t="shared" si="72"/>
        <v>1</v>
      </c>
      <c r="F526">
        <f t="shared" si="69"/>
        <v>3</v>
      </c>
      <c r="G526">
        <f t="shared" si="73"/>
        <v>7</v>
      </c>
      <c r="H526">
        <f t="shared" si="74"/>
        <v>11</v>
      </c>
      <c r="I526">
        <f t="shared" si="75"/>
        <v>105</v>
      </c>
      <c r="J526" t="str">
        <f t="shared" si="76"/>
        <v>Half-orcFighterCon</v>
      </c>
    </row>
    <row r="527" spans="1:10" x14ac:dyDescent="0.3">
      <c r="A527" s="1" t="str">
        <f t="shared" si="77"/>
        <v>Half-orc</v>
      </c>
      <c r="B527" s="1" t="s">
        <v>8</v>
      </c>
      <c r="C527" s="1" t="s">
        <v>5</v>
      </c>
      <c r="D527">
        <f t="shared" si="71"/>
        <v>0</v>
      </c>
      <c r="E527">
        <f t="shared" si="72"/>
        <v>-2</v>
      </c>
      <c r="F527">
        <f t="shared" si="69"/>
        <v>-2</v>
      </c>
      <c r="G527">
        <f t="shared" si="73"/>
        <v>16</v>
      </c>
      <c r="H527">
        <f t="shared" si="74"/>
        <v>0</v>
      </c>
      <c r="I527">
        <f t="shared" si="75"/>
        <v>60</v>
      </c>
      <c r="J527" t="str">
        <f t="shared" si="76"/>
        <v>Half-orcFighterCha</v>
      </c>
    </row>
    <row r="528" spans="1:10" x14ac:dyDescent="0.3">
      <c r="A528" s="1" t="str">
        <f t="shared" si="77"/>
        <v>Half-orc</v>
      </c>
      <c r="B528" s="1" t="s">
        <v>8</v>
      </c>
      <c r="C528" s="1" t="s">
        <v>6</v>
      </c>
      <c r="D528">
        <f t="shared" si="71"/>
        <v>0</v>
      </c>
      <c r="E528">
        <f t="shared" si="72"/>
        <v>-1</v>
      </c>
      <c r="F528">
        <f t="shared" si="69"/>
        <v>-1</v>
      </c>
      <c r="G528">
        <f t="shared" si="73"/>
        <v>13</v>
      </c>
      <c r="H528">
        <f t="shared" si="74"/>
        <v>0</v>
      </c>
      <c r="I528">
        <f t="shared" si="75"/>
        <v>70</v>
      </c>
      <c r="J528" t="str">
        <f t="shared" si="76"/>
        <v>Half-orcFighterBra</v>
      </c>
    </row>
    <row r="529" spans="1:10" x14ac:dyDescent="0.3">
      <c r="A529" s="1" t="str">
        <f t="shared" si="77"/>
        <v>Half-orc</v>
      </c>
      <c r="B529" s="1" t="s">
        <v>8</v>
      </c>
      <c r="C529" s="1" t="s">
        <v>7</v>
      </c>
      <c r="D529">
        <f t="shared" si="71"/>
        <v>0</v>
      </c>
      <c r="E529">
        <f t="shared" si="72"/>
        <v>3</v>
      </c>
      <c r="F529">
        <f t="shared" si="69"/>
        <v>3</v>
      </c>
      <c r="G529">
        <f t="shared" si="73"/>
        <v>7</v>
      </c>
      <c r="H529">
        <f t="shared" si="74"/>
        <v>11</v>
      </c>
      <c r="I529">
        <f t="shared" si="75"/>
        <v>105</v>
      </c>
      <c r="J529" t="str">
        <f t="shared" si="76"/>
        <v>Half-orcFighterHP</v>
      </c>
    </row>
    <row r="530" spans="1:10" x14ac:dyDescent="0.3">
      <c r="A530" s="1" t="str">
        <f t="shared" si="77"/>
        <v>Half-orc</v>
      </c>
      <c r="B530" s="1" t="s">
        <v>9</v>
      </c>
      <c r="C530" s="1" t="s">
        <v>0</v>
      </c>
      <c r="D530">
        <f t="shared" si="71"/>
        <v>-1</v>
      </c>
      <c r="E530">
        <f t="shared" si="72"/>
        <v>-7</v>
      </c>
      <c r="F530">
        <f t="shared" si="69"/>
        <v>-8</v>
      </c>
      <c r="G530">
        <f t="shared" si="73"/>
        <v>31</v>
      </c>
      <c r="H530">
        <f t="shared" si="74"/>
        <v>0</v>
      </c>
      <c r="I530">
        <f t="shared" si="75"/>
        <v>0</v>
      </c>
      <c r="J530" t="str">
        <f t="shared" si="76"/>
        <v>Half-orcKnightMag</v>
      </c>
    </row>
    <row r="531" spans="1:10" x14ac:dyDescent="0.3">
      <c r="A531" s="1" t="str">
        <f t="shared" si="77"/>
        <v>Half-orc</v>
      </c>
      <c r="B531" s="1" t="s">
        <v>9</v>
      </c>
      <c r="C531" s="1" t="s">
        <v>1</v>
      </c>
      <c r="D531">
        <f t="shared" si="71"/>
        <v>1</v>
      </c>
      <c r="E531">
        <f t="shared" si="72"/>
        <v>0</v>
      </c>
      <c r="F531">
        <f t="shared" si="69"/>
        <v>1</v>
      </c>
      <c r="G531">
        <f t="shared" si="73"/>
        <v>9</v>
      </c>
      <c r="H531">
        <f t="shared" si="74"/>
        <v>14</v>
      </c>
      <c r="I531">
        <f t="shared" si="75"/>
        <v>90</v>
      </c>
      <c r="J531" t="str">
        <f t="shared" si="76"/>
        <v>Half-orcKnightDiv</v>
      </c>
    </row>
    <row r="532" spans="1:10" x14ac:dyDescent="0.3">
      <c r="A532" s="1" t="str">
        <f t="shared" si="77"/>
        <v>Half-orc</v>
      </c>
      <c r="B532" s="1" t="s">
        <v>9</v>
      </c>
      <c r="C532" s="1" t="s">
        <v>2</v>
      </c>
      <c r="D532">
        <f t="shared" si="71"/>
        <v>0</v>
      </c>
      <c r="E532">
        <f t="shared" si="72"/>
        <v>2</v>
      </c>
      <c r="F532">
        <f t="shared" si="69"/>
        <v>2</v>
      </c>
      <c r="G532">
        <f t="shared" si="73"/>
        <v>8</v>
      </c>
      <c r="H532">
        <f t="shared" si="74"/>
        <v>12</v>
      </c>
      <c r="I532">
        <f t="shared" si="75"/>
        <v>100</v>
      </c>
      <c r="J532" t="str">
        <f t="shared" si="76"/>
        <v>Half-orcKnightStr</v>
      </c>
    </row>
    <row r="533" spans="1:10" x14ac:dyDescent="0.3">
      <c r="A533" s="1" t="str">
        <f t="shared" si="77"/>
        <v>Half-orc</v>
      </c>
      <c r="B533" s="1" t="s">
        <v>9</v>
      </c>
      <c r="C533" s="1" t="s">
        <v>3</v>
      </c>
      <c r="D533">
        <f t="shared" si="71"/>
        <v>-2</v>
      </c>
      <c r="E533">
        <f t="shared" si="72"/>
        <v>-1</v>
      </c>
      <c r="F533">
        <f t="shared" si="69"/>
        <v>-3</v>
      </c>
      <c r="G533">
        <f t="shared" si="73"/>
        <v>19</v>
      </c>
      <c r="H533">
        <f t="shared" si="74"/>
        <v>0</v>
      </c>
      <c r="I533">
        <f t="shared" si="75"/>
        <v>50</v>
      </c>
      <c r="J533" t="str">
        <f t="shared" si="76"/>
        <v>Half-orcKnightDex</v>
      </c>
    </row>
    <row r="534" spans="1:10" x14ac:dyDescent="0.3">
      <c r="A534" s="1" t="str">
        <f t="shared" si="77"/>
        <v>Half-orc</v>
      </c>
      <c r="B534" s="1" t="s">
        <v>9</v>
      </c>
      <c r="C534" s="1" t="s">
        <v>4</v>
      </c>
      <c r="D534">
        <f t="shared" si="71"/>
        <v>2</v>
      </c>
      <c r="E534">
        <f t="shared" si="72"/>
        <v>0</v>
      </c>
      <c r="F534">
        <f t="shared" si="69"/>
        <v>2</v>
      </c>
      <c r="G534">
        <f t="shared" si="73"/>
        <v>8</v>
      </c>
      <c r="H534">
        <f t="shared" si="74"/>
        <v>12</v>
      </c>
      <c r="I534">
        <f t="shared" si="75"/>
        <v>100</v>
      </c>
      <c r="J534" t="str">
        <f t="shared" si="76"/>
        <v>Half-orcKnightCon</v>
      </c>
    </row>
    <row r="535" spans="1:10" x14ac:dyDescent="0.3">
      <c r="A535" s="1" t="str">
        <f t="shared" si="77"/>
        <v>Half-orc</v>
      </c>
      <c r="B535" s="1" t="s">
        <v>9</v>
      </c>
      <c r="C535" s="1" t="s">
        <v>5</v>
      </c>
      <c r="D535">
        <f t="shared" si="71"/>
        <v>0</v>
      </c>
      <c r="E535">
        <f t="shared" si="72"/>
        <v>-2</v>
      </c>
      <c r="F535">
        <f t="shared" si="69"/>
        <v>-2</v>
      </c>
      <c r="G535">
        <f t="shared" si="73"/>
        <v>16</v>
      </c>
      <c r="H535">
        <f t="shared" si="74"/>
        <v>0</v>
      </c>
      <c r="I535">
        <f t="shared" si="75"/>
        <v>60</v>
      </c>
      <c r="J535" t="str">
        <f t="shared" si="76"/>
        <v>Half-orcKnightCha</v>
      </c>
    </row>
    <row r="536" spans="1:10" x14ac:dyDescent="0.3">
      <c r="A536" s="1" t="str">
        <f t="shared" si="77"/>
        <v>Half-orc</v>
      </c>
      <c r="B536" s="1" t="s">
        <v>9</v>
      </c>
      <c r="C536" s="1" t="s">
        <v>6</v>
      </c>
      <c r="D536">
        <f t="shared" si="71"/>
        <v>0</v>
      </c>
      <c r="E536">
        <f t="shared" si="72"/>
        <v>0</v>
      </c>
      <c r="F536">
        <f t="shared" si="69"/>
        <v>0</v>
      </c>
      <c r="G536">
        <f t="shared" si="73"/>
        <v>10</v>
      </c>
      <c r="H536">
        <f t="shared" si="74"/>
        <v>0</v>
      </c>
      <c r="I536">
        <f t="shared" si="75"/>
        <v>80</v>
      </c>
      <c r="J536" t="str">
        <f t="shared" si="76"/>
        <v>Half-orcKnightBra</v>
      </c>
    </row>
    <row r="537" spans="1:10" x14ac:dyDescent="0.3">
      <c r="A537" s="1" t="str">
        <f t="shared" si="77"/>
        <v>Half-orc</v>
      </c>
      <c r="B537" s="1" t="s">
        <v>9</v>
      </c>
      <c r="C537" s="1" t="s">
        <v>7</v>
      </c>
      <c r="D537">
        <f t="shared" si="71"/>
        <v>0</v>
      </c>
      <c r="E537">
        <f t="shared" si="72"/>
        <v>1</v>
      </c>
      <c r="F537">
        <f t="shared" si="69"/>
        <v>1</v>
      </c>
      <c r="G537">
        <f t="shared" si="73"/>
        <v>9</v>
      </c>
      <c r="H537">
        <f t="shared" si="74"/>
        <v>14</v>
      </c>
      <c r="I537">
        <f t="shared" si="75"/>
        <v>90</v>
      </c>
      <c r="J537" t="str">
        <f t="shared" si="76"/>
        <v>Half-orcKnightHP</v>
      </c>
    </row>
    <row r="538" spans="1:10" x14ac:dyDescent="0.3">
      <c r="A538" s="1" t="str">
        <f t="shared" si="77"/>
        <v>Half-orc</v>
      </c>
      <c r="B538" s="1" t="s">
        <v>10</v>
      </c>
      <c r="C538" s="1" t="s">
        <v>0</v>
      </c>
      <c r="D538">
        <f t="shared" si="71"/>
        <v>-1</v>
      </c>
      <c r="E538">
        <f t="shared" si="72"/>
        <v>-7</v>
      </c>
      <c r="F538">
        <f t="shared" si="69"/>
        <v>-8</v>
      </c>
      <c r="G538">
        <f t="shared" si="73"/>
        <v>31</v>
      </c>
      <c r="H538">
        <f t="shared" si="74"/>
        <v>0</v>
      </c>
      <c r="I538">
        <f t="shared" si="75"/>
        <v>0</v>
      </c>
      <c r="J538" t="str">
        <f t="shared" si="76"/>
        <v>Half-orcPaladinMag</v>
      </c>
    </row>
    <row r="539" spans="1:10" x14ac:dyDescent="0.3">
      <c r="A539" s="1" t="str">
        <f t="shared" si="77"/>
        <v>Half-orc</v>
      </c>
      <c r="B539" s="1" t="s">
        <v>10</v>
      </c>
      <c r="C539" s="1" t="s">
        <v>1</v>
      </c>
      <c r="D539">
        <f t="shared" si="71"/>
        <v>1</v>
      </c>
      <c r="E539">
        <f t="shared" si="72"/>
        <v>0</v>
      </c>
      <c r="F539">
        <f t="shared" ref="F539:F602" si="78">E539+D539</f>
        <v>1</v>
      </c>
      <c r="G539">
        <f t="shared" si="73"/>
        <v>9</v>
      </c>
      <c r="H539">
        <f t="shared" si="74"/>
        <v>14</v>
      </c>
      <c r="I539">
        <f t="shared" si="75"/>
        <v>90</v>
      </c>
      <c r="J539" t="str">
        <f t="shared" si="76"/>
        <v>Half-orcPaladinDiv</v>
      </c>
    </row>
    <row r="540" spans="1:10" x14ac:dyDescent="0.3">
      <c r="A540" s="1" t="str">
        <f t="shared" si="77"/>
        <v>Half-orc</v>
      </c>
      <c r="B540" s="1" t="s">
        <v>10</v>
      </c>
      <c r="C540" s="1" t="s">
        <v>2</v>
      </c>
      <c r="D540">
        <f t="shared" si="71"/>
        <v>0</v>
      </c>
      <c r="E540">
        <f t="shared" si="72"/>
        <v>2</v>
      </c>
      <c r="F540">
        <f t="shared" si="78"/>
        <v>2</v>
      </c>
      <c r="G540">
        <f t="shared" si="73"/>
        <v>8</v>
      </c>
      <c r="H540">
        <f t="shared" si="74"/>
        <v>12</v>
      </c>
      <c r="I540">
        <f t="shared" si="75"/>
        <v>100</v>
      </c>
      <c r="J540" t="str">
        <f t="shared" si="76"/>
        <v>Half-orcPaladinStr</v>
      </c>
    </row>
    <row r="541" spans="1:10" x14ac:dyDescent="0.3">
      <c r="A541" s="1" t="str">
        <f t="shared" si="77"/>
        <v>Half-orc</v>
      </c>
      <c r="B541" s="1" t="s">
        <v>10</v>
      </c>
      <c r="C541" s="1" t="s">
        <v>3</v>
      </c>
      <c r="D541">
        <f t="shared" si="71"/>
        <v>-2</v>
      </c>
      <c r="E541">
        <f t="shared" si="72"/>
        <v>-1</v>
      </c>
      <c r="F541">
        <f t="shared" si="78"/>
        <v>-3</v>
      </c>
      <c r="G541">
        <f t="shared" si="73"/>
        <v>19</v>
      </c>
      <c r="H541">
        <f t="shared" si="74"/>
        <v>0</v>
      </c>
      <c r="I541">
        <f t="shared" si="75"/>
        <v>50</v>
      </c>
      <c r="J541" t="str">
        <f t="shared" si="76"/>
        <v>Half-orcPaladinDex</v>
      </c>
    </row>
    <row r="542" spans="1:10" x14ac:dyDescent="0.3">
      <c r="A542" s="1" t="str">
        <f t="shared" si="77"/>
        <v>Half-orc</v>
      </c>
      <c r="B542" s="1" t="s">
        <v>10</v>
      </c>
      <c r="C542" s="1" t="s">
        <v>4</v>
      </c>
      <c r="D542">
        <f t="shared" si="71"/>
        <v>2</v>
      </c>
      <c r="E542">
        <f t="shared" si="72"/>
        <v>0</v>
      </c>
      <c r="F542">
        <f t="shared" si="78"/>
        <v>2</v>
      </c>
      <c r="G542">
        <f t="shared" si="73"/>
        <v>8</v>
      </c>
      <c r="H542">
        <f t="shared" si="74"/>
        <v>12</v>
      </c>
      <c r="I542">
        <f t="shared" si="75"/>
        <v>100</v>
      </c>
      <c r="J542" t="str">
        <f t="shared" si="76"/>
        <v>Half-orcPaladinCon</v>
      </c>
    </row>
    <row r="543" spans="1:10" x14ac:dyDescent="0.3">
      <c r="A543" s="1" t="str">
        <f t="shared" si="77"/>
        <v>Half-orc</v>
      </c>
      <c r="B543" s="1" t="s">
        <v>10</v>
      </c>
      <c r="C543" s="1" t="s">
        <v>5</v>
      </c>
      <c r="D543">
        <f t="shared" si="71"/>
        <v>0</v>
      </c>
      <c r="E543">
        <f t="shared" si="72"/>
        <v>-2</v>
      </c>
      <c r="F543">
        <f t="shared" si="78"/>
        <v>-2</v>
      </c>
      <c r="G543">
        <f t="shared" si="73"/>
        <v>16</v>
      </c>
      <c r="H543">
        <f t="shared" si="74"/>
        <v>0</v>
      </c>
      <c r="I543">
        <f t="shared" si="75"/>
        <v>60</v>
      </c>
      <c r="J543" t="str">
        <f t="shared" si="76"/>
        <v>Half-orcPaladinCha</v>
      </c>
    </row>
    <row r="544" spans="1:10" x14ac:dyDescent="0.3">
      <c r="A544" s="1" t="str">
        <f t="shared" si="77"/>
        <v>Half-orc</v>
      </c>
      <c r="B544" s="1" t="s">
        <v>10</v>
      </c>
      <c r="C544" s="1" t="s">
        <v>6</v>
      </c>
      <c r="D544">
        <f t="shared" si="71"/>
        <v>0</v>
      </c>
      <c r="E544">
        <f t="shared" si="72"/>
        <v>0</v>
      </c>
      <c r="F544">
        <f t="shared" si="78"/>
        <v>0</v>
      </c>
      <c r="G544">
        <f t="shared" si="73"/>
        <v>10</v>
      </c>
      <c r="H544">
        <f t="shared" si="74"/>
        <v>0</v>
      </c>
      <c r="I544">
        <f t="shared" si="75"/>
        <v>80</v>
      </c>
      <c r="J544" t="str">
        <f t="shared" si="76"/>
        <v>Half-orcPaladinBra</v>
      </c>
    </row>
    <row r="545" spans="1:10" x14ac:dyDescent="0.3">
      <c r="A545" s="1" t="str">
        <f t="shared" si="77"/>
        <v>Half-orc</v>
      </c>
      <c r="B545" s="1" t="s">
        <v>10</v>
      </c>
      <c r="C545" s="1" t="s">
        <v>7</v>
      </c>
      <c r="D545">
        <f t="shared" si="71"/>
        <v>0</v>
      </c>
      <c r="E545">
        <f t="shared" si="72"/>
        <v>1</v>
      </c>
      <c r="F545">
        <f t="shared" si="78"/>
        <v>1</v>
      </c>
      <c r="G545">
        <f t="shared" si="73"/>
        <v>9</v>
      </c>
      <c r="H545">
        <f t="shared" si="74"/>
        <v>14</v>
      </c>
      <c r="I545">
        <f t="shared" si="75"/>
        <v>90</v>
      </c>
      <c r="J545" t="str">
        <f t="shared" si="76"/>
        <v>Half-orcPaladinHP</v>
      </c>
    </row>
    <row r="546" spans="1:10" x14ac:dyDescent="0.3">
      <c r="A546" s="1" t="str">
        <f t="shared" si="77"/>
        <v>Half-orc</v>
      </c>
      <c r="B546" s="1" t="s">
        <v>11</v>
      </c>
      <c r="C546" s="1" t="s">
        <v>0</v>
      </c>
      <c r="D546">
        <f t="shared" si="71"/>
        <v>-1</v>
      </c>
      <c r="E546">
        <f t="shared" si="72"/>
        <v>-7</v>
      </c>
      <c r="F546">
        <f t="shared" si="78"/>
        <v>-8</v>
      </c>
      <c r="G546">
        <f t="shared" si="73"/>
        <v>31</v>
      </c>
      <c r="H546">
        <f t="shared" si="74"/>
        <v>0</v>
      </c>
      <c r="I546">
        <f t="shared" si="75"/>
        <v>0</v>
      </c>
      <c r="J546" t="str">
        <f t="shared" si="76"/>
        <v>Half-orcRangerMag</v>
      </c>
    </row>
    <row r="547" spans="1:10" x14ac:dyDescent="0.3">
      <c r="A547" s="1" t="str">
        <f t="shared" si="77"/>
        <v>Half-orc</v>
      </c>
      <c r="B547" s="1" t="s">
        <v>11</v>
      </c>
      <c r="C547" s="1" t="s">
        <v>1</v>
      </c>
      <c r="D547">
        <f t="shared" si="71"/>
        <v>1</v>
      </c>
      <c r="E547">
        <f t="shared" si="72"/>
        <v>0</v>
      </c>
      <c r="F547">
        <f t="shared" si="78"/>
        <v>1</v>
      </c>
      <c r="G547">
        <f t="shared" si="73"/>
        <v>9</v>
      </c>
      <c r="H547">
        <f t="shared" si="74"/>
        <v>14</v>
      </c>
      <c r="I547">
        <f t="shared" si="75"/>
        <v>90</v>
      </c>
      <c r="J547" t="str">
        <f t="shared" si="76"/>
        <v>Half-orcRangerDiv</v>
      </c>
    </row>
    <row r="548" spans="1:10" x14ac:dyDescent="0.3">
      <c r="A548" s="1" t="str">
        <f t="shared" si="77"/>
        <v>Half-orc</v>
      </c>
      <c r="B548" s="1" t="s">
        <v>11</v>
      </c>
      <c r="C548" s="1" t="s">
        <v>2</v>
      </c>
      <c r="D548">
        <f t="shared" si="71"/>
        <v>0</v>
      </c>
      <c r="E548">
        <f t="shared" si="72"/>
        <v>1</v>
      </c>
      <c r="F548">
        <f t="shared" si="78"/>
        <v>1</v>
      </c>
      <c r="G548">
        <f t="shared" si="73"/>
        <v>9</v>
      </c>
      <c r="H548">
        <f t="shared" si="74"/>
        <v>14</v>
      </c>
      <c r="I548">
        <f t="shared" si="75"/>
        <v>90</v>
      </c>
      <c r="J548" t="str">
        <f t="shared" si="76"/>
        <v>Half-orcRangerStr</v>
      </c>
    </row>
    <row r="549" spans="1:10" x14ac:dyDescent="0.3">
      <c r="A549" s="1" t="str">
        <f t="shared" si="77"/>
        <v>Half-orc</v>
      </c>
      <c r="B549" s="1" t="s">
        <v>11</v>
      </c>
      <c r="C549" s="1" t="s">
        <v>3</v>
      </c>
      <c r="D549">
        <f t="shared" si="71"/>
        <v>-2</v>
      </c>
      <c r="E549">
        <f t="shared" si="72"/>
        <v>2</v>
      </c>
      <c r="F549">
        <f t="shared" si="78"/>
        <v>0</v>
      </c>
      <c r="G549">
        <f t="shared" si="73"/>
        <v>10</v>
      </c>
      <c r="H549">
        <f t="shared" si="74"/>
        <v>0</v>
      </c>
      <c r="I549">
        <f t="shared" si="75"/>
        <v>80</v>
      </c>
      <c r="J549" t="str">
        <f t="shared" si="76"/>
        <v>Half-orcRangerDex</v>
      </c>
    </row>
    <row r="550" spans="1:10" x14ac:dyDescent="0.3">
      <c r="A550" s="1" t="str">
        <f t="shared" si="77"/>
        <v>Half-orc</v>
      </c>
      <c r="B550" s="1" t="s">
        <v>11</v>
      </c>
      <c r="C550" s="1" t="s">
        <v>4</v>
      </c>
      <c r="D550">
        <f t="shared" si="71"/>
        <v>2</v>
      </c>
      <c r="E550">
        <f t="shared" si="72"/>
        <v>0</v>
      </c>
      <c r="F550">
        <f t="shared" si="78"/>
        <v>2</v>
      </c>
      <c r="G550">
        <f t="shared" si="73"/>
        <v>8</v>
      </c>
      <c r="H550">
        <f t="shared" si="74"/>
        <v>12</v>
      </c>
      <c r="I550">
        <f t="shared" si="75"/>
        <v>100</v>
      </c>
      <c r="J550" t="str">
        <f t="shared" si="76"/>
        <v>Half-orcRangerCon</v>
      </c>
    </row>
    <row r="551" spans="1:10" x14ac:dyDescent="0.3">
      <c r="A551" s="1" t="str">
        <f t="shared" si="77"/>
        <v>Half-orc</v>
      </c>
      <c r="B551" s="1" t="s">
        <v>11</v>
      </c>
      <c r="C551" s="1" t="s">
        <v>5</v>
      </c>
      <c r="D551">
        <f t="shared" si="71"/>
        <v>0</v>
      </c>
      <c r="E551">
        <f t="shared" si="72"/>
        <v>-2</v>
      </c>
      <c r="F551">
        <f t="shared" si="78"/>
        <v>-2</v>
      </c>
      <c r="G551">
        <f t="shared" si="73"/>
        <v>16</v>
      </c>
      <c r="H551">
        <f t="shared" si="74"/>
        <v>0</v>
      </c>
      <c r="I551">
        <f t="shared" si="75"/>
        <v>60</v>
      </c>
      <c r="J551" t="str">
        <f t="shared" si="76"/>
        <v>Half-orcRangerCha</v>
      </c>
    </row>
    <row r="552" spans="1:10" x14ac:dyDescent="0.3">
      <c r="A552" s="1" t="str">
        <f t="shared" si="77"/>
        <v>Half-orc</v>
      </c>
      <c r="B552" s="1" t="s">
        <v>11</v>
      </c>
      <c r="C552" s="1" t="s">
        <v>6</v>
      </c>
      <c r="D552">
        <f t="shared" si="71"/>
        <v>0</v>
      </c>
      <c r="E552">
        <f t="shared" si="72"/>
        <v>-1</v>
      </c>
      <c r="F552">
        <f t="shared" si="78"/>
        <v>-1</v>
      </c>
      <c r="G552">
        <f t="shared" si="73"/>
        <v>13</v>
      </c>
      <c r="H552">
        <f t="shared" si="74"/>
        <v>0</v>
      </c>
      <c r="I552">
        <f t="shared" si="75"/>
        <v>70</v>
      </c>
      <c r="J552" t="str">
        <f t="shared" si="76"/>
        <v>Half-orcRangerBra</v>
      </c>
    </row>
    <row r="553" spans="1:10" x14ac:dyDescent="0.3">
      <c r="A553" s="1" t="str">
        <f t="shared" si="77"/>
        <v>Half-orc</v>
      </c>
      <c r="B553" s="1" t="s">
        <v>11</v>
      </c>
      <c r="C553" s="1" t="s">
        <v>7</v>
      </c>
      <c r="D553">
        <f t="shared" si="71"/>
        <v>0</v>
      </c>
      <c r="E553">
        <f t="shared" si="72"/>
        <v>0</v>
      </c>
      <c r="F553">
        <f t="shared" si="78"/>
        <v>0</v>
      </c>
      <c r="G553">
        <f t="shared" si="73"/>
        <v>10</v>
      </c>
      <c r="H553">
        <f t="shared" si="74"/>
        <v>0</v>
      </c>
      <c r="I553">
        <f t="shared" si="75"/>
        <v>80</v>
      </c>
      <c r="J553" t="str">
        <f t="shared" si="76"/>
        <v>Half-orcRangerHP</v>
      </c>
    </row>
    <row r="554" spans="1:10" x14ac:dyDescent="0.3">
      <c r="A554" s="1" t="str">
        <f t="shared" si="77"/>
        <v>Half-orc</v>
      </c>
      <c r="B554" s="1" t="s">
        <v>12</v>
      </c>
      <c r="C554" s="1" t="s">
        <v>0</v>
      </c>
      <c r="D554">
        <f t="shared" si="71"/>
        <v>-1</v>
      </c>
      <c r="E554">
        <f t="shared" si="72"/>
        <v>0</v>
      </c>
      <c r="F554">
        <f t="shared" si="78"/>
        <v>-1</v>
      </c>
      <c r="G554">
        <f t="shared" si="73"/>
        <v>13</v>
      </c>
      <c r="H554">
        <f t="shared" si="74"/>
        <v>0</v>
      </c>
      <c r="I554">
        <f t="shared" si="75"/>
        <v>70</v>
      </c>
      <c r="J554" t="str">
        <f t="shared" si="76"/>
        <v>Half-orcAssassinMag</v>
      </c>
    </row>
    <row r="555" spans="1:10" x14ac:dyDescent="0.3">
      <c r="A555" s="1" t="str">
        <f t="shared" si="77"/>
        <v>Half-orc</v>
      </c>
      <c r="B555" s="1" t="s">
        <v>12</v>
      </c>
      <c r="C555" s="1" t="s">
        <v>1</v>
      </c>
      <c r="D555">
        <f t="shared" si="71"/>
        <v>1</v>
      </c>
      <c r="E555">
        <f t="shared" si="72"/>
        <v>-7</v>
      </c>
      <c r="F555">
        <f t="shared" si="78"/>
        <v>-6</v>
      </c>
      <c r="G555">
        <f t="shared" si="73"/>
        <v>28</v>
      </c>
      <c r="H555">
        <f t="shared" si="74"/>
        <v>0</v>
      </c>
      <c r="I555">
        <f t="shared" si="75"/>
        <v>15</v>
      </c>
      <c r="J555" t="str">
        <f t="shared" si="76"/>
        <v>Half-orcAssassinDiv</v>
      </c>
    </row>
    <row r="556" spans="1:10" x14ac:dyDescent="0.3">
      <c r="A556" s="1" t="str">
        <f t="shared" si="77"/>
        <v>Half-orc</v>
      </c>
      <c r="B556" s="1" t="s">
        <v>12</v>
      </c>
      <c r="C556" s="1" t="s">
        <v>2</v>
      </c>
      <c r="D556">
        <f t="shared" si="71"/>
        <v>0</v>
      </c>
      <c r="E556">
        <f t="shared" si="72"/>
        <v>0</v>
      </c>
      <c r="F556">
        <f t="shared" si="78"/>
        <v>0</v>
      </c>
      <c r="G556">
        <f t="shared" si="73"/>
        <v>10</v>
      </c>
      <c r="H556">
        <f t="shared" si="74"/>
        <v>0</v>
      </c>
      <c r="I556">
        <f t="shared" si="75"/>
        <v>80</v>
      </c>
      <c r="J556" t="str">
        <f t="shared" si="76"/>
        <v>Half-orcAssassinStr</v>
      </c>
    </row>
    <row r="557" spans="1:10" x14ac:dyDescent="0.3">
      <c r="A557" s="1" t="str">
        <f t="shared" si="77"/>
        <v>Half-orc</v>
      </c>
      <c r="B557" s="1" t="s">
        <v>12</v>
      </c>
      <c r="C557" s="1" t="s">
        <v>3</v>
      </c>
      <c r="D557">
        <f t="shared" si="71"/>
        <v>-2</v>
      </c>
      <c r="E557">
        <f t="shared" si="72"/>
        <v>2</v>
      </c>
      <c r="F557">
        <f t="shared" si="78"/>
        <v>0</v>
      </c>
      <c r="G557">
        <f t="shared" si="73"/>
        <v>10</v>
      </c>
      <c r="H557">
        <f t="shared" si="74"/>
        <v>0</v>
      </c>
      <c r="I557">
        <f t="shared" si="75"/>
        <v>80</v>
      </c>
      <c r="J557" t="str">
        <f t="shared" si="76"/>
        <v>Half-orcAssassinDex</v>
      </c>
    </row>
    <row r="558" spans="1:10" x14ac:dyDescent="0.3">
      <c r="A558" s="1" t="str">
        <f t="shared" si="77"/>
        <v>Half-orc</v>
      </c>
      <c r="B558" s="1" t="s">
        <v>12</v>
      </c>
      <c r="C558" s="1" t="s">
        <v>4</v>
      </c>
      <c r="D558">
        <f t="shared" si="71"/>
        <v>2</v>
      </c>
      <c r="E558">
        <f t="shared" si="72"/>
        <v>0</v>
      </c>
      <c r="F558">
        <f t="shared" si="78"/>
        <v>2</v>
      </c>
      <c r="G558">
        <f t="shared" si="73"/>
        <v>8</v>
      </c>
      <c r="H558">
        <f t="shared" si="74"/>
        <v>12</v>
      </c>
      <c r="I558">
        <f t="shared" si="75"/>
        <v>100</v>
      </c>
      <c r="J558" t="str">
        <f t="shared" si="76"/>
        <v>Half-orcAssassinCon</v>
      </c>
    </row>
    <row r="559" spans="1:10" x14ac:dyDescent="0.3">
      <c r="A559" s="1" t="str">
        <f t="shared" si="77"/>
        <v>Half-orc</v>
      </c>
      <c r="B559" s="1" t="s">
        <v>12</v>
      </c>
      <c r="C559" s="1" t="s">
        <v>5</v>
      </c>
      <c r="D559">
        <f t="shared" si="71"/>
        <v>0</v>
      </c>
      <c r="E559">
        <f t="shared" si="72"/>
        <v>-2</v>
      </c>
      <c r="F559">
        <f t="shared" si="78"/>
        <v>-2</v>
      </c>
      <c r="G559">
        <f t="shared" si="73"/>
        <v>16</v>
      </c>
      <c r="H559">
        <f t="shared" si="74"/>
        <v>0</v>
      </c>
      <c r="I559">
        <f t="shared" si="75"/>
        <v>60</v>
      </c>
      <c r="J559" t="str">
        <f t="shared" si="76"/>
        <v>Half-orcAssassinCha</v>
      </c>
    </row>
    <row r="560" spans="1:10" x14ac:dyDescent="0.3">
      <c r="A560" s="1" t="str">
        <f t="shared" si="77"/>
        <v>Half-orc</v>
      </c>
      <c r="B560" s="1" t="s">
        <v>12</v>
      </c>
      <c r="C560" s="1" t="s">
        <v>6</v>
      </c>
      <c r="D560">
        <f t="shared" si="71"/>
        <v>0</v>
      </c>
      <c r="E560">
        <f t="shared" si="72"/>
        <v>1</v>
      </c>
      <c r="F560">
        <f t="shared" si="78"/>
        <v>1</v>
      </c>
      <c r="G560">
        <f t="shared" si="73"/>
        <v>9</v>
      </c>
      <c r="H560">
        <f t="shared" si="74"/>
        <v>14</v>
      </c>
      <c r="I560">
        <f t="shared" si="75"/>
        <v>90</v>
      </c>
      <c r="J560" t="str">
        <f t="shared" si="76"/>
        <v>Half-orcAssassinBra</v>
      </c>
    </row>
    <row r="561" spans="1:10" x14ac:dyDescent="0.3">
      <c r="A561" s="1" t="str">
        <f t="shared" si="77"/>
        <v>Half-orc</v>
      </c>
      <c r="B561" s="1" t="s">
        <v>12</v>
      </c>
      <c r="C561" s="1" t="s">
        <v>7</v>
      </c>
      <c r="D561">
        <f t="shared" si="71"/>
        <v>0</v>
      </c>
      <c r="E561">
        <f t="shared" si="72"/>
        <v>-1</v>
      </c>
      <c r="F561">
        <f t="shared" si="78"/>
        <v>-1</v>
      </c>
      <c r="G561">
        <f t="shared" si="73"/>
        <v>13</v>
      </c>
      <c r="H561">
        <f t="shared" si="74"/>
        <v>0</v>
      </c>
      <c r="I561">
        <f t="shared" si="75"/>
        <v>70</v>
      </c>
      <c r="J561" t="str">
        <f t="shared" si="76"/>
        <v>Half-orcAssassinHP</v>
      </c>
    </row>
    <row r="562" spans="1:10" x14ac:dyDescent="0.3">
      <c r="A562" s="1" t="str">
        <f t="shared" si="77"/>
        <v>Half-orc</v>
      </c>
      <c r="B562" s="1" t="s">
        <v>13</v>
      </c>
      <c r="C562" s="1" t="s">
        <v>0</v>
      </c>
      <c r="D562">
        <f t="shared" si="71"/>
        <v>-1</v>
      </c>
      <c r="E562">
        <f t="shared" si="72"/>
        <v>-5</v>
      </c>
      <c r="F562">
        <f t="shared" si="78"/>
        <v>-6</v>
      </c>
      <c r="G562">
        <f t="shared" si="73"/>
        <v>28</v>
      </c>
      <c r="H562">
        <f t="shared" si="74"/>
        <v>0</v>
      </c>
      <c r="I562">
        <f t="shared" si="75"/>
        <v>15</v>
      </c>
      <c r="J562" t="str">
        <f t="shared" si="76"/>
        <v>Half-orcThiefMag</v>
      </c>
    </row>
    <row r="563" spans="1:10" x14ac:dyDescent="0.3">
      <c r="A563" s="1" t="str">
        <f t="shared" si="77"/>
        <v>Half-orc</v>
      </c>
      <c r="B563" s="1" t="s">
        <v>13</v>
      </c>
      <c r="C563" s="1" t="s">
        <v>1</v>
      </c>
      <c r="D563">
        <f t="shared" si="71"/>
        <v>1</v>
      </c>
      <c r="E563">
        <f t="shared" si="72"/>
        <v>-7</v>
      </c>
      <c r="F563">
        <f t="shared" si="78"/>
        <v>-6</v>
      </c>
      <c r="G563">
        <f t="shared" si="73"/>
        <v>28</v>
      </c>
      <c r="H563">
        <f t="shared" si="74"/>
        <v>0</v>
      </c>
      <c r="I563">
        <f t="shared" si="75"/>
        <v>15</v>
      </c>
      <c r="J563" t="str">
        <f t="shared" si="76"/>
        <v>Half-orcThiefDiv</v>
      </c>
    </row>
    <row r="564" spans="1:10" x14ac:dyDescent="0.3">
      <c r="A564" s="1" t="str">
        <f t="shared" si="77"/>
        <v>Half-orc</v>
      </c>
      <c r="B564" s="1" t="s">
        <v>13</v>
      </c>
      <c r="C564" s="1" t="s">
        <v>2</v>
      </c>
      <c r="D564">
        <f t="shared" si="71"/>
        <v>0</v>
      </c>
      <c r="E564">
        <f t="shared" si="72"/>
        <v>0</v>
      </c>
      <c r="F564">
        <f t="shared" si="78"/>
        <v>0</v>
      </c>
      <c r="G564">
        <f t="shared" si="73"/>
        <v>10</v>
      </c>
      <c r="H564">
        <f t="shared" si="74"/>
        <v>0</v>
      </c>
      <c r="I564">
        <f t="shared" si="75"/>
        <v>80</v>
      </c>
      <c r="J564" t="str">
        <f t="shared" si="76"/>
        <v>Half-orcThiefStr</v>
      </c>
    </row>
    <row r="565" spans="1:10" x14ac:dyDescent="0.3">
      <c r="A565" s="1" t="str">
        <f t="shared" si="77"/>
        <v>Half-orc</v>
      </c>
      <c r="B565" s="1" t="s">
        <v>13</v>
      </c>
      <c r="C565" s="1" t="s">
        <v>3</v>
      </c>
      <c r="D565">
        <f t="shared" si="71"/>
        <v>-2</v>
      </c>
      <c r="E565">
        <f t="shared" si="72"/>
        <v>3</v>
      </c>
      <c r="F565">
        <f t="shared" si="78"/>
        <v>1</v>
      </c>
      <c r="G565">
        <f t="shared" si="73"/>
        <v>9</v>
      </c>
      <c r="H565">
        <f t="shared" si="74"/>
        <v>14</v>
      </c>
      <c r="I565">
        <f t="shared" si="75"/>
        <v>90</v>
      </c>
      <c r="J565" t="str">
        <f t="shared" si="76"/>
        <v>Half-orcThiefDex</v>
      </c>
    </row>
    <row r="566" spans="1:10" x14ac:dyDescent="0.3">
      <c r="A566" s="1" t="str">
        <f t="shared" si="77"/>
        <v>Half-orc</v>
      </c>
      <c r="B566" s="1" t="s">
        <v>13</v>
      </c>
      <c r="C566" s="1" t="s">
        <v>4</v>
      </c>
      <c r="D566">
        <f t="shared" si="71"/>
        <v>2</v>
      </c>
      <c r="E566">
        <f t="shared" si="72"/>
        <v>-1</v>
      </c>
      <c r="F566">
        <f t="shared" si="78"/>
        <v>1</v>
      </c>
      <c r="G566">
        <f t="shared" si="73"/>
        <v>9</v>
      </c>
      <c r="H566">
        <f t="shared" si="74"/>
        <v>14</v>
      </c>
      <c r="I566">
        <f t="shared" si="75"/>
        <v>90</v>
      </c>
      <c r="J566" t="str">
        <f t="shared" si="76"/>
        <v>Half-orcThiefCon</v>
      </c>
    </row>
    <row r="567" spans="1:10" x14ac:dyDescent="0.3">
      <c r="A567" s="1" t="str">
        <f t="shared" si="77"/>
        <v>Half-orc</v>
      </c>
      <c r="B567" s="1" t="s">
        <v>13</v>
      </c>
      <c r="C567" s="1" t="s">
        <v>5</v>
      </c>
      <c r="D567">
        <f t="shared" si="71"/>
        <v>0</v>
      </c>
      <c r="E567">
        <f t="shared" si="72"/>
        <v>-2</v>
      </c>
      <c r="F567">
        <f t="shared" si="78"/>
        <v>-2</v>
      </c>
      <c r="G567">
        <f t="shared" si="73"/>
        <v>16</v>
      </c>
      <c r="H567">
        <f t="shared" si="74"/>
        <v>0</v>
      </c>
      <c r="I567">
        <f t="shared" si="75"/>
        <v>60</v>
      </c>
      <c r="J567" t="str">
        <f t="shared" si="76"/>
        <v>Half-orcThiefCha</v>
      </c>
    </row>
    <row r="568" spans="1:10" x14ac:dyDescent="0.3">
      <c r="A568" s="1" t="str">
        <f t="shared" si="77"/>
        <v>Half-orc</v>
      </c>
      <c r="B568" s="1" t="s">
        <v>13</v>
      </c>
      <c r="C568" s="1" t="s">
        <v>6</v>
      </c>
      <c r="D568">
        <f t="shared" si="71"/>
        <v>0</v>
      </c>
      <c r="E568">
        <f t="shared" si="72"/>
        <v>2</v>
      </c>
      <c r="F568">
        <f t="shared" si="78"/>
        <v>2</v>
      </c>
      <c r="G568">
        <f t="shared" si="73"/>
        <v>8</v>
      </c>
      <c r="H568">
        <f t="shared" si="74"/>
        <v>12</v>
      </c>
      <c r="I568">
        <f t="shared" si="75"/>
        <v>100</v>
      </c>
      <c r="J568" t="str">
        <f t="shared" si="76"/>
        <v>Half-orcThiefBra</v>
      </c>
    </row>
    <row r="569" spans="1:10" x14ac:dyDescent="0.3">
      <c r="A569" s="1" t="str">
        <f t="shared" si="77"/>
        <v>Half-orc</v>
      </c>
      <c r="B569" s="1" t="s">
        <v>13</v>
      </c>
      <c r="C569" s="1" t="s">
        <v>7</v>
      </c>
      <c r="D569">
        <f t="shared" si="71"/>
        <v>0</v>
      </c>
      <c r="E569">
        <f t="shared" si="72"/>
        <v>1</v>
      </c>
      <c r="F569">
        <f t="shared" si="78"/>
        <v>1</v>
      </c>
      <c r="G569">
        <f t="shared" si="73"/>
        <v>9</v>
      </c>
      <c r="H569">
        <f t="shared" si="74"/>
        <v>14</v>
      </c>
      <c r="I569">
        <f t="shared" si="75"/>
        <v>90</v>
      </c>
      <c r="J569" t="str">
        <f t="shared" si="76"/>
        <v>Half-orcThiefHP</v>
      </c>
    </row>
    <row r="570" spans="1:10" x14ac:dyDescent="0.3">
      <c r="A570" s="1" t="str">
        <f t="shared" si="77"/>
        <v>Half-orc</v>
      </c>
      <c r="B570" s="1" t="s">
        <v>14</v>
      </c>
      <c r="C570" s="1" t="s">
        <v>0</v>
      </c>
      <c r="D570">
        <f t="shared" si="71"/>
        <v>-1</v>
      </c>
      <c r="E570">
        <f t="shared" si="72"/>
        <v>-7</v>
      </c>
      <c r="F570">
        <f t="shared" si="78"/>
        <v>-8</v>
      </c>
      <c r="G570">
        <f t="shared" si="73"/>
        <v>31</v>
      </c>
      <c r="H570">
        <f t="shared" si="74"/>
        <v>0</v>
      </c>
      <c r="I570">
        <f t="shared" si="75"/>
        <v>0</v>
      </c>
      <c r="J570" t="str">
        <f t="shared" si="76"/>
        <v>Half-orcDruidMag</v>
      </c>
    </row>
    <row r="571" spans="1:10" x14ac:dyDescent="0.3">
      <c r="A571" s="1" t="str">
        <f t="shared" si="77"/>
        <v>Half-orc</v>
      </c>
      <c r="B571" s="1" t="s">
        <v>14</v>
      </c>
      <c r="C571" s="1" t="s">
        <v>1</v>
      </c>
      <c r="D571">
        <f t="shared" si="71"/>
        <v>1</v>
      </c>
      <c r="E571">
        <f t="shared" si="72"/>
        <v>2</v>
      </c>
      <c r="F571">
        <f t="shared" si="78"/>
        <v>3</v>
      </c>
      <c r="G571">
        <f t="shared" si="73"/>
        <v>7</v>
      </c>
      <c r="H571">
        <f t="shared" si="74"/>
        <v>11</v>
      </c>
      <c r="I571">
        <f t="shared" si="75"/>
        <v>105</v>
      </c>
      <c r="J571" t="str">
        <f t="shared" si="76"/>
        <v>Half-orcDruidDiv</v>
      </c>
    </row>
    <row r="572" spans="1:10" x14ac:dyDescent="0.3">
      <c r="A572" s="1" t="str">
        <f t="shared" si="77"/>
        <v>Half-orc</v>
      </c>
      <c r="B572" s="1" t="s">
        <v>14</v>
      </c>
      <c r="C572" s="1" t="s">
        <v>2</v>
      </c>
      <c r="D572">
        <f t="shared" si="71"/>
        <v>0</v>
      </c>
      <c r="E572">
        <f t="shared" si="72"/>
        <v>-2</v>
      </c>
      <c r="F572">
        <f t="shared" si="78"/>
        <v>-2</v>
      </c>
      <c r="G572">
        <f t="shared" si="73"/>
        <v>16</v>
      </c>
      <c r="H572">
        <f t="shared" si="74"/>
        <v>0</v>
      </c>
      <c r="I572">
        <f t="shared" si="75"/>
        <v>60</v>
      </c>
      <c r="J572" t="str">
        <f t="shared" si="76"/>
        <v>Half-orcDruidStr</v>
      </c>
    </row>
    <row r="573" spans="1:10" x14ac:dyDescent="0.3">
      <c r="A573" s="1" t="str">
        <f t="shared" si="77"/>
        <v>Half-orc</v>
      </c>
      <c r="B573" s="1" t="s">
        <v>14</v>
      </c>
      <c r="C573" s="1" t="s">
        <v>3</v>
      </c>
      <c r="D573">
        <f t="shared" si="71"/>
        <v>-2</v>
      </c>
      <c r="E573">
        <f t="shared" si="72"/>
        <v>0</v>
      </c>
      <c r="F573">
        <f t="shared" si="78"/>
        <v>-2</v>
      </c>
      <c r="G573">
        <f t="shared" si="73"/>
        <v>16</v>
      </c>
      <c r="H573">
        <f t="shared" si="74"/>
        <v>0</v>
      </c>
      <c r="I573">
        <f t="shared" si="75"/>
        <v>60</v>
      </c>
      <c r="J573" t="str">
        <f t="shared" si="76"/>
        <v>Half-orcDruidDex</v>
      </c>
    </row>
    <row r="574" spans="1:10" x14ac:dyDescent="0.3">
      <c r="A574" s="1" t="str">
        <f t="shared" si="77"/>
        <v>Half-orc</v>
      </c>
      <c r="B574" s="1" t="s">
        <v>14</v>
      </c>
      <c r="C574" s="1" t="s">
        <v>4</v>
      </c>
      <c r="D574">
        <f t="shared" si="71"/>
        <v>2</v>
      </c>
      <c r="E574">
        <f t="shared" si="72"/>
        <v>-3</v>
      </c>
      <c r="F574">
        <f t="shared" si="78"/>
        <v>-1</v>
      </c>
      <c r="G574">
        <f t="shared" si="73"/>
        <v>13</v>
      </c>
      <c r="H574">
        <f t="shared" si="74"/>
        <v>0</v>
      </c>
      <c r="I574">
        <f t="shared" si="75"/>
        <v>70</v>
      </c>
      <c r="J574" t="str">
        <f t="shared" si="76"/>
        <v>Half-orcDruidCon</v>
      </c>
    </row>
    <row r="575" spans="1:10" x14ac:dyDescent="0.3">
      <c r="A575" s="1" t="str">
        <f t="shared" si="77"/>
        <v>Half-orc</v>
      </c>
      <c r="B575" s="1" t="s">
        <v>14</v>
      </c>
      <c r="C575" s="1" t="s">
        <v>5</v>
      </c>
      <c r="D575">
        <f t="shared" si="71"/>
        <v>0</v>
      </c>
      <c r="E575">
        <f t="shared" si="72"/>
        <v>1</v>
      </c>
      <c r="F575">
        <f t="shared" si="78"/>
        <v>1</v>
      </c>
      <c r="G575">
        <f t="shared" si="73"/>
        <v>9</v>
      </c>
      <c r="H575">
        <f t="shared" si="74"/>
        <v>14</v>
      </c>
      <c r="I575">
        <f t="shared" si="75"/>
        <v>90</v>
      </c>
      <c r="J575" t="str">
        <f t="shared" si="76"/>
        <v>Half-orcDruidCha</v>
      </c>
    </row>
    <row r="576" spans="1:10" x14ac:dyDescent="0.3">
      <c r="A576" s="1" t="str">
        <f t="shared" si="77"/>
        <v>Half-orc</v>
      </c>
      <c r="B576" s="1" t="s">
        <v>14</v>
      </c>
      <c r="C576" s="1" t="s">
        <v>6</v>
      </c>
      <c r="D576">
        <f t="shared" si="71"/>
        <v>0</v>
      </c>
      <c r="E576">
        <f t="shared" si="72"/>
        <v>3</v>
      </c>
      <c r="F576">
        <f t="shared" si="78"/>
        <v>3</v>
      </c>
      <c r="G576">
        <f t="shared" si="73"/>
        <v>7</v>
      </c>
      <c r="H576">
        <f t="shared" si="74"/>
        <v>11</v>
      </c>
      <c r="I576">
        <f t="shared" si="75"/>
        <v>105</v>
      </c>
      <c r="J576" t="str">
        <f t="shared" si="76"/>
        <v>Half-orcDruidBra</v>
      </c>
    </row>
    <row r="577" spans="1:10" x14ac:dyDescent="0.3">
      <c r="A577" s="1" t="str">
        <f t="shared" si="77"/>
        <v>Half-orc</v>
      </c>
      <c r="B577" s="1" t="s">
        <v>14</v>
      </c>
      <c r="C577" s="1" t="s">
        <v>7</v>
      </c>
      <c r="D577">
        <f t="shared" si="71"/>
        <v>0</v>
      </c>
      <c r="E577">
        <f t="shared" si="72"/>
        <v>-1</v>
      </c>
      <c r="F577">
        <f t="shared" si="78"/>
        <v>-1</v>
      </c>
      <c r="G577">
        <f t="shared" si="73"/>
        <v>13</v>
      </c>
      <c r="H577">
        <f t="shared" si="74"/>
        <v>0</v>
      </c>
      <c r="I577">
        <f t="shared" si="75"/>
        <v>70</v>
      </c>
      <c r="J577" t="str">
        <f t="shared" si="76"/>
        <v>Half-orcDruidHP</v>
      </c>
    </row>
    <row r="578" spans="1:10" x14ac:dyDescent="0.3">
      <c r="A578" s="1" t="str">
        <f t="shared" si="77"/>
        <v>Half-orc</v>
      </c>
      <c r="B578" s="1" t="s">
        <v>31</v>
      </c>
      <c r="C578" s="1" t="s">
        <v>0</v>
      </c>
      <c r="D578">
        <f t="shared" ref="D578:D641" si="79">INDEX(TblRaceValues,MATCH(C578, TblAbilities, 0),MATCH(A578,TblRaces,0))</f>
        <v>-1</v>
      </c>
      <c r="E578">
        <f t="shared" ref="E578:E641" si="80">INDEX(TblProfessionValues,MATCH(C578,TblAbilities,0),MATCH(B578,TblProfessions,0))</f>
        <v>2</v>
      </c>
      <c r="F578">
        <f t="shared" si="78"/>
        <v>1</v>
      </c>
      <c r="G578">
        <f t="shared" ref="G578:G641" si="81">HLOOKUP(MIN(MAX(-7,F578),7),TblPracticeCost,2)</f>
        <v>9</v>
      </c>
      <c r="H578">
        <f t="shared" ref="H578:H641" si="82">HLOOKUP(MIN(MAX(-7,F578),7),TblPracticeCost,3)</f>
        <v>14</v>
      </c>
      <c r="I578">
        <f t="shared" ref="I578:I641" si="83">VLOOKUP(MIN(MAX(-7,F578),7),TblBonusMaxSkill,2)</f>
        <v>90</v>
      </c>
      <c r="J578" t="str">
        <f t="shared" si="76"/>
        <v>Half-orcObsoleteMag</v>
      </c>
    </row>
    <row r="579" spans="1:10" x14ac:dyDescent="0.3">
      <c r="A579" s="1" t="str">
        <f t="shared" si="77"/>
        <v>Half-orc</v>
      </c>
      <c r="B579" s="1" t="s">
        <v>31</v>
      </c>
      <c r="C579" s="1" t="s">
        <v>1</v>
      </c>
      <c r="D579">
        <f t="shared" si="79"/>
        <v>1</v>
      </c>
      <c r="E579">
        <f t="shared" si="80"/>
        <v>2</v>
      </c>
      <c r="F579">
        <f t="shared" si="78"/>
        <v>3</v>
      </c>
      <c r="G579">
        <f t="shared" si="81"/>
        <v>7</v>
      </c>
      <c r="H579">
        <f t="shared" si="82"/>
        <v>11</v>
      </c>
      <c r="I579">
        <f t="shared" si="83"/>
        <v>105</v>
      </c>
      <c r="J579" t="str">
        <f t="shared" ref="J579:J642" si="84">A579&amp;B579&amp;C579</f>
        <v>Half-orcObsoleteDiv</v>
      </c>
    </row>
    <row r="580" spans="1:10" x14ac:dyDescent="0.3">
      <c r="A580" s="1" t="str">
        <f t="shared" si="77"/>
        <v>Half-orc</v>
      </c>
      <c r="B580" s="1" t="s">
        <v>31</v>
      </c>
      <c r="C580" s="1" t="s">
        <v>2</v>
      </c>
      <c r="D580">
        <f t="shared" si="79"/>
        <v>0</v>
      </c>
      <c r="E580">
        <f t="shared" si="80"/>
        <v>-2</v>
      </c>
      <c r="F580">
        <f t="shared" si="78"/>
        <v>-2</v>
      </c>
      <c r="G580">
        <f t="shared" si="81"/>
        <v>16</v>
      </c>
      <c r="H580">
        <f t="shared" si="82"/>
        <v>0</v>
      </c>
      <c r="I580">
        <f t="shared" si="83"/>
        <v>60</v>
      </c>
      <c r="J580" t="str">
        <f t="shared" si="84"/>
        <v>Half-orcObsoleteStr</v>
      </c>
    </row>
    <row r="581" spans="1:10" x14ac:dyDescent="0.3">
      <c r="A581" s="1" t="str">
        <f t="shared" si="77"/>
        <v>Half-orc</v>
      </c>
      <c r="B581" s="1" t="s">
        <v>31</v>
      </c>
      <c r="C581" s="1" t="s">
        <v>3</v>
      </c>
      <c r="D581">
        <f t="shared" si="79"/>
        <v>-2</v>
      </c>
      <c r="E581">
        <f t="shared" si="80"/>
        <v>-1</v>
      </c>
      <c r="F581">
        <f t="shared" si="78"/>
        <v>-3</v>
      </c>
      <c r="G581">
        <f t="shared" si="81"/>
        <v>19</v>
      </c>
      <c r="H581">
        <f t="shared" si="82"/>
        <v>0</v>
      </c>
      <c r="I581">
        <f t="shared" si="83"/>
        <v>50</v>
      </c>
      <c r="J581" t="str">
        <f t="shared" si="84"/>
        <v>Half-orcObsoleteDex</v>
      </c>
    </row>
    <row r="582" spans="1:10" x14ac:dyDescent="0.3">
      <c r="A582" s="1" t="str">
        <f t="shared" si="77"/>
        <v>Half-orc</v>
      </c>
      <c r="B582" s="1" t="s">
        <v>31</v>
      </c>
      <c r="C582" s="1" t="s">
        <v>4</v>
      </c>
      <c r="D582">
        <f t="shared" si="79"/>
        <v>2</v>
      </c>
      <c r="E582">
        <f t="shared" si="80"/>
        <v>-2</v>
      </c>
      <c r="F582">
        <f t="shared" si="78"/>
        <v>0</v>
      </c>
      <c r="G582">
        <f t="shared" si="81"/>
        <v>10</v>
      </c>
      <c r="H582">
        <f t="shared" si="82"/>
        <v>0</v>
      </c>
      <c r="I582">
        <f t="shared" si="83"/>
        <v>80</v>
      </c>
      <c r="J582" t="str">
        <f t="shared" si="84"/>
        <v>Half-orcObsoleteCon</v>
      </c>
    </row>
    <row r="583" spans="1:10" x14ac:dyDescent="0.3">
      <c r="A583" s="1" t="str">
        <f t="shared" si="77"/>
        <v>Half-orc</v>
      </c>
      <c r="B583" s="1" t="s">
        <v>31</v>
      </c>
      <c r="C583" s="1" t="s">
        <v>5</v>
      </c>
      <c r="D583">
        <f t="shared" si="79"/>
        <v>0</v>
      </c>
      <c r="E583">
        <f t="shared" si="80"/>
        <v>1</v>
      </c>
      <c r="F583">
        <f t="shared" si="78"/>
        <v>1</v>
      </c>
      <c r="G583">
        <f t="shared" si="81"/>
        <v>9</v>
      </c>
      <c r="H583">
        <f t="shared" si="82"/>
        <v>14</v>
      </c>
      <c r="I583">
        <f t="shared" si="83"/>
        <v>90</v>
      </c>
      <c r="J583" t="str">
        <f t="shared" si="84"/>
        <v>Half-orcObsoleteCha</v>
      </c>
    </row>
    <row r="584" spans="1:10" x14ac:dyDescent="0.3">
      <c r="A584" s="1" t="str">
        <f t="shared" si="77"/>
        <v>Half-orc</v>
      </c>
      <c r="B584" s="1" t="s">
        <v>31</v>
      </c>
      <c r="C584" s="1" t="s">
        <v>6</v>
      </c>
      <c r="D584">
        <f t="shared" si="79"/>
        <v>0</v>
      </c>
      <c r="E584">
        <f t="shared" si="80"/>
        <v>2</v>
      </c>
      <c r="F584">
        <f t="shared" si="78"/>
        <v>2</v>
      </c>
      <c r="G584">
        <f t="shared" si="81"/>
        <v>8</v>
      </c>
      <c r="H584">
        <f t="shared" si="82"/>
        <v>12</v>
      </c>
      <c r="I584">
        <f t="shared" si="83"/>
        <v>100</v>
      </c>
      <c r="J584" t="str">
        <f t="shared" si="84"/>
        <v>Half-orcObsoleteBra</v>
      </c>
    </row>
    <row r="585" spans="1:10" x14ac:dyDescent="0.3">
      <c r="A585" s="1" t="str">
        <f t="shared" si="77"/>
        <v>Half-orc</v>
      </c>
      <c r="B585" s="1" t="s">
        <v>31</v>
      </c>
      <c r="C585" s="1" t="s">
        <v>7</v>
      </c>
      <c r="D585">
        <f t="shared" si="79"/>
        <v>0</v>
      </c>
      <c r="E585">
        <f t="shared" si="80"/>
        <v>0</v>
      </c>
      <c r="F585">
        <f t="shared" si="78"/>
        <v>0</v>
      </c>
      <c r="G585">
        <f t="shared" si="81"/>
        <v>10</v>
      </c>
      <c r="H585">
        <f t="shared" si="82"/>
        <v>0</v>
      </c>
      <c r="I585">
        <f t="shared" si="83"/>
        <v>80</v>
      </c>
      <c r="J585" t="str">
        <f t="shared" si="84"/>
        <v>Half-orcObsoleteHP</v>
      </c>
    </row>
    <row r="586" spans="1:10" x14ac:dyDescent="0.3">
      <c r="A586" s="1" t="str">
        <f t="shared" si="77"/>
        <v>Half-orc</v>
      </c>
      <c r="B586" s="1" t="s">
        <v>91</v>
      </c>
      <c r="C586" s="1" t="s">
        <v>0</v>
      </c>
      <c r="D586">
        <f t="shared" si="79"/>
        <v>-1</v>
      </c>
      <c r="E586">
        <f t="shared" si="80"/>
        <v>-7</v>
      </c>
      <c r="F586">
        <f t="shared" si="78"/>
        <v>-8</v>
      </c>
      <c r="G586">
        <f t="shared" si="81"/>
        <v>31</v>
      </c>
      <c r="H586">
        <f t="shared" si="82"/>
        <v>0</v>
      </c>
      <c r="I586">
        <f t="shared" si="83"/>
        <v>0</v>
      </c>
      <c r="J586" t="str">
        <f t="shared" si="84"/>
        <v>Half-orcNecromancerMag</v>
      </c>
    </row>
    <row r="587" spans="1:10" x14ac:dyDescent="0.3">
      <c r="A587" s="1" t="str">
        <f t="shared" si="77"/>
        <v>Half-orc</v>
      </c>
      <c r="B587" s="1" t="s">
        <v>91</v>
      </c>
      <c r="C587" s="1" t="s">
        <v>1</v>
      </c>
      <c r="D587">
        <f t="shared" si="79"/>
        <v>1</v>
      </c>
      <c r="E587">
        <f t="shared" si="80"/>
        <v>0</v>
      </c>
      <c r="F587">
        <f t="shared" si="78"/>
        <v>1</v>
      </c>
      <c r="G587">
        <f t="shared" si="81"/>
        <v>9</v>
      </c>
      <c r="H587">
        <f t="shared" si="82"/>
        <v>14</v>
      </c>
      <c r="I587">
        <f t="shared" si="83"/>
        <v>90</v>
      </c>
      <c r="J587" t="str">
        <f t="shared" si="84"/>
        <v>Half-orcNecromancerDiv</v>
      </c>
    </row>
    <row r="588" spans="1:10" x14ac:dyDescent="0.3">
      <c r="A588" s="1" t="str">
        <f t="shared" ref="A588:A625" si="85">A587</f>
        <v>Half-orc</v>
      </c>
      <c r="B588" s="1" t="s">
        <v>91</v>
      </c>
      <c r="C588" s="1" t="s">
        <v>2</v>
      </c>
      <c r="D588">
        <f t="shared" si="79"/>
        <v>0</v>
      </c>
      <c r="E588">
        <f t="shared" si="80"/>
        <v>-1</v>
      </c>
      <c r="F588">
        <f t="shared" si="78"/>
        <v>-1</v>
      </c>
      <c r="G588">
        <f t="shared" si="81"/>
        <v>13</v>
      </c>
      <c r="H588">
        <f t="shared" si="82"/>
        <v>0</v>
      </c>
      <c r="I588">
        <f t="shared" si="83"/>
        <v>70</v>
      </c>
      <c r="J588" t="str">
        <f t="shared" si="84"/>
        <v>Half-orcNecromancerStr</v>
      </c>
    </row>
    <row r="589" spans="1:10" x14ac:dyDescent="0.3">
      <c r="A589" s="1" t="str">
        <f t="shared" si="85"/>
        <v>Half-orc</v>
      </c>
      <c r="B589" s="1" t="s">
        <v>91</v>
      </c>
      <c r="C589" s="1" t="s">
        <v>3</v>
      </c>
      <c r="D589">
        <f t="shared" si="79"/>
        <v>-2</v>
      </c>
      <c r="E589">
        <f t="shared" si="80"/>
        <v>1</v>
      </c>
      <c r="F589">
        <f t="shared" si="78"/>
        <v>-1</v>
      </c>
      <c r="G589">
        <f t="shared" si="81"/>
        <v>13</v>
      </c>
      <c r="H589">
        <f t="shared" si="82"/>
        <v>0</v>
      </c>
      <c r="I589">
        <f t="shared" si="83"/>
        <v>70</v>
      </c>
      <c r="J589" t="str">
        <f t="shared" si="84"/>
        <v>Half-orcNecromancerDex</v>
      </c>
    </row>
    <row r="590" spans="1:10" x14ac:dyDescent="0.3">
      <c r="A590" s="1" t="str">
        <f t="shared" si="85"/>
        <v>Half-orc</v>
      </c>
      <c r="B590" s="1" t="s">
        <v>91</v>
      </c>
      <c r="C590" s="1" t="s">
        <v>4</v>
      </c>
      <c r="D590">
        <f t="shared" si="79"/>
        <v>2</v>
      </c>
      <c r="E590">
        <f t="shared" si="80"/>
        <v>-3</v>
      </c>
      <c r="F590">
        <f t="shared" si="78"/>
        <v>-1</v>
      </c>
      <c r="G590">
        <f t="shared" si="81"/>
        <v>13</v>
      </c>
      <c r="H590">
        <f t="shared" si="82"/>
        <v>0</v>
      </c>
      <c r="I590">
        <f t="shared" si="83"/>
        <v>70</v>
      </c>
      <c r="J590" t="str">
        <f t="shared" si="84"/>
        <v>Half-orcNecromancerCon</v>
      </c>
    </row>
    <row r="591" spans="1:10" x14ac:dyDescent="0.3">
      <c r="A591" s="1" t="str">
        <f t="shared" si="85"/>
        <v>Half-orc</v>
      </c>
      <c r="B591" s="1" t="s">
        <v>91</v>
      </c>
      <c r="C591" s="1" t="s">
        <v>5</v>
      </c>
      <c r="D591">
        <f t="shared" si="79"/>
        <v>0</v>
      </c>
      <c r="E591">
        <f t="shared" si="80"/>
        <v>2</v>
      </c>
      <c r="F591">
        <f t="shared" si="78"/>
        <v>2</v>
      </c>
      <c r="G591">
        <f t="shared" si="81"/>
        <v>8</v>
      </c>
      <c r="H591">
        <f t="shared" si="82"/>
        <v>12</v>
      </c>
      <c r="I591">
        <f t="shared" si="83"/>
        <v>100</v>
      </c>
      <c r="J591" t="str">
        <f t="shared" si="84"/>
        <v>Half-orcNecromancerCha</v>
      </c>
    </row>
    <row r="592" spans="1:10" x14ac:dyDescent="0.3">
      <c r="A592" s="1" t="str">
        <f t="shared" si="85"/>
        <v>Half-orc</v>
      </c>
      <c r="B592" s="1" t="s">
        <v>91</v>
      </c>
      <c r="C592" s="1" t="s">
        <v>6</v>
      </c>
      <c r="D592">
        <f t="shared" si="79"/>
        <v>0</v>
      </c>
      <c r="E592">
        <f t="shared" si="80"/>
        <v>3</v>
      </c>
      <c r="F592">
        <f t="shared" si="78"/>
        <v>3</v>
      </c>
      <c r="G592">
        <f t="shared" si="81"/>
        <v>7</v>
      </c>
      <c r="H592">
        <f t="shared" si="82"/>
        <v>11</v>
      </c>
      <c r="I592">
        <f t="shared" si="83"/>
        <v>105</v>
      </c>
      <c r="J592" t="str">
        <f t="shared" si="84"/>
        <v>Half-orcNecromancerBra</v>
      </c>
    </row>
    <row r="593" spans="1:10" x14ac:dyDescent="0.3">
      <c r="A593" s="1" t="str">
        <f t="shared" si="85"/>
        <v>Half-orc</v>
      </c>
      <c r="B593" s="1" t="s">
        <v>91</v>
      </c>
      <c r="C593" s="1" t="s">
        <v>7</v>
      </c>
      <c r="D593">
        <f t="shared" si="79"/>
        <v>0</v>
      </c>
      <c r="E593">
        <f t="shared" si="80"/>
        <v>-2</v>
      </c>
      <c r="F593">
        <f t="shared" si="78"/>
        <v>-2</v>
      </c>
      <c r="G593">
        <f t="shared" si="81"/>
        <v>16</v>
      </c>
      <c r="H593">
        <f t="shared" si="82"/>
        <v>0</v>
      </c>
      <c r="I593">
        <f t="shared" si="83"/>
        <v>60</v>
      </c>
      <c r="J593" t="str">
        <f t="shared" si="84"/>
        <v>Half-orcNecromancerHP</v>
      </c>
    </row>
    <row r="594" spans="1:10" x14ac:dyDescent="0.3">
      <c r="A594" s="1" t="str">
        <f t="shared" si="85"/>
        <v>Half-orc</v>
      </c>
      <c r="B594" s="1" t="s">
        <v>15</v>
      </c>
      <c r="C594" s="1" t="s">
        <v>0</v>
      </c>
      <c r="D594">
        <f t="shared" si="79"/>
        <v>-1</v>
      </c>
      <c r="E594">
        <f t="shared" si="80"/>
        <v>-7</v>
      </c>
      <c r="F594">
        <f t="shared" si="78"/>
        <v>-8</v>
      </c>
      <c r="G594">
        <f t="shared" si="81"/>
        <v>31</v>
      </c>
      <c r="H594">
        <f t="shared" si="82"/>
        <v>0</v>
      </c>
      <c r="I594">
        <f t="shared" si="83"/>
        <v>0</v>
      </c>
      <c r="J594" t="str">
        <f t="shared" si="84"/>
        <v>Half-orcPriestMag</v>
      </c>
    </row>
    <row r="595" spans="1:10" x14ac:dyDescent="0.3">
      <c r="A595" s="1" t="str">
        <f t="shared" si="85"/>
        <v>Half-orc</v>
      </c>
      <c r="B595" s="1" t="s">
        <v>15</v>
      </c>
      <c r="C595" s="1" t="s">
        <v>1</v>
      </c>
      <c r="D595">
        <f t="shared" si="79"/>
        <v>1</v>
      </c>
      <c r="E595">
        <f t="shared" si="80"/>
        <v>3</v>
      </c>
      <c r="F595">
        <f t="shared" si="78"/>
        <v>4</v>
      </c>
      <c r="G595">
        <f t="shared" si="81"/>
        <v>6</v>
      </c>
      <c r="H595">
        <f t="shared" si="82"/>
        <v>9</v>
      </c>
      <c r="I595">
        <f t="shared" si="83"/>
        <v>108</v>
      </c>
      <c r="J595" t="str">
        <f t="shared" si="84"/>
        <v>Half-orcPriestDiv</v>
      </c>
    </row>
    <row r="596" spans="1:10" x14ac:dyDescent="0.3">
      <c r="A596" s="1" t="str">
        <f t="shared" si="85"/>
        <v>Half-orc</v>
      </c>
      <c r="B596" s="1" t="s">
        <v>15</v>
      </c>
      <c r="C596" s="1" t="s">
        <v>2</v>
      </c>
      <c r="D596">
        <f t="shared" si="79"/>
        <v>0</v>
      </c>
      <c r="E596">
        <f t="shared" si="80"/>
        <v>0</v>
      </c>
      <c r="F596">
        <f t="shared" si="78"/>
        <v>0</v>
      </c>
      <c r="G596">
        <f t="shared" si="81"/>
        <v>10</v>
      </c>
      <c r="H596">
        <f t="shared" si="82"/>
        <v>0</v>
      </c>
      <c r="I596">
        <f t="shared" si="83"/>
        <v>80</v>
      </c>
      <c r="J596" t="str">
        <f t="shared" si="84"/>
        <v>Half-orcPriestStr</v>
      </c>
    </row>
    <row r="597" spans="1:10" x14ac:dyDescent="0.3">
      <c r="A597" s="1" t="str">
        <f t="shared" si="85"/>
        <v>Half-orc</v>
      </c>
      <c r="B597" s="1" t="s">
        <v>15</v>
      </c>
      <c r="C597" s="1" t="s">
        <v>3</v>
      </c>
      <c r="D597">
        <f t="shared" si="79"/>
        <v>-2</v>
      </c>
      <c r="E597">
        <f t="shared" si="80"/>
        <v>-2</v>
      </c>
      <c r="F597">
        <f t="shared" si="78"/>
        <v>-4</v>
      </c>
      <c r="G597">
        <f t="shared" si="81"/>
        <v>22</v>
      </c>
      <c r="H597">
        <f t="shared" si="82"/>
        <v>0</v>
      </c>
      <c r="I597">
        <f t="shared" si="83"/>
        <v>40</v>
      </c>
      <c r="J597" t="str">
        <f t="shared" si="84"/>
        <v>Half-orcPriestDex</v>
      </c>
    </row>
    <row r="598" spans="1:10" x14ac:dyDescent="0.3">
      <c r="A598" s="1" t="str">
        <f t="shared" si="85"/>
        <v>Half-orc</v>
      </c>
      <c r="B598" s="1" t="s">
        <v>15</v>
      </c>
      <c r="C598" s="1" t="s">
        <v>4</v>
      </c>
      <c r="D598">
        <f t="shared" si="79"/>
        <v>2</v>
      </c>
      <c r="E598">
        <f t="shared" si="80"/>
        <v>-3</v>
      </c>
      <c r="F598">
        <f t="shared" si="78"/>
        <v>-1</v>
      </c>
      <c r="G598">
        <f t="shared" si="81"/>
        <v>13</v>
      </c>
      <c r="H598">
        <f t="shared" si="82"/>
        <v>0</v>
      </c>
      <c r="I598">
        <f t="shared" si="83"/>
        <v>70</v>
      </c>
      <c r="J598" t="str">
        <f t="shared" si="84"/>
        <v>Half-orcPriestCon</v>
      </c>
    </row>
    <row r="599" spans="1:10" x14ac:dyDescent="0.3">
      <c r="A599" s="1" t="str">
        <f t="shared" si="85"/>
        <v>Half-orc</v>
      </c>
      <c r="B599" s="1" t="s">
        <v>15</v>
      </c>
      <c r="C599" s="1" t="s">
        <v>5</v>
      </c>
      <c r="D599">
        <f t="shared" si="79"/>
        <v>0</v>
      </c>
      <c r="E599">
        <f t="shared" si="80"/>
        <v>2</v>
      </c>
      <c r="F599">
        <f t="shared" si="78"/>
        <v>2</v>
      </c>
      <c r="G599">
        <f t="shared" si="81"/>
        <v>8</v>
      </c>
      <c r="H599">
        <f t="shared" si="82"/>
        <v>12</v>
      </c>
      <c r="I599">
        <f t="shared" si="83"/>
        <v>100</v>
      </c>
      <c r="J599" t="str">
        <f t="shared" si="84"/>
        <v>Half-orcPriestCha</v>
      </c>
    </row>
    <row r="600" spans="1:10" x14ac:dyDescent="0.3">
      <c r="A600" s="1" t="str">
        <f t="shared" si="85"/>
        <v>Half-orc</v>
      </c>
      <c r="B600" s="1" t="s">
        <v>15</v>
      </c>
      <c r="C600" s="1" t="s">
        <v>6</v>
      </c>
      <c r="D600">
        <f t="shared" si="79"/>
        <v>0</v>
      </c>
      <c r="E600">
        <f t="shared" si="80"/>
        <v>1</v>
      </c>
      <c r="F600">
        <f t="shared" si="78"/>
        <v>1</v>
      </c>
      <c r="G600">
        <f t="shared" si="81"/>
        <v>9</v>
      </c>
      <c r="H600">
        <f t="shared" si="82"/>
        <v>14</v>
      </c>
      <c r="I600">
        <f t="shared" si="83"/>
        <v>90</v>
      </c>
      <c r="J600" t="str">
        <f t="shared" si="84"/>
        <v>Half-orcPriestBra</v>
      </c>
    </row>
    <row r="601" spans="1:10" x14ac:dyDescent="0.3">
      <c r="A601" s="1" t="str">
        <f t="shared" si="85"/>
        <v>Half-orc</v>
      </c>
      <c r="B601" s="1" t="s">
        <v>15</v>
      </c>
      <c r="C601" s="1" t="s">
        <v>7</v>
      </c>
      <c r="D601">
        <f t="shared" si="79"/>
        <v>0</v>
      </c>
      <c r="E601">
        <f t="shared" si="80"/>
        <v>-1</v>
      </c>
      <c r="F601">
        <f t="shared" si="78"/>
        <v>-1</v>
      </c>
      <c r="G601">
        <f t="shared" si="81"/>
        <v>13</v>
      </c>
      <c r="H601">
        <f t="shared" si="82"/>
        <v>0</v>
      </c>
      <c r="I601">
        <f t="shared" si="83"/>
        <v>70</v>
      </c>
      <c r="J601" t="str">
        <f t="shared" si="84"/>
        <v>Half-orcPriestHP</v>
      </c>
    </row>
    <row r="602" spans="1:10" x14ac:dyDescent="0.3">
      <c r="A602" s="1" t="str">
        <f t="shared" si="85"/>
        <v>Half-orc</v>
      </c>
      <c r="B602" s="1" t="s">
        <v>92</v>
      </c>
      <c r="C602" s="1" t="s">
        <v>0</v>
      </c>
      <c r="D602">
        <f t="shared" si="79"/>
        <v>-1</v>
      </c>
      <c r="E602">
        <f t="shared" si="80"/>
        <v>2</v>
      </c>
      <c r="F602">
        <f t="shared" si="78"/>
        <v>1</v>
      </c>
      <c r="G602">
        <f t="shared" si="81"/>
        <v>9</v>
      </c>
      <c r="H602">
        <f t="shared" si="82"/>
        <v>14</v>
      </c>
      <c r="I602">
        <f t="shared" si="83"/>
        <v>90</v>
      </c>
      <c r="J602" t="str">
        <f t="shared" si="84"/>
        <v>Half-orcMageMag</v>
      </c>
    </row>
    <row r="603" spans="1:10" x14ac:dyDescent="0.3">
      <c r="A603" s="1" t="str">
        <f t="shared" si="85"/>
        <v>Half-orc</v>
      </c>
      <c r="B603" s="1" t="s">
        <v>92</v>
      </c>
      <c r="C603" s="1" t="s">
        <v>1</v>
      </c>
      <c r="D603">
        <f t="shared" si="79"/>
        <v>1</v>
      </c>
      <c r="E603">
        <f t="shared" si="80"/>
        <v>-7</v>
      </c>
      <c r="F603">
        <f t="shared" ref="F603:F666" si="86">E603+D603</f>
        <v>-6</v>
      </c>
      <c r="G603">
        <f t="shared" si="81"/>
        <v>28</v>
      </c>
      <c r="H603">
        <f t="shared" si="82"/>
        <v>0</v>
      </c>
      <c r="I603">
        <f t="shared" si="83"/>
        <v>15</v>
      </c>
      <c r="J603" t="str">
        <f t="shared" si="84"/>
        <v>Half-orcMageDiv</v>
      </c>
    </row>
    <row r="604" spans="1:10" x14ac:dyDescent="0.3">
      <c r="A604" s="1" t="str">
        <f t="shared" si="85"/>
        <v>Half-orc</v>
      </c>
      <c r="B604" s="1" t="s">
        <v>92</v>
      </c>
      <c r="C604" s="1" t="s">
        <v>2</v>
      </c>
      <c r="D604">
        <f t="shared" si="79"/>
        <v>0</v>
      </c>
      <c r="E604">
        <f t="shared" si="80"/>
        <v>-3</v>
      </c>
      <c r="F604">
        <f t="shared" si="86"/>
        <v>-3</v>
      </c>
      <c r="G604">
        <f t="shared" si="81"/>
        <v>19</v>
      </c>
      <c r="H604">
        <f t="shared" si="82"/>
        <v>0</v>
      </c>
      <c r="I604">
        <f t="shared" si="83"/>
        <v>50</v>
      </c>
      <c r="J604" t="str">
        <f t="shared" si="84"/>
        <v>Half-orcMageStr</v>
      </c>
    </row>
    <row r="605" spans="1:10" x14ac:dyDescent="0.3">
      <c r="A605" s="1" t="str">
        <f t="shared" si="85"/>
        <v>Half-orc</v>
      </c>
      <c r="B605" s="1" t="s">
        <v>92</v>
      </c>
      <c r="C605" s="1" t="s">
        <v>3</v>
      </c>
      <c r="D605">
        <f t="shared" si="79"/>
        <v>-2</v>
      </c>
      <c r="E605">
        <f t="shared" si="80"/>
        <v>0</v>
      </c>
      <c r="F605">
        <f t="shared" si="86"/>
        <v>-2</v>
      </c>
      <c r="G605">
        <f t="shared" si="81"/>
        <v>16</v>
      </c>
      <c r="H605">
        <f t="shared" si="82"/>
        <v>0</v>
      </c>
      <c r="I605">
        <f t="shared" si="83"/>
        <v>60</v>
      </c>
      <c r="J605" t="str">
        <f t="shared" si="84"/>
        <v>Half-orcMageDex</v>
      </c>
    </row>
    <row r="606" spans="1:10" x14ac:dyDescent="0.3">
      <c r="A606" s="1" t="str">
        <f t="shared" si="85"/>
        <v>Half-orc</v>
      </c>
      <c r="B606" s="1" t="s">
        <v>92</v>
      </c>
      <c r="C606" s="1" t="s">
        <v>4</v>
      </c>
      <c r="D606">
        <f t="shared" si="79"/>
        <v>2</v>
      </c>
      <c r="E606">
        <f t="shared" si="80"/>
        <v>-1</v>
      </c>
      <c r="F606">
        <f t="shared" si="86"/>
        <v>1</v>
      </c>
      <c r="G606">
        <f t="shared" si="81"/>
        <v>9</v>
      </c>
      <c r="H606">
        <f t="shared" si="82"/>
        <v>14</v>
      </c>
      <c r="I606">
        <f t="shared" si="83"/>
        <v>90</v>
      </c>
      <c r="J606" t="str">
        <f t="shared" si="84"/>
        <v>Half-orcMageCon</v>
      </c>
    </row>
    <row r="607" spans="1:10" x14ac:dyDescent="0.3">
      <c r="A607" s="1" t="str">
        <f t="shared" si="85"/>
        <v>Half-orc</v>
      </c>
      <c r="B607" s="1" t="s">
        <v>92</v>
      </c>
      <c r="C607" s="1" t="s">
        <v>5</v>
      </c>
      <c r="D607">
        <f t="shared" si="79"/>
        <v>0</v>
      </c>
      <c r="E607">
        <f t="shared" si="80"/>
        <v>1</v>
      </c>
      <c r="F607">
        <f t="shared" si="86"/>
        <v>1</v>
      </c>
      <c r="G607">
        <f t="shared" si="81"/>
        <v>9</v>
      </c>
      <c r="H607">
        <f t="shared" si="82"/>
        <v>14</v>
      </c>
      <c r="I607">
        <f t="shared" si="83"/>
        <v>90</v>
      </c>
      <c r="J607" t="str">
        <f t="shared" si="84"/>
        <v>Half-orcMageCha</v>
      </c>
    </row>
    <row r="608" spans="1:10" x14ac:dyDescent="0.3">
      <c r="A608" s="1" t="str">
        <f t="shared" si="85"/>
        <v>Half-orc</v>
      </c>
      <c r="B608" s="1" t="s">
        <v>92</v>
      </c>
      <c r="C608" s="1" t="s">
        <v>6</v>
      </c>
      <c r="D608">
        <f t="shared" si="79"/>
        <v>0</v>
      </c>
      <c r="E608">
        <f t="shared" si="80"/>
        <v>3</v>
      </c>
      <c r="F608">
        <f t="shared" si="86"/>
        <v>3</v>
      </c>
      <c r="G608">
        <f t="shared" si="81"/>
        <v>7</v>
      </c>
      <c r="H608">
        <f t="shared" si="82"/>
        <v>11</v>
      </c>
      <c r="I608">
        <f t="shared" si="83"/>
        <v>105</v>
      </c>
      <c r="J608" t="str">
        <f t="shared" si="84"/>
        <v>Half-orcMageBra</v>
      </c>
    </row>
    <row r="609" spans="1:10" x14ac:dyDescent="0.3">
      <c r="A609" s="1" t="str">
        <f t="shared" si="85"/>
        <v>Half-orc</v>
      </c>
      <c r="B609" s="1" t="s">
        <v>92</v>
      </c>
      <c r="C609" s="1" t="s">
        <v>7</v>
      </c>
      <c r="D609">
        <f t="shared" si="79"/>
        <v>0</v>
      </c>
      <c r="E609">
        <f t="shared" si="80"/>
        <v>-2</v>
      </c>
      <c r="F609">
        <f t="shared" si="86"/>
        <v>-2</v>
      </c>
      <c r="G609">
        <f t="shared" si="81"/>
        <v>16</v>
      </c>
      <c r="H609">
        <f t="shared" si="82"/>
        <v>0</v>
      </c>
      <c r="I609">
        <f t="shared" si="83"/>
        <v>60</v>
      </c>
      <c r="J609" t="str">
        <f t="shared" si="84"/>
        <v>Half-orcMageHP</v>
      </c>
    </row>
    <row r="610" spans="1:10" x14ac:dyDescent="0.3">
      <c r="A610" s="1" t="str">
        <f t="shared" si="85"/>
        <v>Half-orc</v>
      </c>
      <c r="B610" s="1" t="s">
        <v>62</v>
      </c>
      <c r="C610" s="1" t="s">
        <v>0</v>
      </c>
      <c r="D610">
        <f t="shared" si="79"/>
        <v>-1</v>
      </c>
      <c r="E610">
        <f t="shared" si="80"/>
        <v>3</v>
      </c>
      <c r="F610">
        <f t="shared" si="86"/>
        <v>2</v>
      </c>
      <c r="G610">
        <f t="shared" si="81"/>
        <v>8</v>
      </c>
      <c r="H610">
        <f t="shared" si="82"/>
        <v>12</v>
      </c>
      <c r="I610">
        <f t="shared" si="83"/>
        <v>100</v>
      </c>
      <c r="J610" t="str">
        <f t="shared" si="84"/>
        <v>Half-orcSorcererMag</v>
      </c>
    </row>
    <row r="611" spans="1:10" x14ac:dyDescent="0.3">
      <c r="A611" s="1" t="str">
        <f t="shared" si="85"/>
        <v>Half-orc</v>
      </c>
      <c r="B611" s="1" t="s">
        <v>62</v>
      </c>
      <c r="C611" s="1" t="s">
        <v>1</v>
      </c>
      <c r="D611">
        <f t="shared" si="79"/>
        <v>1</v>
      </c>
      <c r="E611">
        <f t="shared" si="80"/>
        <v>-7</v>
      </c>
      <c r="F611">
        <f t="shared" si="86"/>
        <v>-6</v>
      </c>
      <c r="G611">
        <f t="shared" si="81"/>
        <v>28</v>
      </c>
      <c r="H611">
        <f t="shared" si="82"/>
        <v>0</v>
      </c>
      <c r="I611">
        <f t="shared" si="83"/>
        <v>15</v>
      </c>
      <c r="J611" t="str">
        <f t="shared" si="84"/>
        <v>Half-orcSorcererDiv</v>
      </c>
    </row>
    <row r="612" spans="1:10" x14ac:dyDescent="0.3">
      <c r="A612" s="1" t="str">
        <f t="shared" si="85"/>
        <v>Half-orc</v>
      </c>
      <c r="B612" s="1" t="s">
        <v>62</v>
      </c>
      <c r="C612" s="1" t="s">
        <v>2</v>
      </c>
      <c r="D612">
        <f t="shared" si="79"/>
        <v>0</v>
      </c>
      <c r="E612">
        <f t="shared" si="80"/>
        <v>-3</v>
      </c>
      <c r="F612">
        <f t="shared" si="86"/>
        <v>-3</v>
      </c>
      <c r="G612">
        <f t="shared" si="81"/>
        <v>19</v>
      </c>
      <c r="H612">
        <f t="shared" si="82"/>
        <v>0</v>
      </c>
      <c r="I612">
        <f t="shared" si="83"/>
        <v>50</v>
      </c>
      <c r="J612" t="str">
        <f t="shared" si="84"/>
        <v>Half-orcSorcererStr</v>
      </c>
    </row>
    <row r="613" spans="1:10" x14ac:dyDescent="0.3">
      <c r="A613" s="1" t="str">
        <f t="shared" si="85"/>
        <v>Half-orc</v>
      </c>
      <c r="B613" s="1" t="s">
        <v>62</v>
      </c>
      <c r="C613" s="1" t="s">
        <v>3</v>
      </c>
      <c r="D613">
        <f t="shared" si="79"/>
        <v>-2</v>
      </c>
      <c r="E613">
        <f t="shared" si="80"/>
        <v>0</v>
      </c>
      <c r="F613">
        <f t="shared" si="86"/>
        <v>-2</v>
      </c>
      <c r="G613">
        <f t="shared" si="81"/>
        <v>16</v>
      </c>
      <c r="H613">
        <f t="shared" si="82"/>
        <v>0</v>
      </c>
      <c r="I613">
        <f t="shared" si="83"/>
        <v>60</v>
      </c>
      <c r="J613" t="str">
        <f t="shared" si="84"/>
        <v>Half-orcSorcererDex</v>
      </c>
    </row>
    <row r="614" spans="1:10" x14ac:dyDescent="0.3">
      <c r="A614" s="1" t="str">
        <f t="shared" si="85"/>
        <v>Half-orc</v>
      </c>
      <c r="B614" s="1" t="s">
        <v>62</v>
      </c>
      <c r="C614" s="1" t="s">
        <v>4</v>
      </c>
      <c r="D614">
        <f t="shared" si="79"/>
        <v>2</v>
      </c>
      <c r="E614">
        <f t="shared" si="80"/>
        <v>-2</v>
      </c>
      <c r="F614">
        <f t="shared" si="86"/>
        <v>0</v>
      </c>
      <c r="G614">
        <f t="shared" si="81"/>
        <v>10</v>
      </c>
      <c r="H614">
        <f t="shared" si="82"/>
        <v>0</v>
      </c>
      <c r="I614">
        <f t="shared" si="83"/>
        <v>80</v>
      </c>
      <c r="J614" t="str">
        <f t="shared" si="84"/>
        <v>Half-orcSorcererCon</v>
      </c>
    </row>
    <row r="615" spans="1:10" x14ac:dyDescent="0.3">
      <c r="A615" s="1" t="str">
        <f t="shared" si="85"/>
        <v>Half-orc</v>
      </c>
      <c r="B615" s="1" t="s">
        <v>62</v>
      </c>
      <c r="C615" s="1" t="s">
        <v>5</v>
      </c>
      <c r="D615">
        <f t="shared" si="79"/>
        <v>0</v>
      </c>
      <c r="E615">
        <f t="shared" si="80"/>
        <v>1</v>
      </c>
      <c r="F615">
        <f t="shared" si="86"/>
        <v>1</v>
      </c>
      <c r="G615">
        <f t="shared" si="81"/>
        <v>9</v>
      </c>
      <c r="H615">
        <f t="shared" si="82"/>
        <v>14</v>
      </c>
      <c r="I615">
        <f t="shared" si="83"/>
        <v>90</v>
      </c>
      <c r="J615" t="str">
        <f t="shared" si="84"/>
        <v>Half-orcSorcererCha</v>
      </c>
    </row>
    <row r="616" spans="1:10" x14ac:dyDescent="0.3">
      <c r="A616" s="1" t="str">
        <f t="shared" si="85"/>
        <v>Half-orc</v>
      </c>
      <c r="B616" s="1" t="s">
        <v>62</v>
      </c>
      <c r="C616" s="1" t="s">
        <v>6</v>
      </c>
      <c r="D616">
        <f t="shared" si="79"/>
        <v>0</v>
      </c>
      <c r="E616">
        <f t="shared" si="80"/>
        <v>2</v>
      </c>
      <c r="F616">
        <f t="shared" si="86"/>
        <v>2</v>
      </c>
      <c r="G616">
        <f t="shared" si="81"/>
        <v>8</v>
      </c>
      <c r="H616">
        <f t="shared" si="82"/>
        <v>12</v>
      </c>
      <c r="I616">
        <f t="shared" si="83"/>
        <v>100</v>
      </c>
      <c r="J616" t="str">
        <f t="shared" si="84"/>
        <v>Half-orcSorcererBra</v>
      </c>
    </row>
    <row r="617" spans="1:10" x14ac:dyDescent="0.3">
      <c r="A617" s="1" t="str">
        <f t="shared" si="85"/>
        <v>Half-orc</v>
      </c>
      <c r="B617" s="1" t="s">
        <v>62</v>
      </c>
      <c r="C617" s="1" t="s">
        <v>7</v>
      </c>
      <c r="D617">
        <f t="shared" si="79"/>
        <v>0</v>
      </c>
      <c r="E617">
        <f t="shared" si="80"/>
        <v>-1</v>
      </c>
      <c r="F617">
        <f t="shared" si="86"/>
        <v>-1</v>
      </c>
      <c r="G617">
        <f t="shared" si="81"/>
        <v>13</v>
      </c>
      <c r="H617">
        <f t="shared" si="82"/>
        <v>0</v>
      </c>
      <c r="I617">
        <f t="shared" si="83"/>
        <v>70</v>
      </c>
      <c r="J617" t="str">
        <f t="shared" si="84"/>
        <v>Half-orcSorcererHP</v>
      </c>
    </row>
    <row r="618" spans="1:10" x14ac:dyDescent="0.3">
      <c r="A618" s="1" t="str">
        <f t="shared" si="85"/>
        <v>Half-orc</v>
      </c>
      <c r="B618" s="1" t="s">
        <v>22</v>
      </c>
      <c r="C618" s="1" t="s">
        <v>0</v>
      </c>
      <c r="D618">
        <f t="shared" si="79"/>
        <v>-1</v>
      </c>
      <c r="E618">
        <f t="shared" si="80"/>
        <v>-5</v>
      </c>
      <c r="F618">
        <f t="shared" si="86"/>
        <v>-6</v>
      </c>
      <c r="G618">
        <f t="shared" si="81"/>
        <v>28</v>
      </c>
      <c r="H618">
        <f t="shared" si="82"/>
        <v>0</v>
      </c>
      <c r="I618">
        <f t="shared" si="83"/>
        <v>15</v>
      </c>
      <c r="J618" t="str">
        <f t="shared" si="84"/>
        <v>Half-orcBarbarianMag</v>
      </c>
    </row>
    <row r="619" spans="1:10" x14ac:dyDescent="0.3">
      <c r="A619" s="1" t="str">
        <f t="shared" si="85"/>
        <v>Half-orc</v>
      </c>
      <c r="B619" s="1" t="s">
        <v>22</v>
      </c>
      <c r="C619" s="1" t="s">
        <v>1</v>
      </c>
      <c r="D619">
        <f t="shared" si="79"/>
        <v>1</v>
      </c>
      <c r="E619">
        <f t="shared" si="80"/>
        <v>-7</v>
      </c>
      <c r="F619">
        <f t="shared" si="86"/>
        <v>-6</v>
      </c>
      <c r="G619">
        <f t="shared" si="81"/>
        <v>28</v>
      </c>
      <c r="H619">
        <f t="shared" si="82"/>
        <v>0</v>
      </c>
      <c r="I619">
        <f t="shared" si="83"/>
        <v>15</v>
      </c>
      <c r="J619" t="str">
        <f t="shared" si="84"/>
        <v>Half-orcBarbarianDiv</v>
      </c>
    </row>
    <row r="620" spans="1:10" x14ac:dyDescent="0.3">
      <c r="A620" s="1" t="str">
        <f t="shared" si="85"/>
        <v>Half-orc</v>
      </c>
      <c r="B620" s="1" t="s">
        <v>22</v>
      </c>
      <c r="C620" s="1" t="s">
        <v>2</v>
      </c>
      <c r="D620">
        <f t="shared" si="79"/>
        <v>0</v>
      </c>
      <c r="E620">
        <f t="shared" si="80"/>
        <v>3</v>
      </c>
      <c r="F620">
        <f t="shared" si="86"/>
        <v>3</v>
      </c>
      <c r="G620">
        <f t="shared" si="81"/>
        <v>7</v>
      </c>
      <c r="H620">
        <f t="shared" si="82"/>
        <v>11</v>
      </c>
      <c r="I620">
        <f t="shared" si="83"/>
        <v>105</v>
      </c>
      <c r="J620" t="str">
        <f t="shared" si="84"/>
        <v>Half-orcBarbarianStr</v>
      </c>
    </row>
    <row r="621" spans="1:10" x14ac:dyDescent="0.3">
      <c r="A621" s="1" t="str">
        <f t="shared" si="85"/>
        <v>Half-orc</v>
      </c>
      <c r="B621" s="1" t="s">
        <v>22</v>
      </c>
      <c r="C621" s="1" t="s">
        <v>3</v>
      </c>
      <c r="D621">
        <f t="shared" si="79"/>
        <v>-2</v>
      </c>
      <c r="E621">
        <f t="shared" si="80"/>
        <v>2</v>
      </c>
      <c r="F621">
        <f t="shared" si="86"/>
        <v>0</v>
      </c>
      <c r="G621">
        <f t="shared" si="81"/>
        <v>10</v>
      </c>
      <c r="H621">
        <f t="shared" si="82"/>
        <v>0</v>
      </c>
      <c r="I621">
        <f t="shared" si="83"/>
        <v>80</v>
      </c>
      <c r="J621" t="str">
        <f t="shared" si="84"/>
        <v>Half-orcBarbarianDex</v>
      </c>
    </row>
    <row r="622" spans="1:10" x14ac:dyDescent="0.3">
      <c r="A622" s="1" t="str">
        <f t="shared" si="85"/>
        <v>Half-orc</v>
      </c>
      <c r="B622" s="1" t="s">
        <v>22</v>
      </c>
      <c r="C622" s="1" t="s">
        <v>4</v>
      </c>
      <c r="D622">
        <f t="shared" si="79"/>
        <v>2</v>
      </c>
      <c r="E622">
        <f t="shared" si="80"/>
        <v>0</v>
      </c>
      <c r="F622">
        <f t="shared" si="86"/>
        <v>2</v>
      </c>
      <c r="G622">
        <f t="shared" si="81"/>
        <v>8</v>
      </c>
      <c r="H622">
        <f t="shared" si="82"/>
        <v>12</v>
      </c>
      <c r="I622">
        <f t="shared" si="83"/>
        <v>100</v>
      </c>
      <c r="J622" t="str">
        <f t="shared" si="84"/>
        <v>Half-orcBarbarianCon</v>
      </c>
    </row>
    <row r="623" spans="1:10" x14ac:dyDescent="0.3">
      <c r="A623" s="1" t="str">
        <f t="shared" si="85"/>
        <v>Half-orc</v>
      </c>
      <c r="B623" s="1" t="s">
        <v>22</v>
      </c>
      <c r="C623" s="1" t="s">
        <v>5</v>
      </c>
      <c r="D623">
        <f t="shared" si="79"/>
        <v>0</v>
      </c>
      <c r="E623">
        <f t="shared" si="80"/>
        <v>-1</v>
      </c>
      <c r="F623">
        <f t="shared" si="86"/>
        <v>-1</v>
      </c>
      <c r="G623">
        <f t="shared" si="81"/>
        <v>13</v>
      </c>
      <c r="H623">
        <f t="shared" si="82"/>
        <v>0</v>
      </c>
      <c r="I623">
        <f t="shared" si="83"/>
        <v>70</v>
      </c>
      <c r="J623" t="str">
        <f t="shared" si="84"/>
        <v>Half-orcBarbarianCha</v>
      </c>
    </row>
    <row r="624" spans="1:10" x14ac:dyDescent="0.3">
      <c r="A624" s="1" t="str">
        <f t="shared" si="85"/>
        <v>Half-orc</v>
      </c>
      <c r="B624" s="1" t="s">
        <v>22</v>
      </c>
      <c r="C624" s="1" t="s">
        <v>6</v>
      </c>
      <c r="D624">
        <f t="shared" si="79"/>
        <v>0</v>
      </c>
      <c r="E624">
        <f t="shared" si="80"/>
        <v>-2</v>
      </c>
      <c r="F624">
        <f t="shared" si="86"/>
        <v>-2</v>
      </c>
      <c r="G624">
        <f t="shared" si="81"/>
        <v>16</v>
      </c>
      <c r="H624">
        <f t="shared" si="82"/>
        <v>0</v>
      </c>
      <c r="I624">
        <f t="shared" si="83"/>
        <v>60</v>
      </c>
      <c r="J624" t="str">
        <f t="shared" si="84"/>
        <v>Half-orcBarbarianBra</v>
      </c>
    </row>
    <row r="625" spans="1:10" x14ac:dyDescent="0.3">
      <c r="A625" s="1" t="str">
        <f t="shared" si="85"/>
        <v>Half-orc</v>
      </c>
      <c r="B625" s="1" t="s">
        <v>22</v>
      </c>
      <c r="C625" s="1" t="s">
        <v>7</v>
      </c>
      <c r="D625">
        <f t="shared" si="79"/>
        <v>0</v>
      </c>
      <c r="E625">
        <f t="shared" si="80"/>
        <v>1</v>
      </c>
      <c r="F625">
        <f t="shared" si="86"/>
        <v>1</v>
      </c>
      <c r="G625">
        <f t="shared" si="81"/>
        <v>9</v>
      </c>
      <c r="H625">
        <f t="shared" si="82"/>
        <v>14</v>
      </c>
      <c r="I625">
        <f t="shared" si="83"/>
        <v>90</v>
      </c>
      <c r="J625" t="str">
        <f t="shared" si="84"/>
        <v>Half-orcBarbarianHP</v>
      </c>
    </row>
    <row r="626" spans="1:10" x14ac:dyDescent="0.3">
      <c r="A626" s="1" t="s">
        <v>43</v>
      </c>
      <c r="B626" s="1" t="s">
        <v>8</v>
      </c>
      <c r="C626" s="1" t="s">
        <v>0</v>
      </c>
      <c r="D626">
        <f t="shared" si="79"/>
        <v>-3</v>
      </c>
      <c r="E626">
        <f t="shared" si="80"/>
        <v>-7</v>
      </c>
      <c r="F626">
        <f t="shared" si="86"/>
        <v>-10</v>
      </c>
      <c r="G626">
        <f t="shared" si="81"/>
        <v>31</v>
      </c>
      <c r="H626">
        <f t="shared" si="82"/>
        <v>0</v>
      </c>
      <c r="I626">
        <f t="shared" si="83"/>
        <v>0</v>
      </c>
      <c r="J626" t="str">
        <f t="shared" si="84"/>
        <v>Half-ogreFighterMag</v>
      </c>
    </row>
    <row r="627" spans="1:10" x14ac:dyDescent="0.3">
      <c r="A627" s="1" t="str">
        <f>A626</f>
        <v>Half-ogre</v>
      </c>
      <c r="B627" s="1" t="s">
        <v>8</v>
      </c>
      <c r="C627" s="1" t="s">
        <v>1</v>
      </c>
      <c r="D627">
        <f t="shared" si="79"/>
        <v>-2</v>
      </c>
      <c r="E627">
        <f t="shared" si="80"/>
        <v>-5</v>
      </c>
      <c r="F627">
        <f t="shared" si="86"/>
        <v>-7</v>
      </c>
      <c r="G627">
        <f t="shared" si="81"/>
        <v>31</v>
      </c>
      <c r="H627">
        <f t="shared" si="82"/>
        <v>0</v>
      </c>
      <c r="I627">
        <f t="shared" si="83"/>
        <v>0</v>
      </c>
      <c r="J627" t="str">
        <f t="shared" si="84"/>
        <v>Half-ogreFighterDiv</v>
      </c>
    </row>
    <row r="628" spans="1:10" x14ac:dyDescent="0.3">
      <c r="A628" s="1" t="str">
        <f t="shared" ref="A628:A691" si="87">A627</f>
        <v>Half-ogre</v>
      </c>
      <c r="B628" s="1" t="s">
        <v>8</v>
      </c>
      <c r="C628" s="1" t="s">
        <v>2</v>
      </c>
      <c r="D628">
        <f t="shared" si="79"/>
        <v>3</v>
      </c>
      <c r="E628">
        <f t="shared" si="80"/>
        <v>2</v>
      </c>
      <c r="F628">
        <f t="shared" si="86"/>
        <v>5</v>
      </c>
      <c r="G628">
        <f t="shared" si="81"/>
        <v>5</v>
      </c>
      <c r="H628">
        <f t="shared" si="82"/>
        <v>8</v>
      </c>
      <c r="I628">
        <f t="shared" si="83"/>
        <v>110</v>
      </c>
      <c r="J628" t="str">
        <f t="shared" si="84"/>
        <v>Half-ogreFighterStr</v>
      </c>
    </row>
    <row r="629" spans="1:10" x14ac:dyDescent="0.3">
      <c r="A629" s="1" t="str">
        <f t="shared" si="87"/>
        <v>Half-ogre</v>
      </c>
      <c r="B629" s="1" t="s">
        <v>8</v>
      </c>
      <c r="C629" s="1" t="s">
        <v>3</v>
      </c>
      <c r="D629">
        <f t="shared" si="79"/>
        <v>-1</v>
      </c>
      <c r="E629">
        <f t="shared" si="80"/>
        <v>0</v>
      </c>
      <c r="F629">
        <f t="shared" si="86"/>
        <v>-1</v>
      </c>
      <c r="G629">
        <f t="shared" si="81"/>
        <v>13</v>
      </c>
      <c r="H629">
        <f t="shared" si="82"/>
        <v>0</v>
      </c>
      <c r="I629">
        <f t="shared" si="83"/>
        <v>70</v>
      </c>
      <c r="J629" t="str">
        <f t="shared" si="84"/>
        <v>Half-ogreFighterDex</v>
      </c>
    </row>
    <row r="630" spans="1:10" x14ac:dyDescent="0.3">
      <c r="A630" s="1" t="str">
        <f t="shared" si="87"/>
        <v>Half-ogre</v>
      </c>
      <c r="B630" s="1" t="s">
        <v>8</v>
      </c>
      <c r="C630" s="1" t="s">
        <v>4</v>
      </c>
      <c r="D630">
        <f t="shared" si="79"/>
        <v>1</v>
      </c>
      <c r="E630">
        <f t="shared" si="80"/>
        <v>1</v>
      </c>
      <c r="F630">
        <f t="shared" si="86"/>
        <v>2</v>
      </c>
      <c r="G630">
        <f t="shared" si="81"/>
        <v>8</v>
      </c>
      <c r="H630">
        <f t="shared" si="82"/>
        <v>12</v>
      </c>
      <c r="I630">
        <f t="shared" si="83"/>
        <v>100</v>
      </c>
      <c r="J630" t="str">
        <f t="shared" si="84"/>
        <v>Half-ogreFighterCon</v>
      </c>
    </row>
    <row r="631" spans="1:10" x14ac:dyDescent="0.3">
      <c r="A631" s="1" t="str">
        <f t="shared" si="87"/>
        <v>Half-ogre</v>
      </c>
      <c r="B631" s="1" t="s">
        <v>8</v>
      </c>
      <c r="C631" s="1" t="s">
        <v>5</v>
      </c>
      <c r="D631">
        <f t="shared" si="79"/>
        <v>0</v>
      </c>
      <c r="E631">
        <f t="shared" si="80"/>
        <v>-2</v>
      </c>
      <c r="F631">
        <f t="shared" si="86"/>
        <v>-2</v>
      </c>
      <c r="G631">
        <f t="shared" si="81"/>
        <v>16</v>
      </c>
      <c r="H631">
        <f t="shared" si="82"/>
        <v>0</v>
      </c>
      <c r="I631">
        <f t="shared" si="83"/>
        <v>60</v>
      </c>
      <c r="J631" t="str">
        <f t="shared" si="84"/>
        <v>Half-ogreFighterCha</v>
      </c>
    </row>
    <row r="632" spans="1:10" x14ac:dyDescent="0.3">
      <c r="A632" s="1" t="str">
        <f t="shared" si="87"/>
        <v>Half-ogre</v>
      </c>
      <c r="B632" s="1" t="s">
        <v>8</v>
      </c>
      <c r="C632" s="1" t="s">
        <v>6</v>
      </c>
      <c r="D632">
        <f t="shared" si="79"/>
        <v>0</v>
      </c>
      <c r="E632">
        <f t="shared" si="80"/>
        <v>-1</v>
      </c>
      <c r="F632">
        <f t="shared" si="86"/>
        <v>-1</v>
      </c>
      <c r="G632">
        <f t="shared" si="81"/>
        <v>13</v>
      </c>
      <c r="H632">
        <f t="shared" si="82"/>
        <v>0</v>
      </c>
      <c r="I632">
        <f t="shared" si="83"/>
        <v>70</v>
      </c>
      <c r="J632" t="str">
        <f t="shared" si="84"/>
        <v>Half-ogreFighterBra</v>
      </c>
    </row>
    <row r="633" spans="1:10" x14ac:dyDescent="0.3">
      <c r="A633" s="1" t="str">
        <f t="shared" si="87"/>
        <v>Half-ogre</v>
      </c>
      <c r="B633" s="1" t="s">
        <v>8</v>
      </c>
      <c r="C633" s="1" t="s">
        <v>7</v>
      </c>
      <c r="D633">
        <f t="shared" si="79"/>
        <v>2</v>
      </c>
      <c r="E633">
        <f t="shared" si="80"/>
        <v>3</v>
      </c>
      <c r="F633">
        <f t="shared" si="86"/>
        <v>5</v>
      </c>
      <c r="G633">
        <f t="shared" si="81"/>
        <v>5</v>
      </c>
      <c r="H633">
        <f t="shared" si="82"/>
        <v>8</v>
      </c>
      <c r="I633">
        <f t="shared" si="83"/>
        <v>110</v>
      </c>
      <c r="J633" t="str">
        <f t="shared" si="84"/>
        <v>Half-ogreFighterHP</v>
      </c>
    </row>
    <row r="634" spans="1:10" x14ac:dyDescent="0.3">
      <c r="A634" s="1" t="str">
        <f t="shared" si="87"/>
        <v>Half-ogre</v>
      </c>
      <c r="B634" s="1" t="s">
        <v>9</v>
      </c>
      <c r="C634" s="1" t="s">
        <v>0</v>
      </c>
      <c r="D634">
        <f t="shared" si="79"/>
        <v>-3</v>
      </c>
      <c r="E634">
        <f t="shared" si="80"/>
        <v>-7</v>
      </c>
      <c r="F634">
        <f t="shared" si="86"/>
        <v>-10</v>
      </c>
      <c r="G634">
        <f t="shared" si="81"/>
        <v>31</v>
      </c>
      <c r="H634">
        <f t="shared" si="82"/>
        <v>0</v>
      </c>
      <c r="I634">
        <f t="shared" si="83"/>
        <v>0</v>
      </c>
      <c r="J634" t="str">
        <f t="shared" si="84"/>
        <v>Half-ogreKnightMag</v>
      </c>
    </row>
    <row r="635" spans="1:10" x14ac:dyDescent="0.3">
      <c r="A635" s="1" t="str">
        <f t="shared" si="87"/>
        <v>Half-ogre</v>
      </c>
      <c r="B635" s="1" t="s">
        <v>9</v>
      </c>
      <c r="C635" s="1" t="s">
        <v>1</v>
      </c>
      <c r="D635">
        <f t="shared" si="79"/>
        <v>-2</v>
      </c>
      <c r="E635">
        <f t="shared" si="80"/>
        <v>0</v>
      </c>
      <c r="F635">
        <f t="shared" si="86"/>
        <v>-2</v>
      </c>
      <c r="G635">
        <f t="shared" si="81"/>
        <v>16</v>
      </c>
      <c r="H635">
        <f t="shared" si="82"/>
        <v>0</v>
      </c>
      <c r="I635">
        <f t="shared" si="83"/>
        <v>60</v>
      </c>
      <c r="J635" t="str">
        <f t="shared" si="84"/>
        <v>Half-ogreKnightDiv</v>
      </c>
    </row>
    <row r="636" spans="1:10" x14ac:dyDescent="0.3">
      <c r="A636" s="1" t="str">
        <f t="shared" si="87"/>
        <v>Half-ogre</v>
      </c>
      <c r="B636" s="1" t="s">
        <v>9</v>
      </c>
      <c r="C636" s="1" t="s">
        <v>2</v>
      </c>
      <c r="D636">
        <f t="shared" si="79"/>
        <v>3</v>
      </c>
      <c r="E636">
        <f t="shared" si="80"/>
        <v>2</v>
      </c>
      <c r="F636">
        <f t="shared" si="86"/>
        <v>5</v>
      </c>
      <c r="G636">
        <f t="shared" si="81"/>
        <v>5</v>
      </c>
      <c r="H636">
        <f t="shared" si="82"/>
        <v>8</v>
      </c>
      <c r="I636">
        <f t="shared" si="83"/>
        <v>110</v>
      </c>
      <c r="J636" t="str">
        <f t="shared" si="84"/>
        <v>Half-ogreKnightStr</v>
      </c>
    </row>
    <row r="637" spans="1:10" x14ac:dyDescent="0.3">
      <c r="A637" s="1" t="str">
        <f t="shared" si="87"/>
        <v>Half-ogre</v>
      </c>
      <c r="B637" s="1" t="s">
        <v>9</v>
      </c>
      <c r="C637" s="1" t="s">
        <v>3</v>
      </c>
      <c r="D637">
        <f t="shared" si="79"/>
        <v>-1</v>
      </c>
      <c r="E637">
        <f t="shared" si="80"/>
        <v>-1</v>
      </c>
      <c r="F637">
        <f t="shared" si="86"/>
        <v>-2</v>
      </c>
      <c r="G637">
        <f t="shared" si="81"/>
        <v>16</v>
      </c>
      <c r="H637">
        <f t="shared" si="82"/>
        <v>0</v>
      </c>
      <c r="I637">
        <f t="shared" si="83"/>
        <v>60</v>
      </c>
      <c r="J637" t="str">
        <f t="shared" si="84"/>
        <v>Half-ogreKnightDex</v>
      </c>
    </row>
    <row r="638" spans="1:10" x14ac:dyDescent="0.3">
      <c r="A638" s="1" t="str">
        <f t="shared" si="87"/>
        <v>Half-ogre</v>
      </c>
      <c r="B638" s="1" t="s">
        <v>9</v>
      </c>
      <c r="C638" s="1" t="s">
        <v>4</v>
      </c>
      <c r="D638">
        <f t="shared" si="79"/>
        <v>1</v>
      </c>
      <c r="E638">
        <f t="shared" si="80"/>
        <v>0</v>
      </c>
      <c r="F638">
        <f t="shared" si="86"/>
        <v>1</v>
      </c>
      <c r="G638">
        <f t="shared" si="81"/>
        <v>9</v>
      </c>
      <c r="H638">
        <f t="shared" si="82"/>
        <v>14</v>
      </c>
      <c r="I638">
        <f t="shared" si="83"/>
        <v>90</v>
      </c>
      <c r="J638" t="str">
        <f t="shared" si="84"/>
        <v>Half-ogreKnightCon</v>
      </c>
    </row>
    <row r="639" spans="1:10" x14ac:dyDescent="0.3">
      <c r="A639" s="1" t="str">
        <f t="shared" si="87"/>
        <v>Half-ogre</v>
      </c>
      <c r="B639" s="1" t="s">
        <v>9</v>
      </c>
      <c r="C639" s="1" t="s">
        <v>5</v>
      </c>
      <c r="D639">
        <f t="shared" si="79"/>
        <v>0</v>
      </c>
      <c r="E639">
        <f t="shared" si="80"/>
        <v>-2</v>
      </c>
      <c r="F639">
        <f t="shared" si="86"/>
        <v>-2</v>
      </c>
      <c r="G639">
        <f t="shared" si="81"/>
        <v>16</v>
      </c>
      <c r="H639">
        <f t="shared" si="82"/>
        <v>0</v>
      </c>
      <c r="I639">
        <f t="shared" si="83"/>
        <v>60</v>
      </c>
      <c r="J639" t="str">
        <f t="shared" si="84"/>
        <v>Half-ogreKnightCha</v>
      </c>
    </row>
    <row r="640" spans="1:10" x14ac:dyDescent="0.3">
      <c r="A640" s="1" t="str">
        <f t="shared" si="87"/>
        <v>Half-ogre</v>
      </c>
      <c r="B640" s="1" t="s">
        <v>9</v>
      </c>
      <c r="C640" s="1" t="s">
        <v>6</v>
      </c>
      <c r="D640">
        <f t="shared" si="79"/>
        <v>0</v>
      </c>
      <c r="E640">
        <f t="shared" si="80"/>
        <v>0</v>
      </c>
      <c r="F640">
        <f t="shared" si="86"/>
        <v>0</v>
      </c>
      <c r="G640">
        <f t="shared" si="81"/>
        <v>10</v>
      </c>
      <c r="H640">
        <f t="shared" si="82"/>
        <v>0</v>
      </c>
      <c r="I640">
        <f t="shared" si="83"/>
        <v>80</v>
      </c>
      <c r="J640" t="str">
        <f t="shared" si="84"/>
        <v>Half-ogreKnightBra</v>
      </c>
    </row>
    <row r="641" spans="1:10" x14ac:dyDescent="0.3">
      <c r="A641" s="1" t="str">
        <f t="shared" si="87"/>
        <v>Half-ogre</v>
      </c>
      <c r="B641" s="1" t="s">
        <v>9</v>
      </c>
      <c r="C641" s="1" t="s">
        <v>7</v>
      </c>
      <c r="D641">
        <f t="shared" si="79"/>
        <v>2</v>
      </c>
      <c r="E641">
        <f t="shared" si="80"/>
        <v>1</v>
      </c>
      <c r="F641">
        <f t="shared" si="86"/>
        <v>3</v>
      </c>
      <c r="G641">
        <f t="shared" si="81"/>
        <v>7</v>
      </c>
      <c r="H641">
        <f t="shared" si="82"/>
        <v>11</v>
      </c>
      <c r="I641">
        <f t="shared" si="83"/>
        <v>105</v>
      </c>
      <c r="J641" t="str">
        <f t="shared" si="84"/>
        <v>Half-ogreKnightHP</v>
      </c>
    </row>
    <row r="642" spans="1:10" x14ac:dyDescent="0.3">
      <c r="A642" s="1" t="str">
        <f t="shared" si="87"/>
        <v>Half-ogre</v>
      </c>
      <c r="B642" s="1" t="s">
        <v>10</v>
      </c>
      <c r="C642" s="1" t="s">
        <v>0</v>
      </c>
      <c r="D642">
        <f t="shared" ref="D642:D705" si="88">INDEX(TblRaceValues,MATCH(C642, TblAbilities, 0),MATCH(A642,TblRaces,0))</f>
        <v>-3</v>
      </c>
      <c r="E642">
        <f t="shared" ref="E642:E705" si="89">INDEX(TblProfessionValues,MATCH(C642,TblAbilities,0),MATCH(B642,TblProfessions,0))</f>
        <v>-7</v>
      </c>
      <c r="F642">
        <f t="shared" si="86"/>
        <v>-10</v>
      </c>
      <c r="G642">
        <f t="shared" ref="G642:G705" si="90">HLOOKUP(MIN(MAX(-7,F642),7),TblPracticeCost,2)</f>
        <v>31</v>
      </c>
      <c r="H642">
        <f t="shared" ref="H642:H705" si="91">HLOOKUP(MIN(MAX(-7,F642),7),TblPracticeCost,3)</f>
        <v>0</v>
      </c>
      <c r="I642">
        <f t="shared" ref="I642:I705" si="92">VLOOKUP(MIN(MAX(-7,F642),7),TblBonusMaxSkill,2)</f>
        <v>0</v>
      </c>
      <c r="J642" t="str">
        <f t="shared" si="84"/>
        <v>Half-ogrePaladinMag</v>
      </c>
    </row>
    <row r="643" spans="1:10" x14ac:dyDescent="0.3">
      <c r="A643" s="1" t="str">
        <f t="shared" si="87"/>
        <v>Half-ogre</v>
      </c>
      <c r="B643" s="1" t="s">
        <v>10</v>
      </c>
      <c r="C643" s="1" t="s">
        <v>1</v>
      </c>
      <c r="D643">
        <f t="shared" si="88"/>
        <v>-2</v>
      </c>
      <c r="E643">
        <f t="shared" si="89"/>
        <v>0</v>
      </c>
      <c r="F643">
        <f t="shared" si="86"/>
        <v>-2</v>
      </c>
      <c r="G643">
        <f t="shared" si="90"/>
        <v>16</v>
      </c>
      <c r="H643">
        <f t="shared" si="91"/>
        <v>0</v>
      </c>
      <c r="I643">
        <f t="shared" si="92"/>
        <v>60</v>
      </c>
      <c r="J643" t="str">
        <f t="shared" ref="J643:J706" si="93">A643&amp;B643&amp;C643</f>
        <v>Half-ogrePaladinDiv</v>
      </c>
    </row>
    <row r="644" spans="1:10" x14ac:dyDescent="0.3">
      <c r="A644" s="1" t="str">
        <f t="shared" si="87"/>
        <v>Half-ogre</v>
      </c>
      <c r="B644" s="1" t="s">
        <v>10</v>
      </c>
      <c r="C644" s="1" t="s">
        <v>2</v>
      </c>
      <c r="D644">
        <f t="shared" si="88"/>
        <v>3</v>
      </c>
      <c r="E644">
        <f t="shared" si="89"/>
        <v>2</v>
      </c>
      <c r="F644">
        <f t="shared" si="86"/>
        <v>5</v>
      </c>
      <c r="G644">
        <f t="shared" si="90"/>
        <v>5</v>
      </c>
      <c r="H644">
        <f t="shared" si="91"/>
        <v>8</v>
      </c>
      <c r="I644">
        <f t="shared" si="92"/>
        <v>110</v>
      </c>
      <c r="J644" t="str">
        <f t="shared" si="93"/>
        <v>Half-ogrePaladinStr</v>
      </c>
    </row>
    <row r="645" spans="1:10" x14ac:dyDescent="0.3">
      <c r="A645" s="1" t="str">
        <f t="shared" si="87"/>
        <v>Half-ogre</v>
      </c>
      <c r="B645" s="1" t="s">
        <v>10</v>
      </c>
      <c r="C645" s="1" t="s">
        <v>3</v>
      </c>
      <c r="D645">
        <f t="shared" si="88"/>
        <v>-1</v>
      </c>
      <c r="E645">
        <f t="shared" si="89"/>
        <v>-1</v>
      </c>
      <c r="F645">
        <f t="shared" si="86"/>
        <v>-2</v>
      </c>
      <c r="G645">
        <f t="shared" si="90"/>
        <v>16</v>
      </c>
      <c r="H645">
        <f t="shared" si="91"/>
        <v>0</v>
      </c>
      <c r="I645">
        <f t="shared" si="92"/>
        <v>60</v>
      </c>
      <c r="J645" t="str">
        <f t="shared" si="93"/>
        <v>Half-ogrePaladinDex</v>
      </c>
    </row>
    <row r="646" spans="1:10" x14ac:dyDescent="0.3">
      <c r="A646" s="1" t="str">
        <f t="shared" si="87"/>
        <v>Half-ogre</v>
      </c>
      <c r="B646" s="1" t="s">
        <v>10</v>
      </c>
      <c r="C646" s="1" t="s">
        <v>4</v>
      </c>
      <c r="D646">
        <f t="shared" si="88"/>
        <v>1</v>
      </c>
      <c r="E646">
        <f t="shared" si="89"/>
        <v>0</v>
      </c>
      <c r="F646">
        <f t="shared" si="86"/>
        <v>1</v>
      </c>
      <c r="G646">
        <f t="shared" si="90"/>
        <v>9</v>
      </c>
      <c r="H646">
        <f t="shared" si="91"/>
        <v>14</v>
      </c>
      <c r="I646">
        <f t="shared" si="92"/>
        <v>90</v>
      </c>
      <c r="J646" t="str">
        <f t="shared" si="93"/>
        <v>Half-ogrePaladinCon</v>
      </c>
    </row>
    <row r="647" spans="1:10" x14ac:dyDescent="0.3">
      <c r="A647" s="1" t="str">
        <f t="shared" si="87"/>
        <v>Half-ogre</v>
      </c>
      <c r="B647" s="1" t="s">
        <v>10</v>
      </c>
      <c r="C647" s="1" t="s">
        <v>5</v>
      </c>
      <c r="D647">
        <f t="shared" si="88"/>
        <v>0</v>
      </c>
      <c r="E647">
        <f t="shared" si="89"/>
        <v>-2</v>
      </c>
      <c r="F647">
        <f t="shared" si="86"/>
        <v>-2</v>
      </c>
      <c r="G647">
        <f t="shared" si="90"/>
        <v>16</v>
      </c>
      <c r="H647">
        <f t="shared" si="91"/>
        <v>0</v>
      </c>
      <c r="I647">
        <f t="shared" si="92"/>
        <v>60</v>
      </c>
      <c r="J647" t="str">
        <f t="shared" si="93"/>
        <v>Half-ogrePaladinCha</v>
      </c>
    </row>
    <row r="648" spans="1:10" x14ac:dyDescent="0.3">
      <c r="A648" s="1" t="str">
        <f t="shared" si="87"/>
        <v>Half-ogre</v>
      </c>
      <c r="B648" s="1" t="s">
        <v>10</v>
      </c>
      <c r="C648" s="1" t="s">
        <v>6</v>
      </c>
      <c r="D648">
        <f t="shared" si="88"/>
        <v>0</v>
      </c>
      <c r="E648">
        <f t="shared" si="89"/>
        <v>0</v>
      </c>
      <c r="F648">
        <f t="shared" si="86"/>
        <v>0</v>
      </c>
      <c r="G648">
        <f t="shared" si="90"/>
        <v>10</v>
      </c>
      <c r="H648">
        <f t="shared" si="91"/>
        <v>0</v>
      </c>
      <c r="I648">
        <f t="shared" si="92"/>
        <v>80</v>
      </c>
      <c r="J648" t="str">
        <f t="shared" si="93"/>
        <v>Half-ogrePaladinBra</v>
      </c>
    </row>
    <row r="649" spans="1:10" x14ac:dyDescent="0.3">
      <c r="A649" s="1" t="str">
        <f t="shared" si="87"/>
        <v>Half-ogre</v>
      </c>
      <c r="B649" s="1" t="s">
        <v>10</v>
      </c>
      <c r="C649" s="1" t="s">
        <v>7</v>
      </c>
      <c r="D649">
        <f t="shared" si="88"/>
        <v>2</v>
      </c>
      <c r="E649">
        <f t="shared" si="89"/>
        <v>1</v>
      </c>
      <c r="F649">
        <f t="shared" si="86"/>
        <v>3</v>
      </c>
      <c r="G649">
        <f t="shared" si="90"/>
        <v>7</v>
      </c>
      <c r="H649">
        <f t="shared" si="91"/>
        <v>11</v>
      </c>
      <c r="I649">
        <f t="shared" si="92"/>
        <v>105</v>
      </c>
      <c r="J649" t="str">
        <f t="shared" si="93"/>
        <v>Half-ogrePaladinHP</v>
      </c>
    </row>
    <row r="650" spans="1:10" x14ac:dyDescent="0.3">
      <c r="A650" s="1" t="str">
        <f t="shared" si="87"/>
        <v>Half-ogre</v>
      </c>
      <c r="B650" s="1" t="s">
        <v>11</v>
      </c>
      <c r="C650" s="1" t="s">
        <v>0</v>
      </c>
      <c r="D650">
        <f t="shared" si="88"/>
        <v>-3</v>
      </c>
      <c r="E650">
        <f t="shared" si="89"/>
        <v>-7</v>
      </c>
      <c r="F650">
        <f t="shared" si="86"/>
        <v>-10</v>
      </c>
      <c r="G650">
        <f t="shared" si="90"/>
        <v>31</v>
      </c>
      <c r="H650">
        <f t="shared" si="91"/>
        <v>0</v>
      </c>
      <c r="I650">
        <f t="shared" si="92"/>
        <v>0</v>
      </c>
      <c r="J650" t="str">
        <f t="shared" si="93"/>
        <v>Half-ogreRangerMag</v>
      </c>
    </row>
    <row r="651" spans="1:10" x14ac:dyDescent="0.3">
      <c r="A651" s="1" t="str">
        <f t="shared" si="87"/>
        <v>Half-ogre</v>
      </c>
      <c r="B651" s="1" t="s">
        <v>11</v>
      </c>
      <c r="C651" s="1" t="s">
        <v>1</v>
      </c>
      <c r="D651">
        <f t="shared" si="88"/>
        <v>-2</v>
      </c>
      <c r="E651">
        <f t="shared" si="89"/>
        <v>0</v>
      </c>
      <c r="F651">
        <f t="shared" si="86"/>
        <v>-2</v>
      </c>
      <c r="G651">
        <f t="shared" si="90"/>
        <v>16</v>
      </c>
      <c r="H651">
        <f t="shared" si="91"/>
        <v>0</v>
      </c>
      <c r="I651">
        <f t="shared" si="92"/>
        <v>60</v>
      </c>
      <c r="J651" t="str">
        <f t="shared" si="93"/>
        <v>Half-ogreRangerDiv</v>
      </c>
    </row>
    <row r="652" spans="1:10" x14ac:dyDescent="0.3">
      <c r="A652" s="1" t="str">
        <f t="shared" si="87"/>
        <v>Half-ogre</v>
      </c>
      <c r="B652" s="1" t="s">
        <v>11</v>
      </c>
      <c r="C652" s="1" t="s">
        <v>2</v>
      </c>
      <c r="D652">
        <f t="shared" si="88"/>
        <v>3</v>
      </c>
      <c r="E652">
        <f t="shared" si="89"/>
        <v>1</v>
      </c>
      <c r="F652">
        <f t="shared" si="86"/>
        <v>4</v>
      </c>
      <c r="G652">
        <f t="shared" si="90"/>
        <v>6</v>
      </c>
      <c r="H652">
        <f t="shared" si="91"/>
        <v>9</v>
      </c>
      <c r="I652">
        <f t="shared" si="92"/>
        <v>108</v>
      </c>
      <c r="J652" t="str">
        <f t="shared" si="93"/>
        <v>Half-ogreRangerStr</v>
      </c>
    </row>
    <row r="653" spans="1:10" x14ac:dyDescent="0.3">
      <c r="A653" s="1" t="str">
        <f t="shared" si="87"/>
        <v>Half-ogre</v>
      </c>
      <c r="B653" s="1" t="s">
        <v>11</v>
      </c>
      <c r="C653" s="1" t="s">
        <v>3</v>
      </c>
      <c r="D653">
        <f t="shared" si="88"/>
        <v>-1</v>
      </c>
      <c r="E653">
        <f t="shared" si="89"/>
        <v>2</v>
      </c>
      <c r="F653">
        <f t="shared" si="86"/>
        <v>1</v>
      </c>
      <c r="G653">
        <f t="shared" si="90"/>
        <v>9</v>
      </c>
      <c r="H653">
        <f t="shared" si="91"/>
        <v>14</v>
      </c>
      <c r="I653">
        <f t="shared" si="92"/>
        <v>90</v>
      </c>
      <c r="J653" t="str">
        <f t="shared" si="93"/>
        <v>Half-ogreRangerDex</v>
      </c>
    </row>
    <row r="654" spans="1:10" x14ac:dyDescent="0.3">
      <c r="A654" s="1" t="str">
        <f t="shared" si="87"/>
        <v>Half-ogre</v>
      </c>
      <c r="B654" s="1" t="s">
        <v>11</v>
      </c>
      <c r="C654" s="1" t="s">
        <v>4</v>
      </c>
      <c r="D654">
        <f t="shared" si="88"/>
        <v>1</v>
      </c>
      <c r="E654">
        <f t="shared" si="89"/>
        <v>0</v>
      </c>
      <c r="F654">
        <f t="shared" si="86"/>
        <v>1</v>
      </c>
      <c r="G654">
        <f t="shared" si="90"/>
        <v>9</v>
      </c>
      <c r="H654">
        <f t="shared" si="91"/>
        <v>14</v>
      </c>
      <c r="I654">
        <f t="shared" si="92"/>
        <v>90</v>
      </c>
      <c r="J654" t="str">
        <f t="shared" si="93"/>
        <v>Half-ogreRangerCon</v>
      </c>
    </row>
    <row r="655" spans="1:10" x14ac:dyDescent="0.3">
      <c r="A655" s="1" t="str">
        <f t="shared" si="87"/>
        <v>Half-ogre</v>
      </c>
      <c r="B655" s="1" t="s">
        <v>11</v>
      </c>
      <c r="C655" s="1" t="s">
        <v>5</v>
      </c>
      <c r="D655">
        <f t="shared" si="88"/>
        <v>0</v>
      </c>
      <c r="E655">
        <f t="shared" si="89"/>
        <v>-2</v>
      </c>
      <c r="F655">
        <f t="shared" si="86"/>
        <v>-2</v>
      </c>
      <c r="G655">
        <f t="shared" si="90"/>
        <v>16</v>
      </c>
      <c r="H655">
        <f t="shared" si="91"/>
        <v>0</v>
      </c>
      <c r="I655">
        <f t="shared" si="92"/>
        <v>60</v>
      </c>
      <c r="J655" t="str">
        <f t="shared" si="93"/>
        <v>Half-ogreRangerCha</v>
      </c>
    </row>
    <row r="656" spans="1:10" x14ac:dyDescent="0.3">
      <c r="A656" s="1" t="str">
        <f t="shared" si="87"/>
        <v>Half-ogre</v>
      </c>
      <c r="B656" s="1" t="s">
        <v>11</v>
      </c>
      <c r="C656" s="1" t="s">
        <v>6</v>
      </c>
      <c r="D656">
        <f t="shared" si="88"/>
        <v>0</v>
      </c>
      <c r="E656">
        <f t="shared" si="89"/>
        <v>-1</v>
      </c>
      <c r="F656">
        <f t="shared" si="86"/>
        <v>-1</v>
      </c>
      <c r="G656">
        <f t="shared" si="90"/>
        <v>13</v>
      </c>
      <c r="H656">
        <f t="shared" si="91"/>
        <v>0</v>
      </c>
      <c r="I656">
        <f t="shared" si="92"/>
        <v>70</v>
      </c>
      <c r="J656" t="str">
        <f t="shared" si="93"/>
        <v>Half-ogreRangerBra</v>
      </c>
    </row>
    <row r="657" spans="1:10" x14ac:dyDescent="0.3">
      <c r="A657" s="1" t="str">
        <f t="shared" si="87"/>
        <v>Half-ogre</v>
      </c>
      <c r="B657" s="1" t="s">
        <v>11</v>
      </c>
      <c r="C657" s="1" t="s">
        <v>7</v>
      </c>
      <c r="D657">
        <f t="shared" si="88"/>
        <v>2</v>
      </c>
      <c r="E657">
        <f t="shared" si="89"/>
        <v>0</v>
      </c>
      <c r="F657">
        <f t="shared" si="86"/>
        <v>2</v>
      </c>
      <c r="G657">
        <f t="shared" si="90"/>
        <v>8</v>
      </c>
      <c r="H657">
        <f t="shared" si="91"/>
        <v>12</v>
      </c>
      <c r="I657">
        <f t="shared" si="92"/>
        <v>100</v>
      </c>
      <c r="J657" t="str">
        <f t="shared" si="93"/>
        <v>Half-ogreRangerHP</v>
      </c>
    </row>
    <row r="658" spans="1:10" x14ac:dyDescent="0.3">
      <c r="A658" s="1" t="str">
        <f t="shared" si="87"/>
        <v>Half-ogre</v>
      </c>
      <c r="B658" s="1" t="s">
        <v>12</v>
      </c>
      <c r="C658" s="1" t="s">
        <v>0</v>
      </c>
      <c r="D658">
        <f t="shared" si="88"/>
        <v>-3</v>
      </c>
      <c r="E658">
        <f t="shared" si="89"/>
        <v>0</v>
      </c>
      <c r="F658">
        <f t="shared" si="86"/>
        <v>-3</v>
      </c>
      <c r="G658">
        <f t="shared" si="90"/>
        <v>19</v>
      </c>
      <c r="H658">
        <f t="shared" si="91"/>
        <v>0</v>
      </c>
      <c r="I658">
        <f t="shared" si="92"/>
        <v>50</v>
      </c>
      <c r="J658" t="str">
        <f t="shared" si="93"/>
        <v>Half-ogreAssassinMag</v>
      </c>
    </row>
    <row r="659" spans="1:10" x14ac:dyDescent="0.3">
      <c r="A659" s="1" t="str">
        <f t="shared" si="87"/>
        <v>Half-ogre</v>
      </c>
      <c r="B659" s="1" t="s">
        <v>12</v>
      </c>
      <c r="C659" s="1" t="s">
        <v>1</v>
      </c>
      <c r="D659">
        <f t="shared" si="88"/>
        <v>-2</v>
      </c>
      <c r="E659">
        <f t="shared" si="89"/>
        <v>-7</v>
      </c>
      <c r="F659">
        <f t="shared" si="86"/>
        <v>-9</v>
      </c>
      <c r="G659">
        <f t="shared" si="90"/>
        <v>31</v>
      </c>
      <c r="H659">
        <f t="shared" si="91"/>
        <v>0</v>
      </c>
      <c r="I659">
        <f t="shared" si="92"/>
        <v>0</v>
      </c>
      <c r="J659" t="str">
        <f t="shared" si="93"/>
        <v>Half-ogreAssassinDiv</v>
      </c>
    </row>
    <row r="660" spans="1:10" x14ac:dyDescent="0.3">
      <c r="A660" s="1" t="str">
        <f t="shared" si="87"/>
        <v>Half-ogre</v>
      </c>
      <c r="B660" s="1" t="s">
        <v>12</v>
      </c>
      <c r="C660" s="1" t="s">
        <v>2</v>
      </c>
      <c r="D660">
        <f t="shared" si="88"/>
        <v>3</v>
      </c>
      <c r="E660">
        <f t="shared" si="89"/>
        <v>0</v>
      </c>
      <c r="F660">
        <f t="shared" si="86"/>
        <v>3</v>
      </c>
      <c r="G660">
        <f t="shared" si="90"/>
        <v>7</v>
      </c>
      <c r="H660">
        <f t="shared" si="91"/>
        <v>11</v>
      </c>
      <c r="I660">
        <f t="shared" si="92"/>
        <v>105</v>
      </c>
      <c r="J660" t="str">
        <f t="shared" si="93"/>
        <v>Half-ogreAssassinStr</v>
      </c>
    </row>
    <row r="661" spans="1:10" x14ac:dyDescent="0.3">
      <c r="A661" s="1" t="str">
        <f t="shared" si="87"/>
        <v>Half-ogre</v>
      </c>
      <c r="B661" s="1" t="s">
        <v>12</v>
      </c>
      <c r="C661" s="1" t="s">
        <v>3</v>
      </c>
      <c r="D661">
        <f t="shared" si="88"/>
        <v>-1</v>
      </c>
      <c r="E661">
        <f t="shared" si="89"/>
        <v>2</v>
      </c>
      <c r="F661">
        <f t="shared" si="86"/>
        <v>1</v>
      </c>
      <c r="G661">
        <f t="shared" si="90"/>
        <v>9</v>
      </c>
      <c r="H661">
        <f t="shared" si="91"/>
        <v>14</v>
      </c>
      <c r="I661">
        <f t="shared" si="92"/>
        <v>90</v>
      </c>
      <c r="J661" t="str">
        <f t="shared" si="93"/>
        <v>Half-ogreAssassinDex</v>
      </c>
    </row>
    <row r="662" spans="1:10" x14ac:dyDescent="0.3">
      <c r="A662" s="1" t="str">
        <f t="shared" si="87"/>
        <v>Half-ogre</v>
      </c>
      <c r="B662" s="1" t="s">
        <v>12</v>
      </c>
      <c r="C662" s="1" t="s">
        <v>4</v>
      </c>
      <c r="D662">
        <f t="shared" si="88"/>
        <v>1</v>
      </c>
      <c r="E662">
        <f t="shared" si="89"/>
        <v>0</v>
      </c>
      <c r="F662">
        <f t="shared" si="86"/>
        <v>1</v>
      </c>
      <c r="G662">
        <f t="shared" si="90"/>
        <v>9</v>
      </c>
      <c r="H662">
        <f t="shared" si="91"/>
        <v>14</v>
      </c>
      <c r="I662">
        <f t="shared" si="92"/>
        <v>90</v>
      </c>
      <c r="J662" t="str">
        <f t="shared" si="93"/>
        <v>Half-ogreAssassinCon</v>
      </c>
    </row>
    <row r="663" spans="1:10" x14ac:dyDescent="0.3">
      <c r="A663" s="1" t="str">
        <f t="shared" si="87"/>
        <v>Half-ogre</v>
      </c>
      <c r="B663" s="1" t="s">
        <v>12</v>
      </c>
      <c r="C663" s="1" t="s">
        <v>5</v>
      </c>
      <c r="D663">
        <f t="shared" si="88"/>
        <v>0</v>
      </c>
      <c r="E663">
        <f t="shared" si="89"/>
        <v>-2</v>
      </c>
      <c r="F663">
        <f t="shared" si="86"/>
        <v>-2</v>
      </c>
      <c r="G663">
        <f t="shared" si="90"/>
        <v>16</v>
      </c>
      <c r="H663">
        <f t="shared" si="91"/>
        <v>0</v>
      </c>
      <c r="I663">
        <f t="shared" si="92"/>
        <v>60</v>
      </c>
      <c r="J663" t="str">
        <f t="shared" si="93"/>
        <v>Half-ogreAssassinCha</v>
      </c>
    </row>
    <row r="664" spans="1:10" x14ac:dyDescent="0.3">
      <c r="A664" s="1" t="str">
        <f t="shared" si="87"/>
        <v>Half-ogre</v>
      </c>
      <c r="B664" s="1" t="s">
        <v>12</v>
      </c>
      <c r="C664" s="1" t="s">
        <v>6</v>
      </c>
      <c r="D664">
        <f t="shared" si="88"/>
        <v>0</v>
      </c>
      <c r="E664">
        <f t="shared" si="89"/>
        <v>1</v>
      </c>
      <c r="F664">
        <f t="shared" si="86"/>
        <v>1</v>
      </c>
      <c r="G664">
        <f t="shared" si="90"/>
        <v>9</v>
      </c>
      <c r="H664">
        <f t="shared" si="91"/>
        <v>14</v>
      </c>
      <c r="I664">
        <f t="shared" si="92"/>
        <v>90</v>
      </c>
      <c r="J664" t="str">
        <f t="shared" si="93"/>
        <v>Half-ogreAssassinBra</v>
      </c>
    </row>
    <row r="665" spans="1:10" x14ac:dyDescent="0.3">
      <c r="A665" s="1" t="str">
        <f t="shared" si="87"/>
        <v>Half-ogre</v>
      </c>
      <c r="B665" s="1" t="s">
        <v>12</v>
      </c>
      <c r="C665" s="1" t="s">
        <v>7</v>
      </c>
      <c r="D665">
        <f t="shared" si="88"/>
        <v>2</v>
      </c>
      <c r="E665">
        <f t="shared" si="89"/>
        <v>-1</v>
      </c>
      <c r="F665">
        <f t="shared" si="86"/>
        <v>1</v>
      </c>
      <c r="G665">
        <f t="shared" si="90"/>
        <v>9</v>
      </c>
      <c r="H665">
        <f t="shared" si="91"/>
        <v>14</v>
      </c>
      <c r="I665">
        <f t="shared" si="92"/>
        <v>90</v>
      </c>
      <c r="J665" t="str">
        <f t="shared" si="93"/>
        <v>Half-ogreAssassinHP</v>
      </c>
    </row>
    <row r="666" spans="1:10" x14ac:dyDescent="0.3">
      <c r="A666" s="1" t="str">
        <f t="shared" si="87"/>
        <v>Half-ogre</v>
      </c>
      <c r="B666" s="1" t="s">
        <v>13</v>
      </c>
      <c r="C666" s="1" t="s">
        <v>0</v>
      </c>
      <c r="D666">
        <f t="shared" si="88"/>
        <v>-3</v>
      </c>
      <c r="E666">
        <f t="shared" si="89"/>
        <v>-5</v>
      </c>
      <c r="F666">
        <f t="shared" si="86"/>
        <v>-8</v>
      </c>
      <c r="G666">
        <f t="shared" si="90"/>
        <v>31</v>
      </c>
      <c r="H666">
        <f t="shared" si="91"/>
        <v>0</v>
      </c>
      <c r="I666">
        <f t="shared" si="92"/>
        <v>0</v>
      </c>
      <c r="J666" t="str">
        <f t="shared" si="93"/>
        <v>Half-ogreThiefMag</v>
      </c>
    </row>
    <row r="667" spans="1:10" x14ac:dyDescent="0.3">
      <c r="A667" s="1" t="str">
        <f t="shared" si="87"/>
        <v>Half-ogre</v>
      </c>
      <c r="B667" s="1" t="s">
        <v>13</v>
      </c>
      <c r="C667" s="1" t="s">
        <v>1</v>
      </c>
      <c r="D667">
        <f t="shared" si="88"/>
        <v>-2</v>
      </c>
      <c r="E667">
        <f t="shared" si="89"/>
        <v>-7</v>
      </c>
      <c r="F667">
        <f t="shared" ref="F667:F730" si="94">E667+D667</f>
        <v>-9</v>
      </c>
      <c r="G667">
        <f t="shared" si="90"/>
        <v>31</v>
      </c>
      <c r="H667">
        <f t="shared" si="91"/>
        <v>0</v>
      </c>
      <c r="I667">
        <f t="shared" si="92"/>
        <v>0</v>
      </c>
      <c r="J667" t="str">
        <f t="shared" si="93"/>
        <v>Half-ogreThiefDiv</v>
      </c>
    </row>
    <row r="668" spans="1:10" x14ac:dyDescent="0.3">
      <c r="A668" s="1" t="str">
        <f t="shared" si="87"/>
        <v>Half-ogre</v>
      </c>
      <c r="B668" s="1" t="s">
        <v>13</v>
      </c>
      <c r="C668" s="1" t="s">
        <v>2</v>
      </c>
      <c r="D668">
        <f t="shared" si="88"/>
        <v>3</v>
      </c>
      <c r="E668">
        <f t="shared" si="89"/>
        <v>0</v>
      </c>
      <c r="F668">
        <f t="shared" si="94"/>
        <v>3</v>
      </c>
      <c r="G668">
        <f t="shared" si="90"/>
        <v>7</v>
      </c>
      <c r="H668">
        <f t="shared" si="91"/>
        <v>11</v>
      </c>
      <c r="I668">
        <f t="shared" si="92"/>
        <v>105</v>
      </c>
      <c r="J668" t="str">
        <f t="shared" si="93"/>
        <v>Half-ogreThiefStr</v>
      </c>
    </row>
    <row r="669" spans="1:10" x14ac:dyDescent="0.3">
      <c r="A669" s="1" t="str">
        <f t="shared" si="87"/>
        <v>Half-ogre</v>
      </c>
      <c r="B669" s="1" t="s">
        <v>13</v>
      </c>
      <c r="C669" s="1" t="s">
        <v>3</v>
      </c>
      <c r="D669">
        <f t="shared" si="88"/>
        <v>-1</v>
      </c>
      <c r="E669">
        <f t="shared" si="89"/>
        <v>3</v>
      </c>
      <c r="F669">
        <f t="shared" si="94"/>
        <v>2</v>
      </c>
      <c r="G669">
        <f t="shared" si="90"/>
        <v>8</v>
      </c>
      <c r="H669">
        <f t="shared" si="91"/>
        <v>12</v>
      </c>
      <c r="I669">
        <f t="shared" si="92"/>
        <v>100</v>
      </c>
      <c r="J669" t="str">
        <f t="shared" si="93"/>
        <v>Half-ogreThiefDex</v>
      </c>
    </row>
    <row r="670" spans="1:10" x14ac:dyDescent="0.3">
      <c r="A670" s="1" t="str">
        <f t="shared" si="87"/>
        <v>Half-ogre</v>
      </c>
      <c r="B670" s="1" t="s">
        <v>13</v>
      </c>
      <c r="C670" s="1" t="s">
        <v>4</v>
      </c>
      <c r="D670">
        <f t="shared" si="88"/>
        <v>1</v>
      </c>
      <c r="E670">
        <f t="shared" si="89"/>
        <v>-1</v>
      </c>
      <c r="F670">
        <f t="shared" si="94"/>
        <v>0</v>
      </c>
      <c r="G670">
        <f t="shared" si="90"/>
        <v>10</v>
      </c>
      <c r="H670">
        <f t="shared" si="91"/>
        <v>0</v>
      </c>
      <c r="I670">
        <f t="shared" si="92"/>
        <v>80</v>
      </c>
      <c r="J670" t="str">
        <f t="shared" si="93"/>
        <v>Half-ogreThiefCon</v>
      </c>
    </row>
    <row r="671" spans="1:10" x14ac:dyDescent="0.3">
      <c r="A671" s="1" t="str">
        <f t="shared" si="87"/>
        <v>Half-ogre</v>
      </c>
      <c r="B671" s="1" t="s">
        <v>13</v>
      </c>
      <c r="C671" s="1" t="s">
        <v>5</v>
      </c>
      <c r="D671">
        <f t="shared" si="88"/>
        <v>0</v>
      </c>
      <c r="E671">
        <f t="shared" si="89"/>
        <v>-2</v>
      </c>
      <c r="F671">
        <f t="shared" si="94"/>
        <v>-2</v>
      </c>
      <c r="G671">
        <f t="shared" si="90"/>
        <v>16</v>
      </c>
      <c r="H671">
        <f t="shared" si="91"/>
        <v>0</v>
      </c>
      <c r="I671">
        <f t="shared" si="92"/>
        <v>60</v>
      </c>
      <c r="J671" t="str">
        <f t="shared" si="93"/>
        <v>Half-ogreThiefCha</v>
      </c>
    </row>
    <row r="672" spans="1:10" x14ac:dyDescent="0.3">
      <c r="A672" s="1" t="str">
        <f t="shared" si="87"/>
        <v>Half-ogre</v>
      </c>
      <c r="B672" s="1" t="s">
        <v>13</v>
      </c>
      <c r="C672" s="1" t="s">
        <v>6</v>
      </c>
      <c r="D672">
        <f t="shared" si="88"/>
        <v>0</v>
      </c>
      <c r="E672">
        <f t="shared" si="89"/>
        <v>2</v>
      </c>
      <c r="F672">
        <f t="shared" si="94"/>
        <v>2</v>
      </c>
      <c r="G672">
        <f t="shared" si="90"/>
        <v>8</v>
      </c>
      <c r="H672">
        <f t="shared" si="91"/>
        <v>12</v>
      </c>
      <c r="I672">
        <f t="shared" si="92"/>
        <v>100</v>
      </c>
      <c r="J672" t="str">
        <f t="shared" si="93"/>
        <v>Half-ogreThiefBra</v>
      </c>
    </row>
    <row r="673" spans="1:10" x14ac:dyDescent="0.3">
      <c r="A673" s="1" t="str">
        <f t="shared" si="87"/>
        <v>Half-ogre</v>
      </c>
      <c r="B673" s="1" t="s">
        <v>13</v>
      </c>
      <c r="C673" s="1" t="s">
        <v>7</v>
      </c>
      <c r="D673">
        <f t="shared" si="88"/>
        <v>2</v>
      </c>
      <c r="E673">
        <f t="shared" si="89"/>
        <v>1</v>
      </c>
      <c r="F673">
        <f t="shared" si="94"/>
        <v>3</v>
      </c>
      <c r="G673">
        <f t="shared" si="90"/>
        <v>7</v>
      </c>
      <c r="H673">
        <f t="shared" si="91"/>
        <v>11</v>
      </c>
      <c r="I673">
        <f t="shared" si="92"/>
        <v>105</v>
      </c>
      <c r="J673" t="str">
        <f t="shared" si="93"/>
        <v>Half-ogreThiefHP</v>
      </c>
    </row>
    <row r="674" spans="1:10" x14ac:dyDescent="0.3">
      <c r="A674" s="1" t="str">
        <f t="shared" si="87"/>
        <v>Half-ogre</v>
      </c>
      <c r="B674" s="1" t="s">
        <v>14</v>
      </c>
      <c r="C674" s="1" t="s">
        <v>0</v>
      </c>
      <c r="D674">
        <f t="shared" si="88"/>
        <v>-3</v>
      </c>
      <c r="E674">
        <f t="shared" si="89"/>
        <v>-7</v>
      </c>
      <c r="F674">
        <f t="shared" si="94"/>
        <v>-10</v>
      </c>
      <c r="G674">
        <f t="shared" si="90"/>
        <v>31</v>
      </c>
      <c r="H674">
        <f t="shared" si="91"/>
        <v>0</v>
      </c>
      <c r="I674">
        <f t="shared" si="92"/>
        <v>0</v>
      </c>
      <c r="J674" t="str">
        <f t="shared" si="93"/>
        <v>Half-ogreDruidMag</v>
      </c>
    </row>
    <row r="675" spans="1:10" x14ac:dyDescent="0.3">
      <c r="A675" s="1" t="str">
        <f t="shared" si="87"/>
        <v>Half-ogre</v>
      </c>
      <c r="B675" s="1" t="s">
        <v>14</v>
      </c>
      <c r="C675" s="1" t="s">
        <v>1</v>
      </c>
      <c r="D675">
        <f t="shared" si="88"/>
        <v>-2</v>
      </c>
      <c r="E675">
        <f t="shared" si="89"/>
        <v>2</v>
      </c>
      <c r="F675">
        <f t="shared" si="94"/>
        <v>0</v>
      </c>
      <c r="G675">
        <f t="shared" si="90"/>
        <v>10</v>
      </c>
      <c r="H675">
        <f t="shared" si="91"/>
        <v>0</v>
      </c>
      <c r="I675">
        <f t="shared" si="92"/>
        <v>80</v>
      </c>
      <c r="J675" t="str">
        <f t="shared" si="93"/>
        <v>Half-ogreDruidDiv</v>
      </c>
    </row>
    <row r="676" spans="1:10" x14ac:dyDescent="0.3">
      <c r="A676" s="1" t="str">
        <f t="shared" si="87"/>
        <v>Half-ogre</v>
      </c>
      <c r="B676" s="1" t="s">
        <v>14</v>
      </c>
      <c r="C676" s="1" t="s">
        <v>2</v>
      </c>
      <c r="D676">
        <f t="shared" si="88"/>
        <v>3</v>
      </c>
      <c r="E676">
        <f t="shared" si="89"/>
        <v>-2</v>
      </c>
      <c r="F676">
        <f t="shared" si="94"/>
        <v>1</v>
      </c>
      <c r="G676">
        <f t="shared" si="90"/>
        <v>9</v>
      </c>
      <c r="H676">
        <f t="shared" si="91"/>
        <v>14</v>
      </c>
      <c r="I676">
        <f t="shared" si="92"/>
        <v>90</v>
      </c>
      <c r="J676" t="str">
        <f t="shared" si="93"/>
        <v>Half-ogreDruidStr</v>
      </c>
    </row>
    <row r="677" spans="1:10" x14ac:dyDescent="0.3">
      <c r="A677" s="1" t="str">
        <f t="shared" si="87"/>
        <v>Half-ogre</v>
      </c>
      <c r="B677" s="1" t="s">
        <v>14</v>
      </c>
      <c r="C677" s="1" t="s">
        <v>3</v>
      </c>
      <c r="D677">
        <f t="shared" si="88"/>
        <v>-1</v>
      </c>
      <c r="E677">
        <f t="shared" si="89"/>
        <v>0</v>
      </c>
      <c r="F677">
        <f t="shared" si="94"/>
        <v>-1</v>
      </c>
      <c r="G677">
        <f t="shared" si="90"/>
        <v>13</v>
      </c>
      <c r="H677">
        <f t="shared" si="91"/>
        <v>0</v>
      </c>
      <c r="I677">
        <f t="shared" si="92"/>
        <v>70</v>
      </c>
      <c r="J677" t="str">
        <f t="shared" si="93"/>
        <v>Half-ogreDruidDex</v>
      </c>
    </row>
    <row r="678" spans="1:10" x14ac:dyDescent="0.3">
      <c r="A678" s="1" t="str">
        <f t="shared" si="87"/>
        <v>Half-ogre</v>
      </c>
      <c r="B678" s="1" t="s">
        <v>14</v>
      </c>
      <c r="C678" s="1" t="s">
        <v>4</v>
      </c>
      <c r="D678">
        <f t="shared" si="88"/>
        <v>1</v>
      </c>
      <c r="E678">
        <f t="shared" si="89"/>
        <v>-3</v>
      </c>
      <c r="F678">
        <f t="shared" si="94"/>
        <v>-2</v>
      </c>
      <c r="G678">
        <f t="shared" si="90"/>
        <v>16</v>
      </c>
      <c r="H678">
        <f t="shared" si="91"/>
        <v>0</v>
      </c>
      <c r="I678">
        <f t="shared" si="92"/>
        <v>60</v>
      </c>
      <c r="J678" t="str">
        <f t="shared" si="93"/>
        <v>Half-ogreDruidCon</v>
      </c>
    </row>
    <row r="679" spans="1:10" x14ac:dyDescent="0.3">
      <c r="A679" s="1" t="str">
        <f t="shared" si="87"/>
        <v>Half-ogre</v>
      </c>
      <c r="B679" s="1" t="s">
        <v>14</v>
      </c>
      <c r="C679" s="1" t="s">
        <v>5</v>
      </c>
      <c r="D679">
        <f t="shared" si="88"/>
        <v>0</v>
      </c>
      <c r="E679">
        <f t="shared" si="89"/>
        <v>1</v>
      </c>
      <c r="F679">
        <f t="shared" si="94"/>
        <v>1</v>
      </c>
      <c r="G679">
        <f t="shared" si="90"/>
        <v>9</v>
      </c>
      <c r="H679">
        <f t="shared" si="91"/>
        <v>14</v>
      </c>
      <c r="I679">
        <f t="shared" si="92"/>
        <v>90</v>
      </c>
      <c r="J679" t="str">
        <f t="shared" si="93"/>
        <v>Half-ogreDruidCha</v>
      </c>
    </row>
    <row r="680" spans="1:10" x14ac:dyDescent="0.3">
      <c r="A680" s="1" t="str">
        <f t="shared" si="87"/>
        <v>Half-ogre</v>
      </c>
      <c r="B680" s="1" t="s">
        <v>14</v>
      </c>
      <c r="C680" s="1" t="s">
        <v>6</v>
      </c>
      <c r="D680">
        <f t="shared" si="88"/>
        <v>0</v>
      </c>
      <c r="E680">
        <f t="shared" si="89"/>
        <v>3</v>
      </c>
      <c r="F680">
        <f t="shared" si="94"/>
        <v>3</v>
      </c>
      <c r="G680">
        <f t="shared" si="90"/>
        <v>7</v>
      </c>
      <c r="H680">
        <f t="shared" si="91"/>
        <v>11</v>
      </c>
      <c r="I680">
        <f t="shared" si="92"/>
        <v>105</v>
      </c>
      <c r="J680" t="str">
        <f t="shared" si="93"/>
        <v>Half-ogreDruidBra</v>
      </c>
    </row>
    <row r="681" spans="1:10" x14ac:dyDescent="0.3">
      <c r="A681" s="1" t="str">
        <f t="shared" si="87"/>
        <v>Half-ogre</v>
      </c>
      <c r="B681" s="1" t="s">
        <v>14</v>
      </c>
      <c r="C681" s="1" t="s">
        <v>7</v>
      </c>
      <c r="D681">
        <f t="shared" si="88"/>
        <v>2</v>
      </c>
      <c r="E681">
        <f t="shared" si="89"/>
        <v>-1</v>
      </c>
      <c r="F681">
        <f t="shared" si="94"/>
        <v>1</v>
      </c>
      <c r="G681">
        <f t="shared" si="90"/>
        <v>9</v>
      </c>
      <c r="H681">
        <f t="shared" si="91"/>
        <v>14</v>
      </c>
      <c r="I681">
        <f t="shared" si="92"/>
        <v>90</v>
      </c>
      <c r="J681" t="str">
        <f t="shared" si="93"/>
        <v>Half-ogreDruidHP</v>
      </c>
    </row>
    <row r="682" spans="1:10" x14ac:dyDescent="0.3">
      <c r="A682" s="1" t="str">
        <f t="shared" si="87"/>
        <v>Half-ogre</v>
      </c>
      <c r="B682" s="1" t="s">
        <v>31</v>
      </c>
      <c r="C682" s="1" t="s">
        <v>0</v>
      </c>
      <c r="D682">
        <f t="shared" si="88"/>
        <v>-3</v>
      </c>
      <c r="E682">
        <f t="shared" si="89"/>
        <v>2</v>
      </c>
      <c r="F682">
        <f t="shared" si="94"/>
        <v>-1</v>
      </c>
      <c r="G682">
        <f t="shared" si="90"/>
        <v>13</v>
      </c>
      <c r="H682">
        <f t="shared" si="91"/>
        <v>0</v>
      </c>
      <c r="I682">
        <f t="shared" si="92"/>
        <v>70</v>
      </c>
      <c r="J682" t="str">
        <f t="shared" si="93"/>
        <v>Half-ogreObsoleteMag</v>
      </c>
    </row>
    <row r="683" spans="1:10" x14ac:dyDescent="0.3">
      <c r="A683" s="1" t="str">
        <f t="shared" si="87"/>
        <v>Half-ogre</v>
      </c>
      <c r="B683" s="1" t="s">
        <v>31</v>
      </c>
      <c r="C683" s="1" t="s">
        <v>1</v>
      </c>
      <c r="D683">
        <f t="shared" si="88"/>
        <v>-2</v>
      </c>
      <c r="E683">
        <f t="shared" si="89"/>
        <v>2</v>
      </c>
      <c r="F683">
        <f t="shared" si="94"/>
        <v>0</v>
      </c>
      <c r="G683">
        <f t="shared" si="90"/>
        <v>10</v>
      </c>
      <c r="H683">
        <f t="shared" si="91"/>
        <v>0</v>
      </c>
      <c r="I683">
        <f t="shared" si="92"/>
        <v>80</v>
      </c>
      <c r="J683" t="str">
        <f t="shared" si="93"/>
        <v>Half-ogreObsoleteDiv</v>
      </c>
    </row>
    <row r="684" spans="1:10" x14ac:dyDescent="0.3">
      <c r="A684" s="1" t="str">
        <f t="shared" si="87"/>
        <v>Half-ogre</v>
      </c>
      <c r="B684" s="1" t="s">
        <v>31</v>
      </c>
      <c r="C684" s="1" t="s">
        <v>2</v>
      </c>
      <c r="D684">
        <f t="shared" si="88"/>
        <v>3</v>
      </c>
      <c r="E684">
        <f t="shared" si="89"/>
        <v>-2</v>
      </c>
      <c r="F684">
        <f t="shared" si="94"/>
        <v>1</v>
      </c>
      <c r="G684">
        <f t="shared" si="90"/>
        <v>9</v>
      </c>
      <c r="H684">
        <f t="shared" si="91"/>
        <v>14</v>
      </c>
      <c r="I684">
        <f t="shared" si="92"/>
        <v>90</v>
      </c>
      <c r="J684" t="str">
        <f t="shared" si="93"/>
        <v>Half-ogreObsoleteStr</v>
      </c>
    </row>
    <row r="685" spans="1:10" x14ac:dyDescent="0.3">
      <c r="A685" s="1" t="str">
        <f t="shared" si="87"/>
        <v>Half-ogre</v>
      </c>
      <c r="B685" s="1" t="s">
        <v>31</v>
      </c>
      <c r="C685" s="1" t="s">
        <v>3</v>
      </c>
      <c r="D685">
        <f t="shared" si="88"/>
        <v>-1</v>
      </c>
      <c r="E685">
        <f t="shared" si="89"/>
        <v>-1</v>
      </c>
      <c r="F685">
        <f t="shared" si="94"/>
        <v>-2</v>
      </c>
      <c r="G685">
        <f t="shared" si="90"/>
        <v>16</v>
      </c>
      <c r="H685">
        <f t="shared" si="91"/>
        <v>0</v>
      </c>
      <c r="I685">
        <f t="shared" si="92"/>
        <v>60</v>
      </c>
      <c r="J685" t="str">
        <f t="shared" si="93"/>
        <v>Half-ogreObsoleteDex</v>
      </c>
    </row>
    <row r="686" spans="1:10" x14ac:dyDescent="0.3">
      <c r="A686" s="1" t="str">
        <f t="shared" si="87"/>
        <v>Half-ogre</v>
      </c>
      <c r="B686" s="1" t="s">
        <v>31</v>
      </c>
      <c r="C686" s="1" t="s">
        <v>4</v>
      </c>
      <c r="D686">
        <f t="shared" si="88"/>
        <v>1</v>
      </c>
      <c r="E686">
        <f t="shared" si="89"/>
        <v>-2</v>
      </c>
      <c r="F686">
        <f t="shared" si="94"/>
        <v>-1</v>
      </c>
      <c r="G686">
        <f t="shared" si="90"/>
        <v>13</v>
      </c>
      <c r="H686">
        <f t="shared" si="91"/>
        <v>0</v>
      </c>
      <c r="I686">
        <f t="shared" si="92"/>
        <v>70</v>
      </c>
      <c r="J686" t="str">
        <f t="shared" si="93"/>
        <v>Half-ogreObsoleteCon</v>
      </c>
    </row>
    <row r="687" spans="1:10" x14ac:dyDescent="0.3">
      <c r="A687" s="1" t="str">
        <f t="shared" si="87"/>
        <v>Half-ogre</v>
      </c>
      <c r="B687" s="1" t="s">
        <v>31</v>
      </c>
      <c r="C687" s="1" t="s">
        <v>5</v>
      </c>
      <c r="D687">
        <f t="shared" si="88"/>
        <v>0</v>
      </c>
      <c r="E687">
        <f t="shared" si="89"/>
        <v>1</v>
      </c>
      <c r="F687">
        <f t="shared" si="94"/>
        <v>1</v>
      </c>
      <c r="G687">
        <f t="shared" si="90"/>
        <v>9</v>
      </c>
      <c r="H687">
        <f t="shared" si="91"/>
        <v>14</v>
      </c>
      <c r="I687">
        <f t="shared" si="92"/>
        <v>90</v>
      </c>
      <c r="J687" t="str">
        <f t="shared" si="93"/>
        <v>Half-ogreObsoleteCha</v>
      </c>
    </row>
    <row r="688" spans="1:10" x14ac:dyDescent="0.3">
      <c r="A688" s="1" t="str">
        <f t="shared" si="87"/>
        <v>Half-ogre</v>
      </c>
      <c r="B688" s="1" t="s">
        <v>31</v>
      </c>
      <c r="C688" s="1" t="s">
        <v>6</v>
      </c>
      <c r="D688">
        <f t="shared" si="88"/>
        <v>0</v>
      </c>
      <c r="E688">
        <f t="shared" si="89"/>
        <v>2</v>
      </c>
      <c r="F688">
        <f t="shared" si="94"/>
        <v>2</v>
      </c>
      <c r="G688">
        <f t="shared" si="90"/>
        <v>8</v>
      </c>
      <c r="H688">
        <f t="shared" si="91"/>
        <v>12</v>
      </c>
      <c r="I688">
        <f t="shared" si="92"/>
        <v>100</v>
      </c>
      <c r="J688" t="str">
        <f t="shared" si="93"/>
        <v>Half-ogreObsoleteBra</v>
      </c>
    </row>
    <row r="689" spans="1:10" x14ac:dyDescent="0.3">
      <c r="A689" s="1" t="str">
        <f t="shared" si="87"/>
        <v>Half-ogre</v>
      </c>
      <c r="B689" s="1" t="s">
        <v>31</v>
      </c>
      <c r="C689" s="1" t="s">
        <v>7</v>
      </c>
      <c r="D689">
        <f t="shared" si="88"/>
        <v>2</v>
      </c>
      <c r="E689">
        <f t="shared" si="89"/>
        <v>0</v>
      </c>
      <c r="F689">
        <f t="shared" si="94"/>
        <v>2</v>
      </c>
      <c r="G689">
        <f t="shared" si="90"/>
        <v>8</v>
      </c>
      <c r="H689">
        <f t="shared" si="91"/>
        <v>12</v>
      </c>
      <c r="I689">
        <f t="shared" si="92"/>
        <v>100</v>
      </c>
      <c r="J689" t="str">
        <f t="shared" si="93"/>
        <v>Half-ogreObsoleteHP</v>
      </c>
    </row>
    <row r="690" spans="1:10" x14ac:dyDescent="0.3">
      <c r="A690" s="1" t="str">
        <f t="shared" si="87"/>
        <v>Half-ogre</v>
      </c>
      <c r="B690" s="1" t="s">
        <v>91</v>
      </c>
      <c r="C690" s="1" t="s">
        <v>0</v>
      </c>
      <c r="D690">
        <f t="shared" si="88"/>
        <v>-3</v>
      </c>
      <c r="E690">
        <f t="shared" si="89"/>
        <v>-7</v>
      </c>
      <c r="F690">
        <f t="shared" si="94"/>
        <v>-10</v>
      </c>
      <c r="G690">
        <f t="shared" si="90"/>
        <v>31</v>
      </c>
      <c r="H690">
        <f t="shared" si="91"/>
        <v>0</v>
      </c>
      <c r="I690">
        <f t="shared" si="92"/>
        <v>0</v>
      </c>
      <c r="J690" t="str">
        <f t="shared" si="93"/>
        <v>Half-ogreNecromancerMag</v>
      </c>
    </row>
    <row r="691" spans="1:10" x14ac:dyDescent="0.3">
      <c r="A691" s="1" t="str">
        <f t="shared" si="87"/>
        <v>Half-ogre</v>
      </c>
      <c r="B691" s="1" t="s">
        <v>91</v>
      </c>
      <c r="C691" s="1" t="s">
        <v>1</v>
      </c>
      <c r="D691">
        <f t="shared" si="88"/>
        <v>-2</v>
      </c>
      <c r="E691">
        <f t="shared" si="89"/>
        <v>0</v>
      </c>
      <c r="F691">
        <f t="shared" si="94"/>
        <v>-2</v>
      </c>
      <c r="G691">
        <f t="shared" si="90"/>
        <v>16</v>
      </c>
      <c r="H691">
        <f t="shared" si="91"/>
        <v>0</v>
      </c>
      <c r="I691">
        <f t="shared" si="92"/>
        <v>60</v>
      </c>
      <c r="J691" t="str">
        <f t="shared" si="93"/>
        <v>Half-ogreNecromancerDiv</v>
      </c>
    </row>
    <row r="692" spans="1:10" x14ac:dyDescent="0.3">
      <c r="A692" s="1" t="str">
        <f t="shared" ref="A692:A729" si="95">A691</f>
        <v>Half-ogre</v>
      </c>
      <c r="B692" s="1" t="s">
        <v>91</v>
      </c>
      <c r="C692" s="1" t="s">
        <v>2</v>
      </c>
      <c r="D692">
        <f t="shared" si="88"/>
        <v>3</v>
      </c>
      <c r="E692">
        <f t="shared" si="89"/>
        <v>-1</v>
      </c>
      <c r="F692">
        <f t="shared" si="94"/>
        <v>2</v>
      </c>
      <c r="G692">
        <f t="shared" si="90"/>
        <v>8</v>
      </c>
      <c r="H692">
        <f t="shared" si="91"/>
        <v>12</v>
      </c>
      <c r="I692">
        <f t="shared" si="92"/>
        <v>100</v>
      </c>
      <c r="J692" t="str">
        <f t="shared" si="93"/>
        <v>Half-ogreNecromancerStr</v>
      </c>
    </row>
    <row r="693" spans="1:10" x14ac:dyDescent="0.3">
      <c r="A693" s="1" t="str">
        <f t="shared" si="95"/>
        <v>Half-ogre</v>
      </c>
      <c r="B693" s="1" t="s">
        <v>91</v>
      </c>
      <c r="C693" s="1" t="s">
        <v>3</v>
      </c>
      <c r="D693">
        <f t="shared" si="88"/>
        <v>-1</v>
      </c>
      <c r="E693">
        <f t="shared" si="89"/>
        <v>1</v>
      </c>
      <c r="F693">
        <f t="shared" si="94"/>
        <v>0</v>
      </c>
      <c r="G693">
        <f t="shared" si="90"/>
        <v>10</v>
      </c>
      <c r="H693">
        <f t="shared" si="91"/>
        <v>0</v>
      </c>
      <c r="I693">
        <f t="shared" si="92"/>
        <v>80</v>
      </c>
      <c r="J693" t="str">
        <f t="shared" si="93"/>
        <v>Half-ogreNecromancerDex</v>
      </c>
    </row>
    <row r="694" spans="1:10" x14ac:dyDescent="0.3">
      <c r="A694" s="1" t="str">
        <f t="shared" si="95"/>
        <v>Half-ogre</v>
      </c>
      <c r="B694" s="1" t="s">
        <v>91</v>
      </c>
      <c r="C694" s="1" t="s">
        <v>4</v>
      </c>
      <c r="D694">
        <f t="shared" si="88"/>
        <v>1</v>
      </c>
      <c r="E694">
        <f t="shared" si="89"/>
        <v>-3</v>
      </c>
      <c r="F694">
        <f t="shared" si="94"/>
        <v>-2</v>
      </c>
      <c r="G694">
        <f t="shared" si="90"/>
        <v>16</v>
      </c>
      <c r="H694">
        <f t="shared" si="91"/>
        <v>0</v>
      </c>
      <c r="I694">
        <f t="shared" si="92"/>
        <v>60</v>
      </c>
      <c r="J694" t="str">
        <f t="shared" si="93"/>
        <v>Half-ogreNecromancerCon</v>
      </c>
    </row>
    <row r="695" spans="1:10" x14ac:dyDescent="0.3">
      <c r="A695" s="1" t="str">
        <f t="shared" si="95"/>
        <v>Half-ogre</v>
      </c>
      <c r="B695" s="1" t="s">
        <v>91</v>
      </c>
      <c r="C695" s="1" t="s">
        <v>5</v>
      </c>
      <c r="D695">
        <f t="shared" si="88"/>
        <v>0</v>
      </c>
      <c r="E695">
        <f t="shared" si="89"/>
        <v>2</v>
      </c>
      <c r="F695">
        <f t="shared" si="94"/>
        <v>2</v>
      </c>
      <c r="G695">
        <f t="shared" si="90"/>
        <v>8</v>
      </c>
      <c r="H695">
        <f t="shared" si="91"/>
        <v>12</v>
      </c>
      <c r="I695">
        <f t="shared" si="92"/>
        <v>100</v>
      </c>
      <c r="J695" t="str">
        <f t="shared" si="93"/>
        <v>Half-ogreNecromancerCha</v>
      </c>
    </row>
    <row r="696" spans="1:10" x14ac:dyDescent="0.3">
      <c r="A696" s="1" t="str">
        <f t="shared" si="95"/>
        <v>Half-ogre</v>
      </c>
      <c r="B696" s="1" t="s">
        <v>91</v>
      </c>
      <c r="C696" s="1" t="s">
        <v>6</v>
      </c>
      <c r="D696">
        <f t="shared" si="88"/>
        <v>0</v>
      </c>
      <c r="E696">
        <f t="shared" si="89"/>
        <v>3</v>
      </c>
      <c r="F696">
        <f t="shared" si="94"/>
        <v>3</v>
      </c>
      <c r="G696">
        <f t="shared" si="90"/>
        <v>7</v>
      </c>
      <c r="H696">
        <f t="shared" si="91"/>
        <v>11</v>
      </c>
      <c r="I696">
        <f t="shared" si="92"/>
        <v>105</v>
      </c>
      <c r="J696" t="str">
        <f t="shared" si="93"/>
        <v>Half-ogreNecromancerBra</v>
      </c>
    </row>
    <row r="697" spans="1:10" x14ac:dyDescent="0.3">
      <c r="A697" s="1" t="str">
        <f t="shared" si="95"/>
        <v>Half-ogre</v>
      </c>
      <c r="B697" s="1" t="s">
        <v>91</v>
      </c>
      <c r="C697" s="1" t="s">
        <v>7</v>
      </c>
      <c r="D697">
        <f t="shared" si="88"/>
        <v>2</v>
      </c>
      <c r="E697">
        <f t="shared" si="89"/>
        <v>-2</v>
      </c>
      <c r="F697">
        <f t="shared" si="94"/>
        <v>0</v>
      </c>
      <c r="G697">
        <f t="shared" si="90"/>
        <v>10</v>
      </c>
      <c r="H697">
        <f t="shared" si="91"/>
        <v>0</v>
      </c>
      <c r="I697">
        <f t="shared" si="92"/>
        <v>80</v>
      </c>
      <c r="J697" t="str">
        <f t="shared" si="93"/>
        <v>Half-ogreNecromancerHP</v>
      </c>
    </row>
    <row r="698" spans="1:10" x14ac:dyDescent="0.3">
      <c r="A698" s="1" t="str">
        <f t="shared" si="95"/>
        <v>Half-ogre</v>
      </c>
      <c r="B698" s="1" t="s">
        <v>15</v>
      </c>
      <c r="C698" s="1" t="s">
        <v>0</v>
      </c>
      <c r="D698">
        <f t="shared" si="88"/>
        <v>-3</v>
      </c>
      <c r="E698">
        <f t="shared" si="89"/>
        <v>-7</v>
      </c>
      <c r="F698">
        <f t="shared" si="94"/>
        <v>-10</v>
      </c>
      <c r="G698">
        <f t="shared" si="90"/>
        <v>31</v>
      </c>
      <c r="H698">
        <f t="shared" si="91"/>
        <v>0</v>
      </c>
      <c r="I698">
        <f t="shared" si="92"/>
        <v>0</v>
      </c>
      <c r="J698" t="str">
        <f t="shared" si="93"/>
        <v>Half-ogrePriestMag</v>
      </c>
    </row>
    <row r="699" spans="1:10" x14ac:dyDescent="0.3">
      <c r="A699" s="1" t="str">
        <f t="shared" si="95"/>
        <v>Half-ogre</v>
      </c>
      <c r="B699" s="1" t="s">
        <v>15</v>
      </c>
      <c r="C699" s="1" t="s">
        <v>1</v>
      </c>
      <c r="D699">
        <f t="shared" si="88"/>
        <v>-2</v>
      </c>
      <c r="E699">
        <f t="shared" si="89"/>
        <v>3</v>
      </c>
      <c r="F699">
        <f t="shared" si="94"/>
        <v>1</v>
      </c>
      <c r="G699">
        <f t="shared" si="90"/>
        <v>9</v>
      </c>
      <c r="H699">
        <f t="shared" si="91"/>
        <v>14</v>
      </c>
      <c r="I699">
        <f t="shared" si="92"/>
        <v>90</v>
      </c>
      <c r="J699" t="str">
        <f t="shared" si="93"/>
        <v>Half-ogrePriestDiv</v>
      </c>
    </row>
    <row r="700" spans="1:10" x14ac:dyDescent="0.3">
      <c r="A700" s="1" t="str">
        <f t="shared" si="95"/>
        <v>Half-ogre</v>
      </c>
      <c r="B700" s="1" t="s">
        <v>15</v>
      </c>
      <c r="C700" s="1" t="s">
        <v>2</v>
      </c>
      <c r="D700">
        <f t="shared" si="88"/>
        <v>3</v>
      </c>
      <c r="E700">
        <f t="shared" si="89"/>
        <v>0</v>
      </c>
      <c r="F700">
        <f t="shared" si="94"/>
        <v>3</v>
      </c>
      <c r="G700">
        <f t="shared" si="90"/>
        <v>7</v>
      </c>
      <c r="H700">
        <f t="shared" si="91"/>
        <v>11</v>
      </c>
      <c r="I700">
        <f t="shared" si="92"/>
        <v>105</v>
      </c>
      <c r="J700" t="str">
        <f t="shared" si="93"/>
        <v>Half-ogrePriestStr</v>
      </c>
    </row>
    <row r="701" spans="1:10" x14ac:dyDescent="0.3">
      <c r="A701" s="1" t="str">
        <f t="shared" si="95"/>
        <v>Half-ogre</v>
      </c>
      <c r="B701" s="1" t="s">
        <v>15</v>
      </c>
      <c r="C701" s="1" t="s">
        <v>3</v>
      </c>
      <c r="D701">
        <f t="shared" si="88"/>
        <v>-1</v>
      </c>
      <c r="E701">
        <f t="shared" si="89"/>
        <v>-2</v>
      </c>
      <c r="F701">
        <f t="shared" si="94"/>
        <v>-3</v>
      </c>
      <c r="G701">
        <f t="shared" si="90"/>
        <v>19</v>
      </c>
      <c r="H701">
        <f t="shared" si="91"/>
        <v>0</v>
      </c>
      <c r="I701">
        <f t="shared" si="92"/>
        <v>50</v>
      </c>
      <c r="J701" t="str">
        <f t="shared" si="93"/>
        <v>Half-ogrePriestDex</v>
      </c>
    </row>
    <row r="702" spans="1:10" x14ac:dyDescent="0.3">
      <c r="A702" s="1" t="str">
        <f t="shared" si="95"/>
        <v>Half-ogre</v>
      </c>
      <c r="B702" s="1" t="s">
        <v>15</v>
      </c>
      <c r="C702" s="1" t="s">
        <v>4</v>
      </c>
      <c r="D702">
        <f t="shared" si="88"/>
        <v>1</v>
      </c>
      <c r="E702">
        <f t="shared" si="89"/>
        <v>-3</v>
      </c>
      <c r="F702">
        <f t="shared" si="94"/>
        <v>-2</v>
      </c>
      <c r="G702">
        <f t="shared" si="90"/>
        <v>16</v>
      </c>
      <c r="H702">
        <f t="shared" si="91"/>
        <v>0</v>
      </c>
      <c r="I702">
        <f t="shared" si="92"/>
        <v>60</v>
      </c>
      <c r="J702" t="str">
        <f t="shared" si="93"/>
        <v>Half-ogrePriestCon</v>
      </c>
    </row>
    <row r="703" spans="1:10" x14ac:dyDescent="0.3">
      <c r="A703" s="1" t="str">
        <f t="shared" si="95"/>
        <v>Half-ogre</v>
      </c>
      <c r="B703" s="1" t="s">
        <v>15</v>
      </c>
      <c r="C703" s="1" t="s">
        <v>5</v>
      </c>
      <c r="D703">
        <f t="shared" si="88"/>
        <v>0</v>
      </c>
      <c r="E703">
        <f t="shared" si="89"/>
        <v>2</v>
      </c>
      <c r="F703">
        <f t="shared" si="94"/>
        <v>2</v>
      </c>
      <c r="G703">
        <f t="shared" si="90"/>
        <v>8</v>
      </c>
      <c r="H703">
        <f t="shared" si="91"/>
        <v>12</v>
      </c>
      <c r="I703">
        <f t="shared" si="92"/>
        <v>100</v>
      </c>
      <c r="J703" t="str">
        <f t="shared" si="93"/>
        <v>Half-ogrePriestCha</v>
      </c>
    </row>
    <row r="704" spans="1:10" x14ac:dyDescent="0.3">
      <c r="A704" s="1" t="str">
        <f t="shared" si="95"/>
        <v>Half-ogre</v>
      </c>
      <c r="B704" s="1" t="s">
        <v>15</v>
      </c>
      <c r="C704" s="1" t="s">
        <v>6</v>
      </c>
      <c r="D704">
        <f t="shared" si="88"/>
        <v>0</v>
      </c>
      <c r="E704">
        <f t="shared" si="89"/>
        <v>1</v>
      </c>
      <c r="F704">
        <f t="shared" si="94"/>
        <v>1</v>
      </c>
      <c r="G704">
        <f t="shared" si="90"/>
        <v>9</v>
      </c>
      <c r="H704">
        <f t="shared" si="91"/>
        <v>14</v>
      </c>
      <c r="I704">
        <f t="shared" si="92"/>
        <v>90</v>
      </c>
      <c r="J704" t="str">
        <f t="shared" si="93"/>
        <v>Half-ogrePriestBra</v>
      </c>
    </row>
    <row r="705" spans="1:10" x14ac:dyDescent="0.3">
      <c r="A705" s="1" t="str">
        <f t="shared" si="95"/>
        <v>Half-ogre</v>
      </c>
      <c r="B705" s="1" t="s">
        <v>15</v>
      </c>
      <c r="C705" s="1" t="s">
        <v>7</v>
      </c>
      <c r="D705">
        <f t="shared" si="88"/>
        <v>2</v>
      </c>
      <c r="E705">
        <f t="shared" si="89"/>
        <v>-1</v>
      </c>
      <c r="F705">
        <f t="shared" si="94"/>
        <v>1</v>
      </c>
      <c r="G705">
        <f t="shared" si="90"/>
        <v>9</v>
      </c>
      <c r="H705">
        <f t="shared" si="91"/>
        <v>14</v>
      </c>
      <c r="I705">
        <f t="shared" si="92"/>
        <v>90</v>
      </c>
      <c r="J705" t="str">
        <f t="shared" si="93"/>
        <v>Half-ogrePriestHP</v>
      </c>
    </row>
    <row r="706" spans="1:10" x14ac:dyDescent="0.3">
      <c r="A706" s="1" t="str">
        <f t="shared" si="95"/>
        <v>Half-ogre</v>
      </c>
      <c r="B706" s="1" t="s">
        <v>92</v>
      </c>
      <c r="C706" s="1" t="s">
        <v>0</v>
      </c>
      <c r="D706">
        <f t="shared" ref="D706:D769" si="96">INDEX(TblRaceValues,MATCH(C706, TblAbilities, 0),MATCH(A706,TblRaces,0))</f>
        <v>-3</v>
      </c>
      <c r="E706">
        <f t="shared" ref="E706:E769" si="97">INDEX(TblProfessionValues,MATCH(C706,TblAbilities,0),MATCH(B706,TblProfessions,0))</f>
        <v>2</v>
      </c>
      <c r="F706">
        <f t="shared" si="94"/>
        <v>-1</v>
      </c>
      <c r="G706">
        <f t="shared" ref="G706:G769" si="98">HLOOKUP(MIN(MAX(-7,F706),7),TblPracticeCost,2)</f>
        <v>13</v>
      </c>
      <c r="H706">
        <f t="shared" ref="H706:H769" si="99">HLOOKUP(MIN(MAX(-7,F706),7),TblPracticeCost,3)</f>
        <v>0</v>
      </c>
      <c r="I706">
        <f t="shared" ref="I706:I769" si="100">VLOOKUP(MIN(MAX(-7,F706),7),TblBonusMaxSkill,2)</f>
        <v>70</v>
      </c>
      <c r="J706" t="str">
        <f t="shared" si="93"/>
        <v>Half-ogreMageMag</v>
      </c>
    </row>
    <row r="707" spans="1:10" x14ac:dyDescent="0.3">
      <c r="A707" s="1" t="str">
        <f t="shared" si="95"/>
        <v>Half-ogre</v>
      </c>
      <c r="B707" s="1" t="s">
        <v>92</v>
      </c>
      <c r="C707" s="1" t="s">
        <v>1</v>
      </c>
      <c r="D707">
        <f t="shared" si="96"/>
        <v>-2</v>
      </c>
      <c r="E707">
        <f t="shared" si="97"/>
        <v>-7</v>
      </c>
      <c r="F707">
        <f t="shared" si="94"/>
        <v>-9</v>
      </c>
      <c r="G707">
        <f t="shared" si="98"/>
        <v>31</v>
      </c>
      <c r="H707">
        <f t="shared" si="99"/>
        <v>0</v>
      </c>
      <c r="I707">
        <f t="shared" si="100"/>
        <v>0</v>
      </c>
      <c r="J707" t="str">
        <f t="shared" ref="J707:J770" si="101">A707&amp;B707&amp;C707</f>
        <v>Half-ogreMageDiv</v>
      </c>
    </row>
    <row r="708" spans="1:10" x14ac:dyDescent="0.3">
      <c r="A708" s="1" t="str">
        <f t="shared" si="95"/>
        <v>Half-ogre</v>
      </c>
      <c r="B708" s="1" t="s">
        <v>92</v>
      </c>
      <c r="C708" s="1" t="s">
        <v>2</v>
      </c>
      <c r="D708">
        <f t="shared" si="96"/>
        <v>3</v>
      </c>
      <c r="E708">
        <f t="shared" si="97"/>
        <v>-3</v>
      </c>
      <c r="F708">
        <f t="shared" si="94"/>
        <v>0</v>
      </c>
      <c r="G708">
        <f t="shared" si="98"/>
        <v>10</v>
      </c>
      <c r="H708">
        <f t="shared" si="99"/>
        <v>0</v>
      </c>
      <c r="I708">
        <f t="shared" si="100"/>
        <v>80</v>
      </c>
      <c r="J708" t="str">
        <f t="shared" si="101"/>
        <v>Half-ogreMageStr</v>
      </c>
    </row>
    <row r="709" spans="1:10" x14ac:dyDescent="0.3">
      <c r="A709" s="1" t="str">
        <f t="shared" si="95"/>
        <v>Half-ogre</v>
      </c>
      <c r="B709" s="1" t="s">
        <v>92</v>
      </c>
      <c r="C709" s="1" t="s">
        <v>3</v>
      </c>
      <c r="D709">
        <f t="shared" si="96"/>
        <v>-1</v>
      </c>
      <c r="E709">
        <f t="shared" si="97"/>
        <v>0</v>
      </c>
      <c r="F709">
        <f t="shared" si="94"/>
        <v>-1</v>
      </c>
      <c r="G709">
        <f t="shared" si="98"/>
        <v>13</v>
      </c>
      <c r="H709">
        <f t="shared" si="99"/>
        <v>0</v>
      </c>
      <c r="I709">
        <f t="shared" si="100"/>
        <v>70</v>
      </c>
      <c r="J709" t="str">
        <f t="shared" si="101"/>
        <v>Half-ogreMageDex</v>
      </c>
    </row>
    <row r="710" spans="1:10" x14ac:dyDescent="0.3">
      <c r="A710" s="1" t="str">
        <f t="shared" si="95"/>
        <v>Half-ogre</v>
      </c>
      <c r="B710" s="1" t="s">
        <v>92</v>
      </c>
      <c r="C710" s="1" t="s">
        <v>4</v>
      </c>
      <c r="D710">
        <f t="shared" si="96"/>
        <v>1</v>
      </c>
      <c r="E710">
        <f t="shared" si="97"/>
        <v>-1</v>
      </c>
      <c r="F710">
        <f t="shared" si="94"/>
        <v>0</v>
      </c>
      <c r="G710">
        <f t="shared" si="98"/>
        <v>10</v>
      </c>
      <c r="H710">
        <f t="shared" si="99"/>
        <v>0</v>
      </c>
      <c r="I710">
        <f t="shared" si="100"/>
        <v>80</v>
      </c>
      <c r="J710" t="str">
        <f t="shared" si="101"/>
        <v>Half-ogreMageCon</v>
      </c>
    </row>
    <row r="711" spans="1:10" x14ac:dyDescent="0.3">
      <c r="A711" s="1" t="str">
        <f t="shared" si="95"/>
        <v>Half-ogre</v>
      </c>
      <c r="B711" s="1" t="s">
        <v>92</v>
      </c>
      <c r="C711" s="1" t="s">
        <v>5</v>
      </c>
      <c r="D711">
        <f t="shared" si="96"/>
        <v>0</v>
      </c>
      <c r="E711">
        <f t="shared" si="97"/>
        <v>1</v>
      </c>
      <c r="F711">
        <f t="shared" si="94"/>
        <v>1</v>
      </c>
      <c r="G711">
        <f t="shared" si="98"/>
        <v>9</v>
      </c>
      <c r="H711">
        <f t="shared" si="99"/>
        <v>14</v>
      </c>
      <c r="I711">
        <f t="shared" si="100"/>
        <v>90</v>
      </c>
      <c r="J711" t="str">
        <f t="shared" si="101"/>
        <v>Half-ogreMageCha</v>
      </c>
    </row>
    <row r="712" spans="1:10" x14ac:dyDescent="0.3">
      <c r="A712" s="1" t="str">
        <f t="shared" si="95"/>
        <v>Half-ogre</v>
      </c>
      <c r="B712" s="1" t="s">
        <v>92</v>
      </c>
      <c r="C712" s="1" t="s">
        <v>6</v>
      </c>
      <c r="D712">
        <f t="shared" si="96"/>
        <v>0</v>
      </c>
      <c r="E712">
        <f t="shared" si="97"/>
        <v>3</v>
      </c>
      <c r="F712">
        <f t="shared" si="94"/>
        <v>3</v>
      </c>
      <c r="G712">
        <f t="shared" si="98"/>
        <v>7</v>
      </c>
      <c r="H712">
        <f t="shared" si="99"/>
        <v>11</v>
      </c>
      <c r="I712">
        <f t="shared" si="100"/>
        <v>105</v>
      </c>
      <c r="J712" t="str">
        <f t="shared" si="101"/>
        <v>Half-ogreMageBra</v>
      </c>
    </row>
    <row r="713" spans="1:10" x14ac:dyDescent="0.3">
      <c r="A713" s="1" t="str">
        <f t="shared" si="95"/>
        <v>Half-ogre</v>
      </c>
      <c r="B713" s="1" t="s">
        <v>92</v>
      </c>
      <c r="C713" s="1" t="s">
        <v>7</v>
      </c>
      <c r="D713">
        <f t="shared" si="96"/>
        <v>2</v>
      </c>
      <c r="E713">
        <f t="shared" si="97"/>
        <v>-2</v>
      </c>
      <c r="F713">
        <f t="shared" si="94"/>
        <v>0</v>
      </c>
      <c r="G713">
        <f t="shared" si="98"/>
        <v>10</v>
      </c>
      <c r="H713">
        <f t="shared" si="99"/>
        <v>0</v>
      </c>
      <c r="I713">
        <f t="shared" si="100"/>
        <v>80</v>
      </c>
      <c r="J713" t="str">
        <f t="shared" si="101"/>
        <v>Half-ogreMageHP</v>
      </c>
    </row>
    <row r="714" spans="1:10" x14ac:dyDescent="0.3">
      <c r="A714" s="1" t="str">
        <f t="shared" si="95"/>
        <v>Half-ogre</v>
      </c>
      <c r="B714" s="1" t="s">
        <v>62</v>
      </c>
      <c r="C714" s="1" t="s">
        <v>0</v>
      </c>
      <c r="D714">
        <f t="shared" si="96"/>
        <v>-3</v>
      </c>
      <c r="E714">
        <f t="shared" si="97"/>
        <v>3</v>
      </c>
      <c r="F714">
        <f t="shared" si="94"/>
        <v>0</v>
      </c>
      <c r="G714">
        <f t="shared" si="98"/>
        <v>10</v>
      </c>
      <c r="H714">
        <f t="shared" si="99"/>
        <v>0</v>
      </c>
      <c r="I714">
        <f t="shared" si="100"/>
        <v>80</v>
      </c>
      <c r="J714" t="str">
        <f t="shared" si="101"/>
        <v>Half-ogreSorcererMag</v>
      </c>
    </row>
    <row r="715" spans="1:10" x14ac:dyDescent="0.3">
      <c r="A715" s="1" t="str">
        <f t="shared" si="95"/>
        <v>Half-ogre</v>
      </c>
      <c r="B715" s="1" t="s">
        <v>62</v>
      </c>
      <c r="C715" s="1" t="s">
        <v>1</v>
      </c>
      <c r="D715">
        <f t="shared" si="96"/>
        <v>-2</v>
      </c>
      <c r="E715">
        <f t="shared" si="97"/>
        <v>-7</v>
      </c>
      <c r="F715">
        <f t="shared" si="94"/>
        <v>-9</v>
      </c>
      <c r="G715">
        <f t="shared" si="98"/>
        <v>31</v>
      </c>
      <c r="H715">
        <f t="shared" si="99"/>
        <v>0</v>
      </c>
      <c r="I715">
        <f t="shared" si="100"/>
        <v>0</v>
      </c>
      <c r="J715" t="str">
        <f t="shared" si="101"/>
        <v>Half-ogreSorcererDiv</v>
      </c>
    </row>
    <row r="716" spans="1:10" x14ac:dyDescent="0.3">
      <c r="A716" s="1" t="str">
        <f t="shared" si="95"/>
        <v>Half-ogre</v>
      </c>
      <c r="B716" s="1" t="s">
        <v>62</v>
      </c>
      <c r="C716" s="1" t="s">
        <v>2</v>
      </c>
      <c r="D716">
        <f t="shared" si="96"/>
        <v>3</v>
      </c>
      <c r="E716">
        <f t="shared" si="97"/>
        <v>-3</v>
      </c>
      <c r="F716">
        <f t="shared" si="94"/>
        <v>0</v>
      </c>
      <c r="G716">
        <f t="shared" si="98"/>
        <v>10</v>
      </c>
      <c r="H716">
        <f t="shared" si="99"/>
        <v>0</v>
      </c>
      <c r="I716">
        <f t="shared" si="100"/>
        <v>80</v>
      </c>
      <c r="J716" t="str">
        <f t="shared" si="101"/>
        <v>Half-ogreSorcererStr</v>
      </c>
    </row>
    <row r="717" spans="1:10" x14ac:dyDescent="0.3">
      <c r="A717" s="1" t="str">
        <f t="shared" si="95"/>
        <v>Half-ogre</v>
      </c>
      <c r="B717" s="1" t="s">
        <v>62</v>
      </c>
      <c r="C717" s="1" t="s">
        <v>3</v>
      </c>
      <c r="D717">
        <f t="shared" si="96"/>
        <v>-1</v>
      </c>
      <c r="E717">
        <f t="shared" si="97"/>
        <v>0</v>
      </c>
      <c r="F717">
        <f t="shared" si="94"/>
        <v>-1</v>
      </c>
      <c r="G717">
        <f t="shared" si="98"/>
        <v>13</v>
      </c>
      <c r="H717">
        <f t="shared" si="99"/>
        <v>0</v>
      </c>
      <c r="I717">
        <f t="shared" si="100"/>
        <v>70</v>
      </c>
      <c r="J717" t="str">
        <f t="shared" si="101"/>
        <v>Half-ogreSorcererDex</v>
      </c>
    </row>
    <row r="718" spans="1:10" x14ac:dyDescent="0.3">
      <c r="A718" s="1" t="str">
        <f t="shared" si="95"/>
        <v>Half-ogre</v>
      </c>
      <c r="B718" s="1" t="s">
        <v>62</v>
      </c>
      <c r="C718" s="1" t="s">
        <v>4</v>
      </c>
      <c r="D718">
        <f t="shared" si="96"/>
        <v>1</v>
      </c>
      <c r="E718">
        <f t="shared" si="97"/>
        <v>-2</v>
      </c>
      <c r="F718">
        <f t="shared" si="94"/>
        <v>-1</v>
      </c>
      <c r="G718">
        <f t="shared" si="98"/>
        <v>13</v>
      </c>
      <c r="H718">
        <f t="shared" si="99"/>
        <v>0</v>
      </c>
      <c r="I718">
        <f t="shared" si="100"/>
        <v>70</v>
      </c>
      <c r="J718" t="str">
        <f t="shared" si="101"/>
        <v>Half-ogreSorcererCon</v>
      </c>
    </row>
    <row r="719" spans="1:10" x14ac:dyDescent="0.3">
      <c r="A719" s="1" t="str">
        <f t="shared" si="95"/>
        <v>Half-ogre</v>
      </c>
      <c r="B719" s="1" t="s">
        <v>62</v>
      </c>
      <c r="C719" s="1" t="s">
        <v>5</v>
      </c>
      <c r="D719">
        <f t="shared" si="96"/>
        <v>0</v>
      </c>
      <c r="E719">
        <f t="shared" si="97"/>
        <v>1</v>
      </c>
      <c r="F719">
        <f t="shared" si="94"/>
        <v>1</v>
      </c>
      <c r="G719">
        <f t="shared" si="98"/>
        <v>9</v>
      </c>
      <c r="H719">
        <f t="shared" si="99"/>
        <v>14</v>
      </c>
      <c r="I719">
        <f t="shared" si="100"/>
        <v>90</v>
      </c>
      <c r="J719" t="str">
        <f t="shared" si="101"/>
        <v>Half-ogreSorcererCha</v>
      </c>
    </row>
    <row r="720" spans="1:10" x14ac:dyDescent="0.3">
      <c r="A720" s="1" t="str">
        <f t="shared" si="95"/>
        <v>Half-ogre</v>
      </c>
      <c r="B720" s="1" t="s">
        <v>62</v>
      </c>
      <c r="C720" s="1" t="s">
        <v>6</v>
      </c>
      <c r="D720">
        <f t="shared" si="96"/>
        <v>0</v>
      </c>
      <c r="E720">
        <f t="shared" si="97"/>
        <v>2</v>
      </c>
      <c r="F720">
        <f t="shared" si="94"/>
        <v>2</v>
      </c>
      <c r="G720">
        <f t="shared" si="98"/>
        <v>8</v>
      </c>
      <c r="H720">
        <f t="shared" si="99"/>
        <v>12</v>
      </c>
      <c r="I720">
        <f t="shared" si="100"/>
        <v>100</v>
      </c>
      <c r="J720" t="str">
        <f t="shared" si="101"/>
        <v>Half-ogreSorcererBra</v>
      </c>
    </row>
    <row r="721" spans="1:10" x14ac:dyDescent="0.3">
      <c r="A721" s="1" t="str">
        <f t="shared" si="95"/>
        <v>Half-ogre</v>
      </c>
      <c r="B721" s="1" t="s">
        <v>62</v>
      </c>
      <c r="C721" s="1" t="s">
        <v>7</v>
      </c>
      <c r="D721">
        <f t="shared" si="96"/>
        <v>2</v>
      </c>
      <c r="E721">
        <f t="shared" si="97"/>
        <v>-1</v>
      </c>
      <c r="F721">
        <f t="shared" si="94"/>
        <v>1</v>
      </c>
      <c r="G721">
        <f t="shared" si="98"/>
        <v>9</v>
      </c>
      <c r="H721">
        <f t="shared" si="99"/>
        <v>14</v>
      </c>
      <c r="I721">
        <f t="shared" si="100"/>
        <v>90</v>
      </c>
      <c r="J721" t="str">
        <f t="shared" si="101"/>
        <v>Half-ogreSorcererHP</v>
      </c>
    </row>
    <row r="722" spans="1:10" x14ac:dyDescent="0.3">
      <c r="A722" s="1" t="str">
        <f t="shared" si="95"/>
        <v>Half-ogre</v>
      </c>
      <c r="B722" s="1" t="s">
        <v>22</v>
      </c>
      <c r="C722" s="1" t="s">
        <v>0</v>
      </c>
      <c r="D722">
        <f t="shared" si="96"/>
        <v>-3</v>
      </c>
      <c r="E722">
        <f t="shared" si="97"/>
        <v>-5</v>
      </c>
      <c r="F722">
        <f t="shared" si="94"/>
        <v>-8</v>
      </c>
      <c r="G722">
        <f t="shared" si="98"/>
        <v>31</v>
      </c>
      <c r="H722">
        <f t="shared" si="99"/>
        <v>0</v>
      </c>
      <c r="I722">
        <f t="shared" si="100"/>
        <v>0</v>
      </c>
      <c r="J722" t="str">
        <f t="shared" si="101"/>
        <v>Half-ogreBarbarianMag</v>
      </c>
    </row>
    <row r="723" spans="1:10" x14ac:dyDescent="0.3">
      <c r="A723" s="1" t="str">
        <f t="shared" si="95"/>
        <v>Half-ogre</v>
      </c>
      <c r="B723" s="1" t="s">
        <v>22</v>
      </c>
      <c r="C723" s="1" t="s">
        <v>1</v>
      </c>
      <c r="D723">
        <f t="shared" si="96"/>
        <v>-2</v>
      </c>
      <c r="E723">
        <f t="shared" si="97"/>
        <v>-7</v>
      </c>
      <c r="F723">
        <f t="shared" si="94"/>
        <v>-9</v>
      </c>
      <c r="G723">
        <f t="shared" si="98"/>
        <v>31</v>
      </c>
      <c r="H723">
        <f t="shared" si="99"/>
        <v>0</v>
      </c>
      <c r="I723">
        <f t="shared" si="100"/>
        <v>0</v>
      </c>
      <c r="J723" t="str">
        <f t="shared" si="101"/>
        <v>Half-ogreBarbarianDiv</v>
      </c>
    </row>
    <row r="724" spans="1:10" x14ac:dyDescent="0.3">
      <c r="A724" s="1" t="str">
        <f t="shared" si="95"/>
        <v>Half-ogre</v>
      </c>
      <c r="B724" s="1" t="s">
        <v>22</v>
      </c>
      <c r="C724" s="1" t="s">
        <v>2</v>
      </c>
      <c r="D724">
        <f t="shared" si="96"/>
        <v>3</v>
      </c>
      <c r="E724">
        <f t="shared" si="97"/>
        <v>3</v>
      </c>
      <c r="F724">
        <f t="shared" si="94"/>
        <v>6</v>
      </c>
      <c r="G724">
        <f t="shared" si="98"/>
        <v>5</v>
      </c>
      <c r="H724">
        <f t="shared" si="99"/>
        <v>8</v>
      </c>
      <c r="I724">
        <f t="shared" si="100"/>
        <v>111</v>
      </c>
      <c r="J724" t="str">
        <f t="shared" si="101"/>
        <v>Half-ogreBarbarianStr</v>
      </c>
    </row>
    <row r="725" spans="1:10" x14ac:dyDescent="0.3">
      <c r="A725" s="1" t="str">
        <f t="shared" si="95"/>
        <v>Half-ogre</v>
      </c>
      <c r="B725" s="1" t="s">
        <v>22</v>
      </c>
      <c r="C725" s="1" t="s">
        <v>3</v>
      </c>
      <c r="D725">
        <f t="shared" si="96"/>
        <v>-1</v>
      </c>
      <c r="E725">
        <f t="shared" si="97"/>
        <v>2</v>
      </c>
      <c r="F725">
        <f t="shared" si="94"/>
        <v>1</v>
      </c>
      <c r="G725">
        <f t="shared" si="98"/>
        <v>9</v>
      </c>
      <c r="H725">
        <f t="shared" si="99"/>
        <v>14</v>
      </c>
      <c r="I725">
        <f t="shared" si="100"/>
        <v>90</v>
      </c>
      <c r="J725" t="str">
        <f t="shared" si="101"/>
        <v>Half-ogreBarbarianDex</v>
      </c>
    </row>
    <row r="726" spans="1:10" x14ac:dyDescent="0.3">
      <c r="A726" s="1" t="str">
        <f t="shared" si="95"/>
        <v>Half-ogre</v>
      </c>
      <c r="B726" s="1" t="s">
        <v>22</v>
      </c>
      <c r="C726" s="1" t="s">
        <v>4</v>
      </c>
      <c r="D726">
        <f t="shared" si="96"/>
        <v>1</v>
      </c>
      <c r="E726">
        <f t="shared" si="97"/>
        <v>0</v>
      </c>
      <c r="F726">
        <f t="shared" si="94"/>
        <v>1</v>
      </c>
      <c r="G726">
        <f t="shared" si="98"/>
        <v>9</v>
      </c>
      <c r="H726">
        <f t="shared" si="99"/>
        <v>14</v>
      </c>
      <c r="I726">
        <f t="shared" si="100"/>
        <v>90</v>
      </c>
      <c r="J726" t="str">
        <f t="shared" si="101"/>
        <v>Half-ogreBarbarianCon</v>
      </c>
    </row>
    <row r="727" spans="1:10" x14ac:dyDescent="0.3">
      <c r="A727" s="1" t="str">
        <f t="shared" si="95"/>
        <v>Half-ogre</v>
      </c>
      <c r="B727" s="1" t="s">
        <v>22</v>
      </c>
      <c r="C727" s="1" t="s">
        <v>5</v>
      </c>
      <c r="D727">
        <f t="shared" si="96"/>
        <v>0</v>
      </c>
      <c r="E727">
        <f t="shared" si="97"/>
        <v>-1</v>
      </c>
      <c r="F727">
        <f t="shared" si="94"/>
        <v>-1</v>
      </c>
      <c r="G727">
        <f t="shared" si="98"/>
        <v>13</v>
      </c>
      <c r="H727">
        <f t="shared" si="99"/>
        <v>0</v>
      </c>
      <c r="I727">
        <f t="shared" si="100"/>
        <v>70</v>
      </c>
      <c r="J727" t="str">
        <f t="shared" si="101"/>
        <v>Half-ogreBarbarianCha</v>
      </c>
    </row>
    <row r="728" spans="1:10" x14ac:dyDescent="0.3">
      <c r="A728" s="1" t="str">
        <f t="shared" si="95"/>
        <v>Half-ogre</v>
      </c>
      <c r="B728" s="1" t="s">
        <v>22</v>
      </c>
      <c r="C728" s="1" t="s">
        <v>6</v>
      </c>
      <c r="D728">
        <f t="shared" si="96"/>
        <v>0</v>
      </c>
      <c r="E728">
        <f t="shared" si="97"/>
        <v>-2</v>
      </c>
      <c r="F728">
        <f t="shared" si="94"/>
        <v>-2</v>
      </c>
      <c r="G728">
        <f t="shared" si="98"/>
        <v>16</v>
      </c>
      <c r="H728">
        <f t="shared" si="99"/>
        <v>0</v>
      </c>
      <c r="I728">
        <f t="shared" si="100"/>
        <v>60</v>
      </c>
      <c r="J728" t="str">
        <f t="shared" si="101"/>
        <v>Half-ogreBarbarianBra</v>
      </c>
    </row>
    <row r="729" spans="1:10" x14ac:dyDescent="0.3">
      <c r="A729" s="1" t="str">
        <f t="shared" si="95"/>
        <v>Half-ogre</v>
      </c>
      <c r="B729" s="1" t="s">
        <v>22</v>
      </c>
      <c r="C729" s="1" t="s">
        <v>7</v>
      </c>
      <c r="D729">
        <f t="shared" si="96"/>
        <v>2</v>
      </c>
      <c r="E729">
        <f t="shared" si="97"/>
        <v>1</v>
      </c>
      <c r="F729">
        <f t="shared" si="94"/>
        <v>3</v>
      </c>
      <c r="G729">
        <f t="shared" si="98"/>
        <v>7</v>
      </c>
      <c r="H729">
        <f t="shared" si="99"/>
        <v>11</v>
      </c>
      <c r="I729">
        <f t="shared" si="100"/>
        <v>105</v>
      </c>
      <c r="J729" t="str">
        <f t="shared" si="101"/>
        <v>Half-ogreBarbarianHP</v>
      </c>
    </row>
    <row r="730" spans="1:10" x14ac:dyDescent="0.3">
      <c r="A730" s="1" t="s">
        <v>44</v>
      </c>
      <c r="B730" s="1" t="s">
        <v>8</v>
      </c>
      <c r="C730" s="1" t="s">
        <v>0</v>
      </c>
      <c r="D730">
        <f t="shared" si="96"/>
        <v>-2</v>
      </c>
      <c r="E730">
        <f t="shared" si="97"/>
        <v>-7</v>
      </c>
      <c r="F730">
        <f t="shared" si="94"/>
        <v>-9</v>
      </c>
      <c r="G730">
        <f t="shared" si="98"/>
        <v>31</v>
      </c>
      <c r="H730">
        <f t="shared" si="99"/>
        <v>0</v>
      </c>
      <c r="I730">
        <f t="shared" si="100"/>
        <v>0</v>
      </c>
      <c r="J730" t="str">
        <f t="shared" si="101"/>
        <v>Half-elfFighterMag</v>
      </c>
    </row>
    <row r="731" spans="1:10" x14ac:dyDescent="0.3">
      <c r="A731" s="1" t="str">
        <f>A730</f>
        <v>Half-elf</v>
      </c>
      <c r="B731" s="1" t="s">
        <v>8</v>
      </c>
      <c r="C731" s="1" t="s">
        <v>1</v>
      </c>
      <c r="D731">
        <f t="shared" si="96"/>
        <v>3</v>
      </c>
      <c r="E731">
        <f t="shared" si="97"/>
        <v>-5</v>
      </c>
      <c r="F731">
        <f t="shared" ref="F731:F794" si="102">E731+D731</f>
        <v>-2</v>
      </c>
      <c r="G731">
        <f t="shared" si="98"/>
        <v>16</v>
      </c>
      <c r="H731">
        <f t="shared" si="99"/>
        <v>0</v>
      </c>
      <c r="I731">
        <f t="shared" si="100"/>
        <v>60</v>
      </c>
      <c r="J731" t="str">
        <f t="shared" si="101"/>
        <v>Half-elfFighterDiv</v>
      </c>
    </row>
    <row r="732" spans="1:10" x14ac:dyDescent="0.3">
      <c r="A732" s="1" t="str">
        <f t="shared" ref="A732:A795" si="103">A731</f>
        <v>Half-elf</v>
      </c>
      <c r="B732" s="1" t="s">
        <v>8</v>
      </c>
      <c r="C732" s="1" t="s">
        <v>2</v>
      </c>
      <c r="D732">
        <f t="shared" si="96"/>
        <v>0</v>
      </c>
      <c r="E732">
        <f t="shared" si="97"/>
        <v>2</v>
      </c>
      <c r="F732">
        <f t="shared" si="102"/>
        <v>2</v>
      </c>
      <c r="G732">
        <f t="shared" si="98"/>
        <v>8</v>
      </c>
      <c r="H732">
        <f t="shared" si="99"/>
        <v>12</v>
      </c>
      <c r="I732">
        <f t="shared" si="100"/>
        <v>100</v>
      </c>
      <c r="J732" t="str">
        <f t="shared" si="101"/>
        <v>Half-elfFighterStr</v>
      </c>
    </row>
    <row r="733" spans="1:10" x14ac:dyDescent="0.3">
      <c r="A733" s="1" t="str">
        <f t="shared" si="103"/>
        <v>Half-elf</v>
      </c>
      <c r="B733" s="1" t="s">
        <v>8</v>
      </c>
      <c r="C733" s="1" t="s">
        <v>3</v>
      </c>
      <c r="D733">
        <f t="shared" si="96"/>
        <v>1</v>
      </c>
      <c r="E733">
        <f t="shared" si="97"/>
        <v>0</v>
      </c>
      <c r="F733">
        <f t="shared" si="102"/>
        <v>1</v>
      </c>
      <c r="G733">
        <f t="shared" si="98"/>
        <v>9</v>
      </c>
      <c r="H733">
        <f t="shared" si="99"/>
        <v>14</v>
      </c>
      <c r="I733">
        <f t="shared" si="100"/>
        <v>90</v>
      </c>
      <c r="J733" t="str">
        <f t="shared" si="101"/>
        <v>Half-elfFighterDex</v>
      </c>
    </row>
    <row r="734" spans="1:10" x14ac:dyDescent="0.3">
      <c r="A734" s="1" t="str">
        <f t="shared" si="103"/>
        <v>Half-elf</v>
      </c>
      <c r="B734" s="1" t="s">
        <v>8</v>
      </c>
      <c r="C734" s="1" t="s">
        <v>4</v>
      </c>
      <c r="D734">
        <f t="shared" si="96"/>
        <v>-3</v>
      </c>
      <c r="E734">
        <f t="shared" si="97"/>
        <v>1</v>
      </c>
      <c r="F734">
        <f t="shared" si="102"/>
        <v>-2</v>
      </c>
      <c r="G734">
        <f t="shared" si="98"/>
        <v>16</v>
      </c>
      <c r="H734">
        <f t="shared" si="99"/>
        <v>0</v>
      </c>
      <c r="I734">
        <f t="shared" si="100"/>
        <v>60</v>
      </c>
      <c r="J734" t="str">
        <f t="shared" si="101"/>
        <v>Half-elfFighterCon</v>
      </c>
    </row>
    <row r="735" spans="1:10" x14ac:dyDescent="0.3">
      <c r="A735" s="1" t="str">
        <f t="shared" si="103"/>
        <v>Half-elf</v>
      </c>
      <c r="B735" s="1" t="s">
        <v>8</v>
      </c>
      <c r="C735" s="1" t="s">
        <v>5</v>
      </c>
      <c r="D735">
        <f t="shared" si="96"/>
        <v>2</v>
      </c>
      <c r="E735">
        <f t="shared" si="97"/>
        <v>-2</v>
      </c>
      <c r="F735">
        <f t="shared" si="102"/>
        <v>0</v>
      </c>
      <c r="G735">
        <f t="shared" si="98"/>
        <v>10</v>
      </c>
      <c r="H735">
        <f t="shared" si="99"/>
        <v>0</v>
      </c>
      <c r="I735">
        <f t="shared" si="100"/>
        <v>80</v>
      </c>
      <c r="J735" t="str">
        <f t="shared" si="101"/>
        <v>Half-elfFighterCha</v>
      </c>
    </row>
    <row r="736" spans="1:10" x14ac:dyDescent="0.3">
      <c r="A736" s="1" t="str">
        <f t="shared" si="103"/>
        <v>Half-elf</v>
      </c>
      <c r="B736" s="1" t="s">
        <v>8</v>
      </c>
      <c r="C736" s="1" t="s">
        <v>6</v>
      </c>
      <c r="D736">
        <f t="shared" si="96"/>
        <v>0</v>
      </c>
      <c r="E736">
        <f t="shared" si="97"/>
        <v>-1</v>
      </c>
      <c r="F736">
        <f t="shared" si="102"/>
        <v>-1</v>
      </c>
      <c r="G736">
        <f t="shared" si="98"/>
        <v>13</v>
      </c>
      <c r="H736">
        <f t="shared" si="99"/>
        <v>0</v>
      </c>
      <c r="I736">
        <f t="shared" si="100"/>
        <v>70</v>
      </c>
      <c r="J736" t="str">
        <f t="shared" si="101"/>
        <v>Half-elfFighterBra</v>
      </c>
    </row>
    <row r="737" spans="1:10" x14ac:dyDescent="0.3">
      <c r="A737" s="1" t="str">
        <f t="shared" si="103"/>
        <v>Half-elf</v>
      </c>
      <c r="B737" s="1" t="s">
        <v>8</v>
      </c>
      <c r="C737" s="1" t="s">
        <v>7</v>
      </c>
      <c r="D737">
        <f t="shared" si="96"/>
        <v>-1</v>
      </c>
      <c r="E737">
        <f t="shared" si="97"/>
        <v>3</v>
      </c>
      <c r="F737">
        <f t="shared" si="102"/>
        <v>2</v>
      </c>
      <c r="G737">
        <f t="shared" si="98"/>
        <v>8</v>
      </c>
      <c r="H737">
        <f t="shared" si="99"/>
        <v>12</v>
      </c>
      <c r="I737">
        <f t="shared" si="100"/>
        <v>100</v>
      </c>
      <c r="J737" t="str">
        <f t="shared" si="101"/>
        <v>Half-elfFighterHP</v>
      </c>
    </row>
    <row r="738" spans="1:10" x14ac:dyDescent="0.3">
      <c r="A738" s="1" t="str">
        <f t="shared" si="103"/>
        <v>Half-elf</v>
      </c>
      <c r="B738" s="1" t="s">
        <v>9</v>
      </c>
      <c r="C738" s="1" t="s">
        <v>0</v>
      </c>
      <c r="D738">
        <f t="shared" si="96"/>
        <v>-2</v>
      </c>
      <c r="E738">
        <f t="shared" si="97"/>
        <v>-7</v>
      </c>
      <c r="F738">
        <f t="shared" si="102"/>
        <v>-9</v>
      </c>
      <c r="G738">
        <f t="shared" si="98"/>
        <v>31</v>
      </c>
      <c r="H738">
        <f t="shared" si="99"/>
        <v>0</v>
      </c>
      <c r="I738">
        <f t="shared" si="100"/>
        <v>0</v>
      </c>
      <c r="J738" t="str">
        <f t="shared" si="101"/>
        <v>Half-elfKnightMag</v>
      </c>
    </row>
    <row r="739" spans="1:10" x14ac:dyDescent="0.3">
      <c r="A739" s="1" t="str">
        <f t="shared" si="103"/>
        <v>Half-elf</v>
      </c>
      <c r="B739" s="1" t="s">
        <v>9</v>
      </c>
      <c r="C739" s="1" t="s">
        <v>1</v>
      </c>
      <c r="D739">
        <f t="shared" si="96"/>
        <v>3</v>
      </c>
      <c r="E739">
        <f t="shared" si="97"/>
        <v>0</v>
      </c>
      <c r="F739">
        <f t="shared" si="102"/>
        <v>3</v>
      </c>
      <c r="G739">
        <f t="shared" si="98"/>
        <v>7</v>
      </c>
      <c r="H739">
        <f t="shared" si="99"/>
        <v>11</v>
      </c>
      <c r="I739">
        <f t="shared" si="100"/>
        <v>105</v>
      </c>
      <c r="J739" t="str">
        <f t="shared" si="101"/>
        <v>Half-elfKnightDiv</v>
      </c>
    </row>
    <row r="740" spans="1:10" x14ac:dyDescent="0.3">
      <c r="A740" s="1" t="str">
        <f t="shared" si="103"/>
        <v>Half-elf</v>
      </c>
      <c r="B740" s="1" t="s">
        <v>9</v>
      </c>
      <c r="C740" s="1" t="s">
        <v>2</v>
      </c>
      <c r="D740">
        <f t="shared" si="96"/>
        <v>0</v>
      </c>
      <c r="E740">
        <f t="shared" si="97"/>
        <v>2</v>
      </c>
      <c r="F740">
        <f t="shared" si="102"/>
        <v>2</v>
      </c>
      <c r="G740">
        <f t="shared" si="98"/>
        <v>8</v>
      </c>
      <c r="H740">
        <f t="shared" si="99"/>
        <v>12</v>
      </c>
      <c r="I740">
        <f t="shared" si="100"/>
        <v>100</v>
      </c>
      <c r="J740" t="str">
        <f t="shared" si="101"/>
        <v>Half-elfKnightStr</v>
      </c>
    </row>
    <row r="741" spans="1:10" x14ac:dyDescent="0.3">
      <c r="A741" s="1" t="str">
        <f t="shared" si="103"/>
        <v>Half-elf</v>
      </c>
      <c r="B741" s="1" t="s">
        <v>9</v>
      </c>
      <c r="C741" s="1" t="s">
        <v>3</v>
      </c>
      <c r="D741">
        <f t="shared" si="96"/>
        <v>1</v>
      </c>
      <c r="E741">
        <f t="shared" si="97"/>
        <v>-1</v>
      </c>
      <c r="F741">
        <f t="shared" si="102"/>
        <v>0</v>
      </c>
      <c r="G741">
        <f t="shared" si="98"/>
        <v>10</v>
      </c>
      <c r="H741">
        <f t="shared" si="99"/>
        <v>0</v>
      </c>
      <c r="I741">
        <f t="shared" si="100"/>
        <v>80</v>
      </c>
      <c r="J741" t="str">
        <f t="shared" si="101"/>
        <v>Half-elfKnightDex</v>
      </c>
    </row>
    <row r="742" spans="1:10" x14ac:dyDescent="0.3">
      <c r="A742" s="1" t="str">
        <f t="shared" si="103"/>
        <v>Half-elf</v>
      </c>
      <c r="B742" s="1" t="s">
        <v>9</v>
      </c>
      <c r="C742" s="1" t="s">
        <v>4</v>
      </c>
      <c r="D742">
        <f t="shared" si="96"/>
        <v>-3</v>
      </c>
      <c r="E742">
        <f t="shared" si="97"/>
        <v>0</v>
      </c>
      <c r="F742">
        <f t="shared" si="102"/>
        <v>-3</v>
      </c>
      <c r="G742">
        <f t="shared" si="98"/>
        <v>19</v>
      </c>
      <c r="H742">
        <f t="shared" si="99"/>
        <v>0</v>
      </c>
      <c r="I742">
        <f t="shared" si="100"/>
        <v>50</v>
      </c>
      <c r="J742" t="str">
        <f t="shared" si="101"/>
        <v>Half-elfKnightCon</v>
      </c>
    </row>
    <row r="743" spans="1:10" x14ac:dyDescent="0.3">
      <c r="A743" s="1" t="str">
        <f t="shared" si="103"/>
        <v>Half-elf</v>
      </c>
      <c r="B743" s="1" t="s">
        <v>9</v>
      </c>
      <c r="C743" s="1" t="s">
        <v>5</v>
      </c>
      <c r="D743">
        <f t="shared" si="96"/>
        <v>2</v>
      </c>
      <c r="E743">
        <f t="shared" si="97"/>
        <v>-2</v>
      </c>
      <c r="F743">
        <f t="shared" si="102"/>
        <v>0</v>
      </c>
      <c r="G743">
        <f t="shared" si="98"/>
        <v>10</v>
      </c>
      <c r="H743">
        <f t="shared" si="99"/>
        <v>0</v>
      </c>
      <c r="I743">
        <f t="shared" si="100"/>
        <v>80</v>
      </c>
      <c r="J743" t="str">
        <f t="shared" si="101"/>
        <v>Half-elfKnightCha</v>
      </c>
    </row>
    <row r="744" spans="1:10" x14ac:dyDescent="0.3">
      <c r="A744" s="1" t="str">
        <f t="shared" si="103"/>
        <v>Half-elf</v>
      </c>
      <c r="B744" s="1" t="s">
        <v>9</v>
      </c>
      <c r="C744" s="1" t="s">
        <v>6</v>
      </c>
      <c r="D744">
        <f t="shared" si="96"/>
        <v>0</v>
      </c>
      <c r="E744">
        <f t="shared" si="97"/>
        <v>0</v>
      </c>
      <c r="F744">
        <f t="shared" si="102"/>
        <v>0</v>
      </c>
      <c r="G744">
        <f t="shared" si="98"/>
        <v>10</v>
      </c>
      <c r="H744">
        <f t="shared" si="99"/>
        <v>0</v>
      </c>
      <c r="I744">
        <f t="shared" si="100"/>
        <v>80</v>
      </c>
      <c r="J744" t="str">
        <f t="shared" si="101"/>
        <v>Half-elfKnightBra</v>
      </c>
    </row>
    <row r="745" spans="1:10" x14ac:dyDescent="0.3">
      <c r="A745" s="1" t="str">
        <f t="shared" si="103"/>
        <v>Half-elf</v>
      </c>
      <c r="B745" s="1" t="s">
        <v>9</v>
      </c>
      <c r="C745" s="1" t="s">
        <v>7</v>
      </c>
      <c r="D745">
        <f t="shared" si="96"/>
        <v>-1</v>
      </c>
      <c r="E745">
        <f t="shared" si="97"/>
        <v>1</v>
      </c>
      <c r="F745">
        <f t="shared" si="102"/>
        <v>0</v>
      </c>
      <c r="G745">
        <f t="shared" si="98"/>
        <v>10</v>
      </c>
      <c r="H745">
        <f t="shared" si="99"/>
        <v>0</v>
      </c>
      <c r="I745">
        <f t="shared" si="100"/>
        <v>80</v>
      </c>
      <c r="J745" t="str">
        <f t="shared" si="101"/>
        <v>Half-elfKnightHP</v>
      </c>
    </row>
    <row r="746" spans="1:10" x14ac:dyDescent="0.3">
      <c r="A746" s="1" t="str">
        <f t="shared" si="103"/>
        <v>Half-elf</v>
      </c>
      <c r="B746" s="1" t="s">
        <v>10</v>
      </c>
      <c r="C746" s="1" t="s">
        <v>0</v>
      </c>
      <c r="D746">
        <f t="shared" si="96"/>
        <v>-2</v>
      </c>
      <c r="E746">
        <f t="shared" si="97"/>
        <v>-7</v>
      </c>
      <c r="F746">
        <f t="shared" si="102"/>
        <v>-9</v>
      </c>
      <c r="G746">
        <f t="shared" si="98"/>
        <v>31</v>
      </c>
      <c r="H746">
        <f t="shared" si="99"/>
        <v>0</v>
      </c>
      <c r="I746">
        <f t="shared" si="100"/>
        <v>0</v>
      </c>
      <c r="J746" t="str">
        <f t="shared" si="101"/>
        <v>Half-elfPaladinMag</v>
      </c>
    </row>
    <row r="747" spans="1:10" x14ac:dyDescent="0.3">
      <c r="A747" s="1" t="str">
        <f t="shared" si="103"/>
        <v>Half-elf</v>
      </c>
      <c r="B747" s="1" t="s">
        <v>10</v>
      </c>
      <c r="C747" s="1" t="s">
        <v>1</v>
      </c>
      <c r="D747">
        <f t="shared" si="96"/>
        <v>3</v>
      </c>
      <c r="E747">
        <f t="shared" si="97"/>
        <v>0</v>
      </c>
      <c r="F747">
        <f t="shared" si="102"/>
        <v>3</v>
      </c>
      <c r="G747">
        <f t="shared" si="98"/>
        <v>7</v>
      </c>
      <c r="H747">
        <f t="shared" si="99"/>
        <v>11</v>
      </c>
      <c r="I747">
        <f t="shared" si="100"/>
        <v>105</v>
      </c>
      <c r="J747" t="str">
        <f t="shared" si="101"/>
        <v>Half-elfPaladinDiv</v>
      </c>
    </row>
    <row r="748" spans="1:10" x14ac:dyDescent="0.3">
      <c r="A748" s="1" t="str">
        <f t="shared" si="103"/>
        <v>Half-elf</v>
      </c>
      <c r="B748" s="1" t="s">
        <v>10</v>
      </c>
      <c r="C748" s="1" t="s">
        <v>2</v>
      </c>
      <c r="D748">
        <f t="shared" si="96"/>
        <v>0</v>
      </c>
      <c r="E748">
        <f t="shared" si="97"/>
        <v>2</v>
      </c>
      <c r="F748">
        <f t="shared" si="102"/>
        <v>2</v>
      </c>
      <c r="G748">
        <f t="shared" si="98"/>
        <v>8</v>
      </c>
      <c r="H748">
        <f t="shared" si="99"/>
        <v>12</v>
      </c>
      <c r="I748">
        <f t="shared" si="100"/>
        <v>100</v>
      </c>
      <c r="J748" t="str">
        <f t="shared" si="101"/>
        <v>Half-elfPaladinStr</v>
      </c>
    </row>
    <row r="749" spans="1:10" x14ac:dyDescent="0.3">
      <c r="A749" s="1" t="str">
        <f t="shared" si="103"/>
        <v>Half-elf</v>
      </c>
      <c r="B749" s="1" t="s">
        <v>10</v>
      </c>
      <c r="C749" s="1" t="s">
        <v>3</v>
      </c>
      <c r="D749">
        <f t="shared" si="96"/>
        <v>1</v>
      </c>
      <c r="E749">
        <f t="shared" si="97"/>
        <v>-1</v>
      </c>
      <c r="F749">
        <f t="shared" si="102"/>
        <v>0</v>
      </c>
      <c r="G749">
        <f t="shared" si="98"/>
        <v>10</v>
      </c>
      <c r="H749">
        <f t="shared" si="99"/>
        <v>0</v>
      </c>
      <c r="I749">
        <f t="shared" si="100"/>
        <v>80</v>
      </c>
      <c r="J749" t="str">
        <f t="shared" si="101"/>
        <v>Half-elfPaladinDex</v>
      </c>
    </row>
    <row r="750" spans="1:10" x14ac:dyDescent="0.3">
      <c r="A750" s="1" t="str">
        <f t="shared" si="103"/>
        <v>Half-elf</v>
      </c>
      <c r="B750" s="1" t="s">
        <v>10</v>
      </c>
      <c r="C750" s="1" t="s">
        <v>4</v>
      </c>
      <c r="D750">
        <f t="shared" si="96"/>
        <v>-3</v>
      </c>
      <c r="E750">
        <f t="shared" si="97"/>
        <v>0</v>
      </c>
      <c r="F750">
        <f t="shared" si="102"/>
        <v>-3</v>
      </c>
      <c r="G750">
        <f t="shared" si="98"/>
        <v>19</v>
      </c>
      <c r="H750">
        <f t="shared" si="99"/>
        <v>0</v>
      </c>
      <c r="I750">
        <f t="shared" si="100"/>
        <v>50</v>
      </c>
      <c r="J750" t="str">
        <f t="shared" si="101"/>
        <v>Half-elfPaladinCon</v>
      </c>
    </row>
    <row r="751" spans="1:10" x14ac:dyDescent="0.3">
      <c r="A751" s="1" t="str">
        <f t="shared" si="103"/>
        <v>Half-elf</v>
      </c>
      <c r="B751" s="1" t="s">
        <v>10</v>
      </c>
      <c r="C751" s="1" t="s">
        <v>5</v>
      </c>
      <c r="D751">
        <f t="shared" si="96"/>
        <v>2</v>
      </c>
      <c r="E751">
        <f t="shared" si="97"/>
        <v>-2</v>
      </c>
      <c r="F751">
        <f t="shared" si="102"/>
        <v>0</v>
      </c>
      <c r="G751">
        <f t="shared" si="98"/>
        <v>10</v>
      </c>
      <c r="H751">
        <f t="shared" si="99"/>
        <v>0</v>
      </c>
      <c r="I751">
        <f t="shared" si="100"/>
        <v>80</v>
      </c>
      <c r="J751" t="str">
        <f t="shared" si="101"/>
        <v>Half-elfPaladinCha</v>
      </c>
    </row>
    <row r="752" spans="1:10" x14ac:dyDescent="0.3">
      <c r="A752" s="1" t="str">
        <f t="shared" si="103"/>
        <v>Half-elf</v>
      </c>
      <c r="B752" s="1" t="s">
        <v>10</v>
      </c>
      <c r="C752" s="1" t="s">
        <v>6</v>
      </c>
      <c r="D752">
        <f t="shared" si="96"/>
        <v>0</v>
      </c>
      <c r="E752">
        <f t="shared" si="97"/>
        <v>0</v>
      </c>
      <c r="F752">
        <f t="shared" si="102"/>
        <v>0</v>
      </c>
      <c r="G752">
        <f t="shared" si="98"/>
        <v>10</v>
      </c>
      <c r="H752">
        <f t="shared" si="99"/>
        <v>0</v>
      </c>
      <c r="I752">
        <f t="shared" si="100"/>
        <v>80</v>
      </c>
      <c r="J752" t="str">
        <f t="shared" si="101"/>
        <v>Half-elfPaladinBra</v>
      </c>
    </row>
    <row r="753" spans="1:10" x14ac:dyDescent="0.3">
      <c r="A753" s="1" t="str">
        <f t="shared" si="103"/>
        <v>Half-elf</v>
      </c>
      <c r="B753" s="1" t="s">
        <v>10</v>
      </c>
      <c r="C753" s="1" t="s">
        <v>7</v>
      </c>
      <c r="D753">
        <f t="shared" si="96"/>
        <v>-1</v>
      </c>
      <c r="E753">
        <f t="shared" si="97"/>
        <v>1</v>
      </c>
      <c r="F753">
        <f t="shared" si="102"/>
        <v>0</v>
      </c>
      <c r="G753">
        <f t="shared" si="98"/>
        <v>10</v>
      </c>
      <c r="H753">
        <f t="shared" si="99"/>
        <v>0</v>
      </c>
      <c r="I753">
        <f t="shared" si="100"/>
        <v>80</v>
      </c>
      <c r="J753" t="str">
        <f t="shared" si="101"/>
        <v>Half-elfPaladinHP</v>
      </c>
    </row>
    <row r="754" spans="1:10" x14ac:dyDescent="0.3">
      <c r="A754" s="1" t="str">
        <f t="shared" si="103"/>
        <v>Half-elf</v>
      </c>
      <c r="B754" s="1" t="s">
        <v>11</v>
      </c>
      <c r="C754" s="1" t="s">
        <v>0</v>
      </c>
      <c r="D754">
        <f t="shared" si="96"/>
        <v>-2</v>
      </c>
      <c r="E754">
        <f t="shared" si="97"/>
        <v>-7</v>
      </c>
      <c r="F754">
        <f t="shared" si="102"/>
        <v>-9</v>
      </c>
      <c r="G754">
        <f t="shared" si="98"/>
        <v>31</v>
      </c>
      <c r="H754">
        <f t="shared" si="99"/>
        <v>0</v>
      </c>
      <c r="I754">
        <f t="shared" si="100"/>
        <v>0</v>
      </c>
      <c r="J754" t="str">
        <f t="shared" si="101"/>
        <v>Half-elfRangerMag</v>
      </c>
    </row>
    <row r="755" spans="1:10" x14ac:dyDescent="0.3">
      <c r="A755" s="1" t="str">
        <f t="shared" si="103"/>
        <v>Half-elf</v>
      </c>
      <c r="B755" s="1" t="s">
        <v>11</v>
      </c>
      <c r="C755" s="1" t="s">
        <v>1</v>
      </c>
      <c r="D755">
        <f t="shared" si="96"/>
        <v>3</v>
      </c>
      <c r="E755">
        <f t="shared" si="97"/>
        <v>0</v>
      </c>
      <c r="F755">
        <f t="shared" si="102"/>
        <v>3</v>
      </c>
      <c r="G755">
        <f t="shared" si="98"/>
        <v>7</v>
      </c>
      <c r="H755">
        <f t="shared" si="99"/>
        <v>11</v>
      </c>
      <c r="I755">
        <f t="shared" si="100"/>
        <v>105</v>
      </c>
      <c r="J755" t="str">
        <f t="shared" si="101"/>
        <v>Half-elfRangerDiv</v>
      </c>
    </row>
    <row r="756" spans="1:10" x14ac:dyDescent="0.3">
      <c r="A756" s="1" t="str">
        <f t="shared" si="103"/>
        <v>Half-elf</v>
      </c>
      <c r="B756" s="1" t="s">
        <v>11</v>
      </c>
      <c r="C756" s="1" t="s">
        <v>2</v>
      </c>
      <c r="D756">
        <f t="shared" si="96"/>
        <v>0</v>
      </c>
      <c r="E756">
        <f t="shared" si="97"/>
        <v>1</v>
      </c>
      <c r="F756">
        <f t="shared" si="102"/>
        <v>1</v>
      </c>
      <c r="G756">
        <f t="shared" si="98"/>
        <v>9</v>
      </c>
      <c r="H756">
        <f t="shared" si="99"/>
        <v>14</v>
      </c>
      <c r="I756">
        <f t="shared" si="100"/>
        <v>90</v>
      </c>
      <c r="J756" t="str">
        <f t="shared" si="101"/>
        <v>Half-elfRangerStr</v>
      </c>
    </row>
    <row r="757" spans="1:10" x14ac:dyDescent="0.3">
      <c r="A757" s="1" t="str">
        <f t="shared" si="103"/>
        <v>Half-elf</v>
      </c>
      <c r="B757" s="1" t="s">
        <v>11</v>
      </c>
      <c r="C757" s="1" t="s">
        <v>3</v>
      </c>
      <c r="D757">
        <f t="shared" si="96"/>
        <v>1</v>
      </c>
      <c r="E757">
        <f t="shared" si="97"/>
        <v>2</v>
      </c>
      <c r="F757">
        <f t="shared" si="102"/>
        <v>3</v>
      </c>
      <c r="G757">
        <f t="shared" si="98"/>
        <v>7</v>
      </c>
      <c r="H757">
        <f t="shared" si="99"/>
        <v>11</v>
      </c>
      <c r="I757">
        <f t="shared" si="100"/>
        <v>105</v>
      </c>
      <c r="J757" t="str">
        <f t="shared" si="101"/>
        <v>Half-elfRangerDex</v>
      </c>
    </row>
    <row r="758" spans="1:10" x14ac:dyDescent="0.3">
      <c r="A758" s="1" t="str">
        <f t="shared" si="103"/>
        <v>Half-elf</v>
      </c>
      <c r="B758" s="1" t="s">
        <v>11</v>
      </c>
      <c r="C758" s="1" t="s">
        <v>4</v>
      </c>
      <c r="D758">
        <f t="shared" si="96"/>
        <v>-3</v>
      </c>
      <c r="E758">
        <f t="shared" si="97"/>
        <v>0</v>
      </c>
      <c r="F758">
        <f t="shared" si="102"/>
        <v>-3</v>
      </c>
      <c r="G758">
        <f t="shared" si="98"/>
        <v>19</v>
      </c>
      <c r="H758">
        <f t="shared" si="99"/>
        <v>0</v>
      </c>
      <c r="I758">
        <f t="shared" si="100"/>
        <v>50</v>
      </c>
      <c r="J758" t="str">
        <f t="shared" si="101"/>
        <v>Half-elfRangerCon</v>
      </c>
    </row>
    <row r="759" spans="1:10" x14ac:dyDescent="0.3">
      <c r="A759" s="1" t="str">
        <f t="shared" si="103"/>
        <v>Half-elf</v>
      </c>
      <c r="B759" s="1" t="s">
        <v>11</v>
      </c>
      <c r="C759" s="1" t="s">
        <v>5</v>
      </c>
      <c r="D759">
        <f t="shared" si="96"/>
        <v>2</v>
      </c>
      <c r="E759">
        <f t="shared" si="97"/>
        <v>-2</v>
      </c>
      <c r="F759">
        <f t="shared" si="102"/>
        <v>0</v>
      </c>
      <c r="G759">
        <f t="shared" si="98"/>
        <v>10</v>
      </c>
      <c r="H759">
        <f t="shared" si="99"/>
        <v>0</v>
      </c>
      <c r="I759">
        <f t="shared" si="100"/>
        <v>80</v>
      </c>
      <c r="J759" t="str">
        <f t="shared" si="101"/>
        <v>Half-elfRangerCha</v>
      </c>
    </row>
    <row r="760" spans="1:10" x14ac:dyDescent="0.3">
      <c r="A760" s="1" t="str">
        <f t="shared" si="103"/>
        <v>Half-elf</v>
      </c>
      <c r="B760" s="1" t="s">
        <v>11</v>
      </c>
      <c r="C760" s="1" t="s">
        <v>6</v>
      </c>
      <c r="D760">
        <f t="shared" si="96"/>
        <v>0</v>
      </c>
      <c r="E760">
        <f t="shared" si="97"/>
        <v>-1</v>
      </c>
      <c r="F760">
        <f t="shared" si="102"/>
        <v>-1</v>
      </c>
      <c r="G760">
        <f t="shared" si="98"/>
        <v>13</v>
      </c>
      <c r="H760">
        <f t="shared" si="99"/>
        <v>0</v>
      </c>
      <c r="I760">
        <f t="shared" si="100"/>
        <v>70</v>
      </c>
      <c r="J760" t="str">
        <f t="shared" si="101"/>
        <v>Half-elfRangerBra</v>
      </c>
    </row>
    <row r="761" spans="1:10" x14ac:dyDescent="0.3">
      <c r="A761" s="1" t="str">
        <f t="shared" si="103"/>
        <v>Half-elf</v>
      </c>
      <c r="B761" s="1" t="s">
        <v>11</v>
      </c>
      <c r="C761" s="1" t="s">
        <v>7</v>
      </c>
      <c r="D761">
        <f t="shared" si="96"/>
        <v>-1</v>
      </c>
      <c r="E761">
        <f t="shared" si="97"/>
        <v>0</v>
      </c>
      <c r="F761">
        <f t="shared" si="102"/>
        <v>-1</v>
      </c>
      <c r="G761">
        <f t="shared" si="98"/>
        <v>13</v>
      </c>
      <c r="H761">
        <f t="shared" si="99"/>
        <v>0</v>
      </c>
      <c r="I761">
        <f t="shared" si="100"/>
        <v>70</v>
      </c>
      <c r="J761" t="str">
        <f t="shared" si="101"/>
        <v>Half-elfRangerHP</v>
      </c>
    </row>
    <row r="762" spans="1:10" x14ac:dyDescent="0.3">
      <c r="A762" s="1" t="str">
        <f t="shared" si="103"/>
        <v>Half-elf</v>
      </c>
      <c r="B762" s="1" t="s">
        <v>12</v>
      </c>
      <c r="C762" s="1" t="s">
        <v>0</v>
      </c>
      <c r="D762">
        <f t="shared" si="96"/>
        <v>-2</v>
      </c>
      <c r="E762">
        <f t="shared" si="97"/>
        <v>0</v>
      </c>
      <c r="F762">
        <f t="shared" si="102"/>
        <v>-2</v>
      </c>
      <c r="G762">
        <f t="shared" si="98"/>
        <v>16</v>
      </c>
      <c r="H762">
        <f t="shared" si="99"/>
        <v>0</v>
      </c>
      <c r="I762">
        <f t="shared" si="100"/>
        <v>60</v>
      </c>
      <c r="J762" t="str">
        <f t="shared" si="101"/>
        <v>Half-elfAssassinMag</v>
      </c>
    </row>
    <row r="763" spans="1:10" x14ac:dyDescent="0.3">
      <c r="A763" s="1" t="str">
        <f t="shared" si="103"/>
        <v>Half-elf</v>
      </c>
      <c r="B763" s="1" t="s">
        <v>12</v>
      </c>
      <c r="C763" s="1" t="s">
        <v>1</v>
      </c>
      <c r="D763">
        <f t="shared" si="96"/>
        <v>3</v>
      </c>
      <c r="E763">
        <f t="shared" si="97"/>
        <v>-7</v>
      </c>
      <c r="F763">
        <f t="shared" si="102"/>
        <v>-4</v>
      </c>
      <c r="G763">
        <f t="shared" si="98"/>
        <v>22</v>
      </c>
      <c r="H763">
        <f t="shared" si="99"/>
        <v>0</v>
      </c>
      <c r="I763">
        <f t="shared" si="100"/>
        <v>40</v>
      </c>
      <c r="J763" t="str">
        <f t="shared" si="101"/>
        <v>Half-elfAssassinDiv</v>
      </c>
    </row>
    <row r="764" spans="1:10" x14ac:dyDescent="0.3">
      <c r="A764" s="1" t="str">
        <f t="shared" si="103"/>
        <v>Half-elf</v>
      </c>
      <c r="B764" s="1" t="s">
        <v>12</v>
      </c>
      <c r="C764" s="1" t="s">
        <v>2</v>
      </c>
      <c r="D764">
        <f t="shared" si="96"/>
        <v>0</v>
      </c>
      <c r="E764">
        <f t="shared" si="97"/>
        <v>0</v>
      </c>
      <c r="F764">
        <f t="shared" si="102"/>
        <v>0</v>
      </c>
      <c r="G764">
        <f t="shared" si="98"/>
        <v>10</v>
      </c>
      <c r="H764">
        <f t="shared" si="99"/>
        <v>0</v>
      </c>
      <c r="I764">
        <f t="shared" si="100"/>
        <v>80</v>
      </c>
      <c r="J764" t="str">
        <f t="shared" si="101"/>
        <v>Half-elfAssassinStr</v>
      </c>
    </row>
    <row r="765" spans="1:10" x14ac:dyDescent="0.3">
      <c r="A765" s="1" t="str">
        <f t="shared" si="103"/>
        <v>Half-elf</v>
      </c>
      <c r="B765" s="1" t="s">
        <v>12</v>
      </c>
      <c r="C765" s="1" t="s">
        <v>3</v>
      </c>
      <c r="D765">
        <f t="shared" si="96"/>
        <v>1</v>
      </c>
      <c r="E765">
        <f t="shared" si="97"/>
        <v>2</v>
      </c>
      <c r="F765">
        <f t="shared" si="102"/>
        <v>3</v>
      </c>
      <c r="G765">
        <f t="shared" si="98"/>
        <v>7</v>
      </c>
      <c r="H765">
        <f t="shared" si="99"/>
        <v>11</v>
      </c>
      <c r="I765">
        <f t="shared" si="100"/>
        <v>105</v>
      </c>
      <c r="J765" t="str">
        <f t="shared" si="101"/>
        <v>Half-elfAssassinDex</v>
      </c>
    </row>
    <row r="766" spans="1:10" x14ac:dyDescent="0.3">
      <c r="A766" s="1" t="str">
        <f t="shared" si="103"/>
        <v>Half-elf</v>
      </c>
      <c r="B766" s="1" t="s">
        <v>12</v>
      </c>
      <c r="C766" s="1" t="s">
        <v>4</v>
      </c>
      <c r="D766">
        <f t="shared" si="96"/>
        <v>-3</v>
      </c>
      <c r="E766">
        <f t="shared" si="97"/>
        <v>0</v>
      </c>
      <c r="F766">
        <f t="shared" si="102"/>
        <v>-3</v>
      </c>
      <c r="G766">
        <f t="shared" si="98"/>
        <v>19</v>
      </c>
      <c r="H766">
        <f t="shared" si="99"/>
        <v>0</v>
      </c>
      <c r="I766">
        <f t="shared" si="100"/>
        <v>50</v>
      </c>
      <c r="J766" t="str">
        <f t="shared" si="101"/>
        <v>Half-elfAssassinCon</v>
      </c>
    </row>
    <row r="767" spans="1:10" x14ac:dyDescent="0.3">
      <c r="A767" s="1" t="str">
        <f t="shared" si="103"/>
        <v>Half-elf</v>
      </c>
      <c r="B767" s="1" t="s">
        <v>12</v>
      </c>
      <c r="C767" s="1" t="s">
        <v>5</v>
      </c>
      <c r="D767">
        <f t="shared" si="96"/>
        <v>2</v>
      </c>
      <c r="E767">
        <f t="shared" si="97"/>
        <v>-2</v>
      </c>
      <c r="F767">
        <f t="shared" si="102"/>
        <v>0</v>
      </c>
      <c r="G767">
        <f t="shared" si="98"/>
        <v>10</v>
      </c>
      <c r="H767">
        <f t="shared" si="99"/>
        <v>0</v>
      </c>
      <c r="I767">
        <f t="shared" si="100"/>
        <v>80</v>
      </c>
      <c r="J767" t="str">
        <f t="shared" si="101"/>
        <v>Half-elfAssassinCha</v>
      </c>
    </row>
    <row r="768" spans="1:10" x14ac:dyDescent="0.3">
      <c r="A768" s="1" t="str">
        <f t="shared" si="103"/>
        <v>Half-elf</v>
      </c>
      <c r="B768" s="1" t="s">
        <v>12</v>
      </c>
      <c r="C768" s="1" t="s">
        <v>6</v>
      </c>
      <c r="D768">
        <f t="shared" si="96"/>
        <v>0</v>
      </c>
      <c r="E768">
        <f t="shared" si="97"/>
        <v>1</v>
      </c>
      <c r="F768">
        <f t="shared" si="102"/>
        <v>1</v>
      </c>
      <c r="G768">
        <f t="shared" si="98"/>
        <v>9</v>
      </c>
      <c r="H768">
        <f t="shared" si="99"/>
        <v>14</v>
      </c>
      <c r="I768">
        <f t="shared" si="100"/>
        <v>90</v>
      </c>
      <c r="J768" t="str">
        <f t="shared" si="101"/>
        <v>Half-elfAssassinBra</v>
      </c>
    </row>
    <row r="769" spans="1:10" x14ac:dyDescent="0.3">
      <c r="A769" s="1" t="str">
        <f t="shared" si="103"/>
        <v>Half-elf</v>
      </c>
      <c r="B769" s="1" t="s">
        <v>12</v>
      </c>
      <c r="C769" s="1" t="s">
        <v>7</v>
      </c>
      <c r="D769">
        <f t="shared" si="96"/>
        <v>-1</v>
      </c>
      <c r="E769">
        <f t="shared" si="97"/>
        <v>-1</v>
      </c>
      <c r="F769">
        <f t="shared" si="102"/>
        <v>-2</v>
      </c>
      <c r="G769">
        <f t="shared" si="98"/>
        <v>16</v>
      </c>
      <c r="H769">
        <f t="shared" si="99"/>
        <v>0</v>
      </c>
      <c r="I769">
        <f t="shared" si="100"/>
        <v>60</v>
      </c>
      <c r="J769" t="str">
        <f t="shared" si="101"/>
        <v>Half-elfAssassinHP</v>
      </c>
    </row>
    <row r="770" spans="1:10" x14ac:dyDescent="0.3">
      <c r="A770" s="1" t="str">
        <f t="shared" si="103"/>
        <v>Half-elf</v>
      </c>
      <c r="B770" s="1" t="s">
        <v>13</v>
      </c>
      <c r="C770" s="1" t="s">
        <v>0</v>
      </c>
      <c r="D770">
        <f t="shared" ref="D770:D833" si="104">INDEX(TblRaceValues,MATCH(C770, TblAbilities, 0),MATCH(A770,TblRaces,0))</f>
        <v>-2</v>
      </c>
      <c r="E770">
        <f t="shared" ref="E770:E833" si="105">INDEX(TblProfessionValues,MATCH(C770,TblAbilities,0),MATCH(B770,TblProfessions,0))</f>
        <v>-5</v>
      </c>
      <c r="F770">
        <f t="shared" si="102"/>
        <v>-7</v>
      </c>
      <c r="G770">
        <f t="shared" ref="G770:G833" si="106">HLOOKUP(MIN(MAX(-7,F770),7),TblPracticeCost,2)</f>
        <v>31</v>
      </c>
      <c r="H770">
        <f t="shared" ref="H770:H833" si="107">HLOOKUP(MIN(MAX(-7,F770),7),TblPracticeCost,3)</f>
        <v>0</v>
      </c>
      <c r="I770">
        <f t="shared" ref="I770:I833" si="108">VLOOKUP(MIN(MAX(-7,F770),7),TblBonusMaxSkill,2)</f>
        <v>0</v>
      </c>
      <c r="J770" t="str">
        <f t="shared" si="101"/>
        <v>Half-elfThiefMag</v>
      </c>
    </row>
    <row r="771" spans="1:10" x14ac:dyDescent="0.3">
      <c r="A771" s="1" t="str">
        <f t="shared" si="103"/>
        <v>Half-elf</v>
      </c>
      <c r="B771" s="1" t="s">
        <v>13</v>
      </c>
      <c r="C771" s="1" t="s">
        <v>1</v>
      </c>
      <c r="D771">
        <f t="shared" si="104"/>
        <v>3</v>
      </c>
      <c r="E771">
        <f t="shared" si="105"/>
        <v>-7</v>
      </c>
      <c r="F771">
        <f t="shared" si="102"/>
        <v>-4</v>
      </c>
      <c r="G771">
        <f t="shared" si="106"/>
        <v>22</v>
      </c>
      <c r="H771">
        <f t="shared" si="107"/>
        <v>0</v>
      </c>
      <c r="I771">
        <f t="shared" si="108"/>
        <v>40</v>
      </c>
      <c r="J771" t="str">
        <f t="shared" ref="J771:J834" si="109">A771&amp;B771&amp;C771</f>
        <v>Half-elfThiefDiv</v>
      </c>
    </row>
    <row r="772" spans="1:10" x14ac:dyDescent="0.3">
      <c r="A772" s="1" t="str">
        <f t="shared" si="103"/>
        <v>Half-elf</v>
      </c>
      <c r="B772" s="1" t="s">
        <v>13</v>
      </c>
      <c r="C772" s="1" t="s">
        <v>2</v>
      </c>
      <c r="D772">
        <f t="shared" si="104"/>
        <v>0</v>
      </c>
      <c r="E772">
        <f t="shared" si="105"/>
        <v>0</v>
      </c>
      <c r="F772">
        <f t="shared" si="102"/>
        <v>0</v>
      </c>
      <c r="G772">
        <f t="shared" si="106"/>
        <v>10</v>
      </c>
      <c r="H772">
        <f t="shared" si="107"/>
        <v>0</v>
      </c>
      <c r="I772">
        <f t="shared" si="108"/>
        <v>80</v>
      </c>
      <c r="J772" t="str">
        <f t="shared" si="109"/>
        <v>Half-elfThiefStr</v>
      </c>
    </row>
    <row r="773" spans="1:10" x14ac:dyDescent="0.3">
      <c r="A773" s="1" t="str">
        <f t="shared" si="103"/>
        <v>Half-elf</v>
      </c>
      <c r="B773" s="1" t="s">
        <v>13</v>
      </c>
      <c r="C773" s="1" t="s">
        <v>3</v>
      </c>
      <c r="D773">
        <f t="shared" si="104"/>
        <v>1</v>
      </c>
      <c r="E773">
        <f t="shared" si="105"/>
        <v>3</v>
      </c>
      <c r="F773">
        <f t="shared" si="102"/>
        <v>4</v>
      </c>
      <c r="G773">
        <f t="shared" si="106"/>
        <v>6</v>
      </c>
      <c r="H773">
        <f t="shared" si="107"/>
        <v>9</v>
      </c>
      <c r="I773">
        <f t="shared" si="108"/>
        <v>108</v>
      </c>
      <c r="J773" t="str">
        <f t="shared" si="109"/>
        <v>Half-elfThiefDex</v>
      </c>
    </row>
    <row r="774" spans="1:10" x14ac:dyDescent="0.3">
      <c r="A774" s="1" t="str">
        <f t="shared" si="103"/>
        <v>Half-elf</v>
      </c>
      <c r="B774" s="1" t="s">
        <v>13</v>
      </c>
      <c r="C774" s="1" t="s">
        <v>4</v>
      </c>
      <c r="D774">
        <f t="shared" si="104"/>
        <v>-3</v>
      </c>
      <c r="E774">
        <f t="shared" si="105"/>
        <v>-1</v>
      </c>
      <c r="F774">
        <f t="shared" si="102"/>
        <v>-4</v>
      </c>
      <c r="G774">
        <f t="shared" si="106"/>
        <v>22</v>
      </c>
      <c r="H774">
        <f t="shared" si="107"/>
        <v>0</v>
      </c>
      <c r="I774">
        <f t="shared" si="108"/>
        <v>40</v>
      </c>
      <c r="J774" t="str">
        <f t="shared" si="109"/>
        <v>Half-elfThiefCon</v>
      </c>
    </row>
    <row r="775" spans="1:10" x14ac:dyDescent="0.3">
      <c r="A775" s="1" t="str">
        <f t="shared" si="103"/>
        <v>Half-elf</v>
      </c>
      <c r="B775" s="1" t="s">
        <v>13</v>
      </c>
      <c r="C775" s="1" t="s">
        <v>5</v>
      </c>
      <c r="D775">
        <f t="shared" si="104"/>
        <v>2</v>
      </c>
      <c r="E775">
        <f t="shared" si="105"/>
        <v>-2</v>
      </c>
      <c r="F775">
        <f t="shared" si="102"/>
        <v>0</v>
      </c>
      <c r="G775">
        <f t="shared" si="106"/>
        <v>10</v>
      </c>
      <c r="H775">
        <f t="shared" si="107"/>
        <v>0</v>
      </c>
      <c r="I775">
        <f t="shared" si="108"/>
        <v>80</v>
      </c>
      <c r="J775" t="str">
        <f t="shared" si="109"/>
        <v>Half-elfThiefCha</v>
      </c>
    </row>
    <row r="776" spans="1:10" x14ac:dyDescent="0.3">
      <c r="A776" s="1" t="str">
        <f t="shared" si="103"/>
        <v>Half-elf</v>
      </c>
      <c r="B776" s="1" t="s">
        <v>13</v>
      </c>
      <c r="C776" s="1" t="s">
        <v>6</v>
      </c>
      <c r="D776">
        <f t="shared" si="104"/>
        <v>0</v>
      </c>
      <c r="E776">
        <f t="shared" si="105"/>
        <v>2</v>
      </c>
      <c r="F776">
        <f t="shared" si="102"/>
        <v>2</v>
      </c>
      <c r="G776">
        <f t="shared" si="106"/>
        <v>8</v>
      </c>
      <c r="H776">
        <f t="shared" si="107"/>
        <v>12</v>
      </c>
      <c r="I776">
        <f t="shared" si="108"/>
        <v>100</v>
      </c>
      <c r="J776" t="str">
        <f t="shared" si="109"/>
        <v>Half-elfThiefBra</v>
      </c>
    </row>
    <row r="777" spans="1:10" x14ac:dyDescent="0.3">
      <c r="A777" s="1" t="str">
        <f t="shared" si="103"/>
        <v>Half-elf</v>
      </c>
      <c r="B777" s="1" t="s">
        <v>13</v>
      </c>
      <c r="C777" s="1" t="s">
        <v>7</v>
      </c>
      <c r="D777">
        <f t="shared" si="104"/>
        <v>-1</v>
      </c>
      <c r="E777">
        <f t="shared" si="105"/>
        <v>1</v>
      </c>
      <c r="F777">
        <f t="shared" si="102"/>
        <v>0</v>
      </c>
      <c r="G777">
        <f t="shared" si="106"/>
        <v>10</v>
      </c>
      <c r="H777">
        <f t="shared" si="107"/>
        <v>0</v>
      </c>
      <c r="I777">
        <f t="shared" si="108"/>
        <v>80</v>
      </c>
      <c r="J777" t="str">
        <f t="shared" si="109"/>
        <v>Half-elfThiefHP</v>
      </c>
    </row>
    <row r="778" spans="1:10" x14ac:dyDescent="0.3">
      <c r="A778" s="1" t="str">
        <f t="shared" si="103"/>
        <v>Half-elf</v>
      </c>
      <c r="B778" s="1" t="s">
        <v>14</v>
      </c>
      <c r="C778" s="1" t="s">
        <v>0</v>
      </c>
      <c r="D778">
        <f t="shared" si="104"/>
        <v>-2</v>
      </c>
      <c r="E778">
        <f t="shared" si="105"/>
        <v>-7</v>
      </c>
      <c r="F778">
        <f t="shared" si="102"/>
        <v>-9</v>
      </c>
      <c r="G778">
        <f t="shared" si="106"/>
        <v>31</v>
      </c>
      <c r="H778">
        <f t="shared" si="107"/>
        <v>0</v>
      </c>
      <c r="I778">
        <f t="shared" si="108"/>
        <v>0</v>
      </c>
      <c r="J778" t="str">
        <f t="shared" si="109"/>
        <v>Half-elfDruidMag</v>
      </c>
    </row>
    <row r="779" spans="1:10" x14ac:dyDescent="0.3">
      <c r="A779" s="1" t="str">
        <f t="shared" si="103"/>
        <v>Half-elf</v>
      </c>
      <c r="B779" s="1" t="s">
        <v>14</v>
      </c>
      <c r="C779" s="1" t="s">
        <v>1</v>
      </c>
      <c r="D779">
        <f t="shared" si="104"/>
        <v>3</v>
      </c>
      <c r="E779">
        <f t="shared" si="105"/>
        <v>2</v>
      </c>
      <c r="F779">
        <f t="shared" si="102"/>
        <v>5</v>
      </c>
      <c r="G779">
        <f t="shared" si="106"/>
        <v>5</v>
      </c>
      <c r="H779">
        <f t="shared" si="107"/>
        <v>8</v>
      </c>
      <c r="I779">
        <f t="shared" si="108"/>
        <v>110</v>
      </c>
      <c r="J779" t="str">
        <f t="shared" si="109"/>
        <v>Half-elfDruidDiv</v>
      </c>
    </row>
    <row r="780" spans="1:10" x14ac:dyDescent="0.3">
      <c r="A780" s="1" t="str">
        <f t="shared" si="103"/>
        <v>Half-elf</v>
      </c>
      <c r="B780" s="1" t="s">
        <v>14</v>
      </c>
      <c r="C780" s="1" t="s">
        <v>2</v>
      </c>
      <c r="D780">
        <f t="shared" si="104"/>
        <v>0</v>
      </c>
      <c r="E780">
        <f t="shared" si="105"/>
        <v>-2</v>
      </c>
      <c r="F780">
        <f t="shared" si="102"/>
        <v>-2</v>
      </c>
      <c r="G780">
        <f t="shared" si="106"/>
        <v>16</v>
      </c>
      <c r="H780">
        <f t="shared" si="107"/>
        <v>0</v>
      </c>
      <c r="I780">
        <f t="shared" si="108"/>
        <v>60</v>
      </c>
      <c r="J780" t="str">
        <f t="shared" si="109"/>
        <v>Half-elfDruidStr</v>
      </c>
    </row>
    <row r="781" spans="1:10" x14ac:dyDescent="0.3">
      <c r="A781" s="1" t="str">
        <f t="shared" si="103"/>
        <v>Half-elf</v>
      </c>
      <c r="B781" s="1" t="s">
        <v>14</v>
      </c>
      <c r="C781" s="1" t="s">
        <v>3</v>
      </c>
      <c r="D781">
        <f t="shared" si="104"/>
        <v>1</v>
      </c>
      <c r="E781">
        <f t="shared" si="105"/>
        <v>0</v>
      </c>
      <c r="F781">
        <f t="shared" si="102"/>
        <v>1</v>
      </c>
      <c r="G781">
        <f t="shared" si="106"/>
        <v>9</v>
      </c>
      <c r="H781">
        <f t="shared" si="107"/>
        <v>14</v>
      </c>
      <c r="I781">
        <f t="shared" si="108"/>
        <v>90</v>
      </c>
      <c r="J781" t="str">
        <f t="shared" si="109"/>
        <v>Half-elfDruidDex</v>
      </c>
    </row>
    <row r="782" spans="1:10" x14ac:dyDescent="0.3">
      <c r="A782" s="1" t="str">
        <f t="shared" si="103"/>
        <v>Half-elf</v>
      </c>
      <c r="B782" s="1" t="s">
        <v>14</v>
      </c>
      <c r="C782" s="1" t="s">
        <v>4</v>
      </c>
      <c r="D782">
        <f t="shared" si="104"/>
        <v>-3</v>
      </c>
      <c r="E782">
        <f t="shared" si="105"/>
        <v>-3</v>
      </c>
      <c r="F782">
        <f t="shared" si="102"/>
        <v>-6</v>
      </c>
      <c r="G782">
        <f t="shared" si="106"/>
        <v>28</v>
      </c>
      <c r="H782">
        <f t="shared" si="107"/>
        <v>0</v>
      </c>
      <c r="I782">
        <f t="shared" si="108"/>
        <v>15</v>
      </c>
      <c r="J782" t="str">
        <f t="shared" si="109"/>
        <v>Half-elfDruidCon</v>
      </c>
    </row>
    <row r="783" spans="1:10" x14ac:dyDescent="0.3">
      <c r="A783" s="1" t="str">
        <f t="shared" si="103"/>
        <v>Half-elf</v>
      </c>
      <c r="B783" s="1" t="s">
        <v>14</v>
      </c>
      <c r="C783" s="1" t="s">
        <v>5</v>
      </c>
      <c r="D783">
        <f t="shared" si="104"/>
        <v>2</v>
      </c>
      <c r="E783">
        <f t="shared" si="105"/>
        <v>1</v>
      </c>
      <c r="F783">
        <f t="shared" si="102"/>
        <v>3</v>
      </c>
      <c r="G783">
        <f t="shared" si="106"/>
        <v>7</v>
      </c>
      <c r="H783">
        <f t="shared" si="107"/>
        <v>11</v>
      </c>
      <c r="I783">
        <f t="shared" si="108"/>
        <v>105</v>
      </c>
      <c r="J783" t="str">
        <f t="shared" si="109"/>
        <v>Half-elfDruidCha</v>
      </c>
    </row>
    <row r="784" spans="1:10" x14ac:dyDescent="0.3">
      <c r="A784" s="1" t="str">
        <f t="shared" si="103"/>
        <v>Half-elf</v>
      </c>
      <c r="B784" s="1" t="s">
        <v>14</v>
      </c>
      <c r="C784" s="1" t="s">
        <v>6</v>
      </c>
      <c r="D784">
        <f t="shared" si="104"/>
        <v>0</v>
      </c>
      <c r="E784">
        <f t="shared" si="105"/>
        <v>3</v>
      </c>
      <c r="F784">
        <f t="shared" si="102"/>
        <v>3</v>
      </c>
      <c r="G784">
        <f t="shared" si="106"/>
        <v>7</v>
      </c>
      <c r="H784">
        <f t="shared" si="107"/>
        <v>11</v>
      </c>
      <c r="I784">
        <f t="shared" si="108"/>
        <v>105</v>
      </c>
      <c r="J784" t="str">
        <f t="shared" si="109"/>
        <v>Half-elfDruidBra</v>
      </c>
    </row>
    <row r="785" spans="1:10" x14ac:dyDescent="0.3">
      <c r="A785" s="1" t="str">
        <f t="shared" si="103"/>
        <v>Half-elf</v>
      </c>
      <c r="B785" s="1" t="s">
        <v>14</v>
      </c>
      <c r="C785" s="1" t="s">
        <v>7</v>
      </c>
      <c r="D785">
        <f t="shared" si="104"/>
        <v>-1</v>
      </c>
      <c r="E785">
        <f t="shared" si="105"/>
        <v>-1</v>
      </c>
      <c r="F785">
        <f t="shared" si="102"/>
        <v>-2</v>
      </c>
      <c r="G785">
        <f t="shared" si="106"/>
        <v>16</v>
      </c>
      <c r="H785">
        <f t="shared" si="107"/>
        <v>0</v>
      </c>
      <c r="I785">
        <f t="shared" si="108"/>
        <v>60</v>
      </c>
      <c r="J785" t="str">
        <f t="shared" si="109"/>
        <v>Half-elfDruidHP</v>
      </c>
    </row>
    <row r="786" spans="1:10" x14ac:dyDescent="0.3">
      <c r="A786" s="1" t="str">
        <f t="shared" si="103"/>
        <v>Half-elf</v>
      </c>
      <c r="B786" s="1" t="s">
        <v>31</v>
      </c>
      <c r="C786" s="1" t="s">
        <v>0</v>
      </c>
      <c r="D786">
        <f t="shared" si="104"/>
        <v>-2</v>
      </c>
      <c r="E786">
        <f t="shared" si="105"/>
        <v>2</v>
      </c>
      <c r="F786">
        <f t="shared" si="102"/>
        <v>0</v>
      </c>
      <c r="G786">
        <f t="shared" si="106"/>
        <v>10</v>
      </c>
      <c r="H786">
        <f t="shared" si="107"/>
        <v>0</v>
      </c>
      <c r="I786">
        <f t="shared" si="108"/>
        <v>80</v>
      </c>
      <c r="J786" t="str">
        <f t="shared" si="109"/>
        <v>Half-elfObsoleteMag</v>
      </c>
    </row>
    <row r="787" spans="1:10" x14ac:dyDescent="0.3">
      <c r="A787" s="1" t="str">
        <f t="shared" si="103"/>
        <v>Half-elf</v>
      </c>
      <c r="B787" s="1" t="s">
        <v>31</v>
      </c>
      <c r="C787" s="1" t="s">
        <v>1</v>
      </c>
      <c r="D787">
        <f t="shared" si="104"/>
        <v>3</v>
      </c>
      <c r="E787">
        <f t="shared" si="105"/>
        <v>2</v>
      </c>
      <c r="F787">
        <f t="shared" si="102"/>
        <v>5</v>
      </c>
      <c r="G787">
        <f t="shared" si="106"/>
        <v>5</v>
      </c>
      <c r="H787">
        <f t="shared" si="107"/>
        <v>8</v>
      </c>
      <c r="I787">
        <f t="shared" si="108"/>
        <v>110</v>
      </c>
      <c r="J787" t="str">
        <f t="shared" si="109"/>
        <v>Half-elfObsoleteDiv</v>
      </c>
    </row>
    <row r="788" spans="1:10" x14ac:dyDescent="0.3">
      <c r="A788" s="1" t="str">
        <f t="shared" si="103"/>
        <v>Half-elf</v>
      </c>
      <c r="B788" s="1" t="s">
        <v>31</v>
      </c>
      <c r="C788" s="1" t="s">
        <v>2</v>
      </c>
      <c r="D788">
        <f t="shared" si="104"/>
        <v>0</v>
      </c>
      <c r="E788">
        <f t="shared" si="105"/>
        <v>-2</v>
      </c>
      <c r="F788">
        <f t="shared" si="102"/>
        <v>-2</v>
      </c>
      <c r="G788">
        <f t="shared" si="106"/>
        <v>16</v>
      </c>
      <c r="H788">
        <f t="shared" si="107"/>
        <v>0</v>
      </c>
      <c r="I788">
        <f t="shared" si="108"/>
        <v>60</v>
      </c>
      <c r="J788" t="str">
        <f t="shared" si="109"/>
        <v>Half-elfObsoleteStr</v>
      </c>
    </row>
    <row r="789" spans="1:10" x14ac:dyDescent="0.3">
      <c r="A789" s="1" t="str">
        <f t="shared" si="103"/>
        <v>Half-elf</v>
      </c>
      <c r="B789" s="1" t="s">
        <v>31</v>
      </c>
      <c r="C789" s="1" t="s">
        <v>3</v>
      </c>
      <c r="D789">
        <f t="shared" si="104"/>
        <v>1</v>
      </c>
      <c r="E789">
        <f t="shared" si="105"/>
        <v>-1</v>
      </c>
      <c r="F789">
        <f t="shared" si="102"/>
        <v>0</v>
      </c>
      <c r="G789">
        <f t="shared" si="106"/>
        <v>10</v>
      </c>
      <c r="H789">
        <f t="shared" si="107"/>
        <v>0</v>
      </c>
      <c r="I789">
        <f t="shared" si="108"/>
        <v>80</v>
      </c>
      <c r="J789" t="str">
        <f t="shared" si="109"/>
        <v>Half-elfObsoleteDex</v>
      </c>
    </row>
    <row r="790" spans="1:10" x14ac:dyDescent="0.3">
      <c r="A790" s="1" t="str">
        <f t="shared" si="103"/>
        <v>Half-elf</v>
      </c>
      <c r="B790" s="1" t="s">
        <v>31</v>
      </c>
      <c r="C790" s="1" t="s">
        <v>4</v>
      </c>
      <c r="D790">
        <f t="shared" si="104"/>
        <v>-3</v>
      </c>
      <c r="E790">
        <f t="shared" si="105"/>
        <v>-2</v>
      </c>
      <c r="F790">
        <f t="shared" si="102"/>
        <v>-5</v>
      </c>
      <c r="G790">
        <f t="shared" si="106"/>
        <v>25</v>
      </c>
      <c r="H790">
        <f t="shared" si="107"/>
        <v>0</v>
      </c>
      <c r="I790">
        <f t="shared" si="108"/>
        <v>30</v>
      </c>
      <c r="J790" t="str">
        <f t="shared" si="109"/>
        <v>Half-elfObsoleteCon</v>
      </c>
    </row>
    <row r="791" spans="1:10" x14ac:dyDescent="0.3">
      <c r="A791" s="1" t="str">
        <f t="shared" si="103"/>
        <v>Half-elf</v>
      </c>
      <c r="B791" s="1" t="s">
        <v>31</v>
      </c>
      <c r="C791" s="1" t="s">
        <v>5</v>
      </c>
      <c r="D791">
        <f t="shared" si="104"/>
        <v>2</v>
      </c>
      <c r="E791">
        <f t="shared" si="105"/>
        <v>1</v>
      </c>
      <c r="F791">
        <f t="shared" si="102"/>
        <v>3</v>
      </c>
      <c r="G791">
        <f t="shared" si="106"/>
        <v>7</v>
      </c>
      <c r="H791">
        <f t="shared" si="107"/>
        <v>11</v>
      </c>
      <c r="I791">
        <f t="shared" si="108"/>
        <v>105</v>
      </c>
      <c r="J791" t="str">
        <f t="shared" si="109"/>
        <v>Half-elfObsoleteCha</v>
      </c>
    </row>
    <row r="792" spans="1:10" x14ac:dyDescent="0.3">
      <c r="A792" s="1" t="str">
        <f t="shared" si="103"/>
        <v>Half-elf</v>
      </c>
      <c r="B792" s="1" t="s">
        <v>31</v>
      </c>
      <c r="C792" s="1" t="s">
        <v>6</v>
      </c>
      <c r="D792">
        <f t="shared" si="104"/>
        <v>0</v>
      </c>
      <c r="E792">
        <f t="shared" si="105"/>
        <v>2</v>
      </c>
      <c r="F792">
        <f t="shared" si="102"/>
        <v>2</v>
      </c>
      <c r="G792">
        <f t="shared" si="106"/>
        <v>8</v>
      </c>
      <c r="H792">
        <f t="shared" si="107"/>
        <v>12</v>
      </c>
      <c r="I792">
        <f t="shared" si="108"/>
        <v>100</v>
      </c>
      <c r="J792" t="str">
        <f t="shared" si="109"/>
        <v>Half-elfObsoleteBra</v>
      </c>
    </row>
    <row r="793" spans="1:10" x14ac:dyDescent="0.3">
      <c r="A793" s="1" t="str">
        <f t="shared" si="103"/>
        <v>Half-elf</v>
      </c>
      <c r="B793" s="1" t="s">
        <v>31</v>
      </c>
      <c r="C793" s="1" t="s">
        <v>7</v>
      </c>
      <c r="D793">
        <f t="shared" si="104"/>
        <v>-1</v>
      </c>
      <c r="E793">
        <f t="shared" si="105"/>
        <v>0</v>
      </c>
      <c r="F793">
        <f t="shared" si="102"/>
        <v>-1</v>
      </c>
      <c r="G793">
        <f t="shared" si="106"/>
        <v>13</v>
      </c>
      <c r="H793">
        <f t="shared" si="107"/>
        <v>0</v>
      </c>
      <c r="I793">
        <f t="shared" si="108"/>
        <v>70</v>
      </c>
      <c r="J793" t="str">
        <f t="shared" si="109"/>
        <v>Half-elfObsoleteHP</v>
      </c>
    </row>
    <row r="794" spans="1:10" x14ac:dyDescent="0.3">
      <c r="A794" s="1" t="str">
        <f t="shared" si="103"/>
        <v>Half-elf</v>
      </c>
      <c r="B794" s="1" t="s">
        <v>91</v>
      </c>
      <c r="C794" s="1" t="s">
        <v>0</v>
      </c>
      <c r="D794">
        <f t="shared" si="104"/>
        <v>-2</v>
      </c>
      <c r="E794">
        <f t="shared" si="105"/>
        <v>-7</v>
      </c>
      <c r="F794">
        <f t="shared" si="102"/>
        <v>-9</v>
      </c>
      <c r="G794">
        <f t="shared" si="106"/>
        <v>31</v>
      </c>
      <c r="H794">
        <f t="shared" si="107"/>
        <v>0</v>
      </c>
      <c r="I794">
        <f t="shared" si="108"/>
        <v>0</v>
      </c>
      <c r="J794" t="str">
        <f t="shared" si="109"/>
        <v>Half-elfNecromancerMag</v>
      </c>
    </row>
    <row r="795" spans="1:10" x14ac:dyDescent="0.3">
      <c r="A795" s="1" t="str">
        <f t="shared" si="103"/>
        <v>Half-elf</v>
      </c>
      <c r="B795" s="1" t="s">
        <v>91</v>
      </c>
      <c r="C795" s="1" t="s">
        <v>1</v>
      </c>
      <c r="D795">
        <f t="shared" si="104"/>
        <v>3</v>
      </c>
      <c r="E795">
        <f t="shared" si="105"/>
        <v>0</v>
      </c>
      <c r="F795">
        <f t="shared" ref="F795:F858" si="110">E795+D795</f>
        <v>3</v>
      </c>
      <c r="G795">
        <f t="shared" si="106"/>
        <v>7</v>
      </c>
      <c r="H795">
        <f t="shared" si="107"/>
        <v>11</v>
      </c>
      <c r="I795">
        <f t="shared" si="108"/>
        <v>105</v>
      </c>
      <c r="J795" t="str">
        <f t="shared" si="109"/>
        <v>Half-elfNecromancerDiv</v>
      </c>
    </row>
    <row r="796" spans="1:10" x14ac:dyDescent="0.3">
      <c r="A796" s="1" t="str">
        <f t="shared" ref="A796:A833" si="111">A795</f>
        <v>Half-elf</v>
      </c>
      <c r="B796" s="1" t="s">
        <v>91</v>
      </c>
      <c r="C796" s="1" t="s">
        <v>2</v>
      </c>
      <c r="D796">
        <f t="shared" si="104"/>
        <v>0</v>
      </c>
      <c r="E796">
        <f t="shared" si="105"/>
        <v>-1</v>
      </c>
      <c r="F796">
        <f t="shared" si="110"/>
        <v>-1</v>
      </c>
      <c r="G796">
        <f t="shared" si="106"/>
        <v>13</v>
      </c>
      <c r="H796">
        <f t="shared" si="107"/>
        <v>0</v>
      </c>
      <c r="I796">
        <f t="shared" si="108"/>
        <v>70</v>
      </c>
      <c r="J796" t="str">
        <f t="shared" si="109"/>
        <v>Half-elfNecromancerStr</v>
      </c>
    </row>
    <row r="797" spans="1:10" x14ac:dyDescent="0.3">
      <c r="A797" s="1" t="str">
        <f t="shared" si="111"/>
        <v>Half-elf</v>
      </c>
      <c r="B797" s="1" t="s">
        <v>91</v>
      </c>
      <c r="C797" s="1" t="s">
        <v>3</v>
      </c>
      <c r="D797">
        <f t="shared" si="104"/>
        <v>1</v>
      </c>
      <c r="E797">
        <f t="shared" si="105"/>
        <v>1</v>
      </c>
      <c r="F797">
        <f t="shared" si="110"/>
        <v>2</v>
      </c>
      <c r="G797">
        <f t="shared" si="106"/>
        <v>8</v>
      </c>
      <c r="H797">
        <f t="shared" si="107"/>
        <v>12</v>
      </c>
      <c r="I797">
        <f t="shared" si="108"/>
        <v>100</v>
      </c>
      <c r="J797" t="str">
        <f t="shared" si="109"/>
        <v>Half-elfNecromancerDex</v>
      </c>
    </row>
    <row r="798" spans="1:10" x14ac:dyDescent="0.3">
      <c r="A798" s="1" t="str">
        <f t="shared" si="111"/>
        <v>Half-elf</v>
      </c>
      <c r="B798" s="1" t="s">
        <v>91</v>
      </c>
      <c r="C798" s="1" t="s">
        <v>4</v>
      </c>
      <c r="D798">
        <f t="shared" si="104"/>
        <v>-3</v>
      </c>
      <c r="E798">
        <f t="shared" si="105"/>
        <v>-3</v>
      </c>
      <c r="F798">
        <f t="shared" si="110"/>
        <v>-6</v>
      </c>
      <c r="G798">
        <f t="shared" si="106"/>
        <v>28</v>
      </c>
      <c r="H798">
        <f t="shared" si="107"/>
        <v>0</v>
      </c>
      <c r="I798">
        <f t="shared" si="108"/>
        <v>15</v>
      </c>
      <c r="J798" t="str">
        <f t="shared" si="109"/>
        <v>Half-elfNecromancerCon</v>
      </c>
    </row>
    <row r="799" spans="1:10" x14ac:dyDescent="0.3">
      <c r="A799" s="1" t="str">
        <f t="shared" si="111"/>
        <v>Half-elf</v>
      </c>
      <c r="B799" s="1" t="s">
        <v>91</v>
      </c>
      <c r="C799" s="1" t="s">
        <v>5</v>
      </c>
      <c r="D799">
        <f t="shared" si="104"/>
        <v>2</v>
      </c>
      <c r="E799">
        <f t="shared" si="105"/>
        <v>2</v>
      </c>
      <c r="F799">
        <f t="shared" si="110"/>
        <v>4</v>
      </c>
      <c r="G799">
        <f t="shared" si="106"/>
        <v>6</v>
      </c>
      <c r="H799">
        <f t="shared" si="107"/>
        <v>9</v>
      </c>
      <c r="I799">
        <f t="shared" si="108"/>
        <v>108</v>
      </c>
      <c r="J799" t="str">
        <f t="shared" si="109"/>
        <v>Half-elfNecromancerCha</v>
      </c>
    </row>
    <row r="800" spans="1:10" x14ac:dyDescent="0.3">
      <c r="A800" s="1" t="str">
        <f t="shared" si="111"/>
        <v>Half-elf</v>
      </c>
      <c r="B800" s="1" t="s">
        <v>91</v>
      </c>
      <c r="C800" s="1" t="s">
        <v>6</v>
      </c>
      <c r="D800">
        <f t="shared" si="104"/>
        <v>0</v>
      </c>
      <c r="E800">
        <f t="shared" si="105"/>
        <v>3</v>
      </c>
      <c r="F800">
        <f t="shared" si="110"/>
        <v>3</v>
      </c>
      <c r="G800">
        <f t="shared" si="106"/>
        <v>7</v>
      </c>
      <c r="H800">
        <f t="shared" si="107"/>
        <v>11</v>
      </c>
      <c r="I800">
        <f t="shared" si="108"/>
        <v>105</v>
      </c>
      <c r="J800" t="str">
        <f t="shared" si="109"/>
        <v>Half-elfNecromancerBra</v>
      </c>
    </row>
    <row r="801" spans="1:10" x14ac:dyDescent="0.3">
      <c r="A801" s="1" t="str">
        <f t="shared" si="111"/>
        <v>Half-elf</v>
      </c>
      <c r="B801" s="1" t="s">
        <v>91</v>
      </c>
      <c r="C801" s="1" t="s">
        <v>7</v>
      </c>
      <c r="D801">
        <f t="shared" si="104"/>
        <v>-1</v>
      </c>
      <c r="E801">
        <f t="shared" si="105"/>
        <v>-2</v>
      </c>
      <c r="F801">
        <f t="shared" si="110"/>
        <v>-3</v>
      </c>
      <c r="G801">
        <f t="shared" si="106"/>
        <v>19</v>
      </c>
      <c r="H801">
        <f t="shared" si="107"/>
        <v>0</v>
      </c>
      <c r="I801">
        <f t="shared" si="108"/>
        <v>50</v>
      </c>
      <c r="J801" t="str">
        <f t="shared" si="109"/>
        <v>Half-elfNecromancerHP</v>
      </c>
    </row>
    <row r="802" spans="1:10" x14ac:dyDescent="0.3">
      <c r="A802" s="1" t="str">
        <f t="shared" si="111"/>
        <v>Half-elf</v>
      </c>
      <c r="B802" s="1" t="s">
        <v>15</v>
      </c>
      <c r="C802" s="1" t="s">
        <v>0</v>
      </c>
      <c r="D802">
        <f t="shared" si="104"/>
        <v>-2</v>
      </c>
      <c r="E802">
        <f t="shared" si="105"/>
        <v>-7</v>
      </c>
      <c r="F802">
        <f t="shared" si="110"/>
        <v>-9</v>
      </c>
      <c r="G802">
        <f t="shared" si="106"/>
        <v>31</v>
      </c>
      <c r="H802">
        <f t="shared" si="107"/>
        <v>0</v>
      </c>
      <c r="I802">
        <f t="shared" si="108"/>
        <v>0</v>
      </c>
      <c r="J802" t="str">
        <f t="shared" si="109"/>
        <v>Half-elfPriestMag</v>
      </c>
    </row>
    <row r="803" spans="1:10" x14ac:dyDescent="0.3">
      <c r="A803" s="1" t="str">
        <f t="shared" si="111"/>
        <v>Half-elf</v>
      </c>
      <c r="B803" s="1" t="s">
        <v>15</v>
      </c>
      <c r="C803" s="1" t="s">
        <v>1</v>
      </c>
      <c r="D803">
        <f t="shared" si="104"/>
        <v>3</v>
      </c>
      <c r="E803">
        <f t="shared" si="105"/>
        <v>3</v>
      </c>
      <c r="F803">
        <f t="shared" si="110"/>
        <v>6</v>
      </c>
      <c r="G803">
        <f t="shared" si="106"/>
        <v>5</v>
      </c>
      <c r="H803">
        <f t="shared" si="107"/>
        <v>8</v>
      </c>
      <c r="I803">
        <f t="shared" si="108"/>
        <v>111</v>
      </c>
      <c r="J803" t="str">
        <f t="shared" si="109"/>
        <v>Half-elfPriestDiv</v>
      </c>
    </row>
    <row r="804" spans="1:10" x14ac:dyDescent="0.3">
      <c r="A804" s="1" t="str">
        <f t="shared" si="111"/>
        <v>Half-elf</v>
      </c>
      <c r="B804" s="1" t="s">
        <v>15</v>
      </c>
      <c r="C804" s="1" t="s">
        <v>2</v>
      </c>
      <c r="D804">
        <f t="shared" si="104"/>
        <v>0</v>
      </c>
      <c r="E804">
        <f t="shared" si="105"/>
        <v>0</v>
      </c>
      <c r="F804">
        <f t="shared" si="110"/>
        <v>0</v>
      </c>
      <c r="G804">
        <f t="shared" si="106"/>
        <v>10</v>
      </c>
      <c r="H804">
        <f t="shared" si="107"/>
        <v>0</v>
      </c>
      <c r="I804">
        <f t="shared" si="108"/>
        <v>80</v>
      </c>
      <c r="J804" t="str">
        <f t="shared" si="109"/>
        <v>Half-elfPriestStr</v>
      </c>
    </row>
    <row r="805" spans="1:10" x14ac:dyDescent="0.3">
      <c r="A805" s="1" t="str">
        <f t="shared" si="111"/>
        <v>Half-elf</v>
      </c>
      <c r="B805" s="1" t="s">
        <v>15</v>
      </c>
      <c r="C805" s="1" t="s">
        <v>3</v>
      </c>
      <c r="D805">
        <f t="shared" si="104"/>
        <v>1</v>
      </c>
      <c r="E805">
        <f t="shared" si="105"/>
        <v>-2</v>
      </c>
      <c r="F805">
        <f t="shared" si="110"/>
        <v>-1</v>
      </c>
      <c r="G805">
        <f t="shared" si="106"/>
        <v>13</v>
      </c>
      <c r="H805">
        <f t="shared" si="107"/>
        <v>0</v>
      </c>
      <c r="I805">
        <f t="shared" si="108"/>
        <v>70</v>
      </c>
      <c r="J805" t="str">
        <f t="shared" si="109"/>
        <v>Half-elfPriestDex</v>
      </c>
    </row>
    <row r="806" spans="1:10" x14ac:dyDescent="0.3">
      <c r="A806" s="1" t="str">
        <f t="shared" si="111"/>
        <v>Half-elf</v>
      </c>
      <c r="B806" s="1" t="s">
        <v>15</v>
      </c>
      <c r="C806" s="1" t="s">
        <v>4</v>
      </c>
      <c r="D806">
        <f t="shared" si="104"/>
        <v>-3</v>
      </c>
      <c r="E806">
        <f t="shared" si="105"/>
        <v>-3</v>
      </c>
      <c r="F806">
        <f t="shared" si="110"/>
        <v>-6</v>
      </c>
      <c r="G806">
        <f t="shared" si="106"/>
        <v>28</v>
      </c>
      <c r="H806">
        <f t="shared" si="107"/>
        <v>0</v>
      </c>
      <c r="I806">
        <f t="shared" si="108"/>
        <v>15</v>
      </c>
      <c r="J806" t="str">
        <f t="shared" si="109"/>
        <v>Half-elfPriestCon</v>
      </c>
    </row>
    <row r="807" spans="1:10" x14ac:dyDescent="0.3">
      <c r="A807" s="1" t="str">
        <f t="shared" si="111"/>
        <v>Half-elf</v>
      </c>
      <c r="B807" s="1" t="s">
        <v>15</v>
      </c>
      <c r="C807" s="1" t="s">
        <v>5</v>
      </c>
      <c r="D807">
        <f t="shared" si="104"/>
        <v>2</v>
      </c>
      <c r="E807">
        <f t="shared" si="105"/>
        <v>2</v>
      </c>
      <c r="F807">
        <f t="shared" si="110"/>
        <v>4</v>
      </c>
      <c r="G807">
        <f t="shared" si="106"/>
        <v>6</v>
      </c>
      <c r="H807">
        <f t="shared" si="107"/>
        <v>9</v>
      </c>
      <c r="I807">
        <f t="shared" si="108"/>
        <v>108</v>
      </c>
      <c r="J807" t="str">
        <f t="shared" si="109"/>
        <v>Half-elfPriestCha</v>
      </c>
    </row>
    <row r="808" spans="1:10" x14ac:dyDescent="0.3">
      <c r="A808" s="1" t="str">
        <f t="shared" si="111"/>
        <v>Half-elf</v>
      </c>
      <c r="B808" s="1" t="s">
        <v>15</v>
      </c>
      <c r="C808" s="1" t="s">
        <v>6</v>
      </c>
      <c r="D808">
        <f t="shared" si="104"/>
        <v>0</v>
      </c>
      <c r="E808">
        <f t="shared" si="105"/>
        <v>1</v>
      </c>
      <c r="F808">
        <f t="shared" si="110"/>
        <v>1</v>
      </c>
      <c r="G808">
        <f t="shared" si="106"/>
        <v>9</v>
      </c>
      <c r="H808">
        <f t="shared" si="107"/>
        <v>14</v>
      </c>
      <c r="I808">
        <f t="shared" si="108"/>
        <v>90</v>
      </c>
      <c r="J808" t="str">
        <f t="shared" si="109"/>
        <v>Half-elfPriestBra</v>
      </c>
    </row>
    <row r="809" spans="1:10" x14ac:dyDescent="0.3">
      <c r="A809" s="1" t="str">
        <f t="shared" si="111"/>
        <v>Half-elf</v>
      </c>
      <c r="B809" s="1" t="s">
        <v>15</v>
      </c>
      <c r="C809" s="1" t="s">
        <v>7</v>
      </c>
      <c r="D809">
        <f t="shared" si="104"/>
        <v>-1</v>
      </c>
      <c r="E809">
        <f t="shared" si="105"/>
        <v>-1</v>
      </c>
      <c r="F809">
        <f t="shared" si="110"/>
        <v>-2</v>
      </c>
      <c r="G809">
        <f t="shared" si="106"/>
        <v>16</v>
      </c>
      <c r="H809">
        <f t="shared" si="107"/>
        <v>0</v>
      </c>
      <c r="I809">
        <f t="shared" si="108"/>
        <v>60</v>
      </c>
      <c r="J809" t="str">
        <f t="shared" si="109"/>
        <v>Half-elfPriestHP</v>
      </c>
    </row>
    <row r="810" spans="1:10" x14ac:dyDescent="0.3">
      <c r="A810" s="1" t="str">
        <f t="shared" si="111"/>
        <v>Half-elf</v>
      </c>
      <c r="B810" s="1" t="s">
        <v>92</v>
      </c>
      <c r="C810" s="1" t="s">
        <v>0</v>
      </c>
      <c r="D810">
        <f t="shared" si="104"/>
        <v>-2</v>
      </c>
      <c r="E810">
        <f t="shared" si="105"/>
        <v>2</v>
      </c>
      <c r="F810">
        <f t="shared" si="110"/>
        <v>0</v>
      </c>
      <c r="G810">
        <f t="shared" si="106"/>
        <v>10</v>
      </c>
      <c r="H810">
        <f t="shared" si="107"/>
        <v>0</v>
      </c>
      <c r="I810">
        <f t="shared" si="108"/>
        <v>80</v>
      </c>
      <c r="J810" t="str">
        <f t="shared" si="109"/>
        <v>Half-elfMageMag</v>
      </c>
    </row>
    <row r="811" spans="1:10" x14ac:dyDescent="0.3">
      <c r="A811" s="1" t="str">
        <f t="shared" si="111"/>
        <v>Half-elf</v>
      </c>
      <c r="B811" s="1" t="s">
        <v>92</v>
      </c>
      <c r="C811" s="1" t="s">
        <v>1</v>
      </c>
      <c r="D811">
        <f t="shared" si="104"/>
        <v>3</v>
      </c>
      <c r="E811">
        <f t="shared" si="105"/>
        <v>-7</v>
      </c>
      <c r="F811">
        <f t="shared" si="110"/>
        <v>-4</v>
      </c>
      <c r="G811">
        <f t="shared" si="106"/>
        <v>22</v>
      </c>
      <c r="H811">
        <f t="shared" si="107"/>
        <v>0</v>
      </c>
      <c r="I811">
        <f t="shared" si="108"/>
        <v>40</v>
      </c>
      <c r="J811" t="str">
        <f t="shared" si="109"/>
        <v>Half-elfMageDiv</v>
      </c>
    </row>
    <row r="812" spans="1:10" x14ac:dyDescent="0.3">
      <c r="A812" s="1" t="str">
        <f t="shared" si="111"/>
        <v>Half-elf</v>
      </c>
      <c r="B812" s="1" t="s">
        <v>92</v>
      </c>
      <c r="C812" s="1" t="s">
        <v>2</v>
      </c>
      <c r="D812">
        <f t="shared" si="104"/>
        <v>0</v>
      </c>
      <c r="E812">
        <f t="shared" si="105"/>
        <v>-3</v>
      </c>
      <c r="F812">
        <f t="shared" si="110"/>
        <v>-3</v>
      </c>
      <c r="G812">
        <f t="shared" si="106"/>
        <v>19</v>
      </c>
      <c r="H812">
        <f t="shared" si="107"/>
        <v>0</v>
      </c>
      <c r="I812">
        <f t="shared" si="108"/>
        <v>50</v>
      </c>
      <c r="J812" t="str">
        <f t="shared" si="109"/>
        <v>Half-elfMageStr</v>
      </c>
    </row>
    <row r="813" spans="1:10" x14ac:dyDescent="0.3">
      <c r="A813" s="1" t="str">
        <f t="shared" si="111"/>
        <v>Half-elf</v>
      </c>
      <c r="B813" s="1" t="s">
        <v>92</v>
      </c>
      <c r="C813" s="1" t="s">
        <v>3</v>
      </c>
      <c r="D813">
        <f t="shared" si="104"/>
        <v>1</v>
      </c>
      <c r="E813">
        <f t="shared" si="105"/>
        <v>0</v>
      </c>
      <c r="F813">
        <f t="shared" si="110"/>
        <v>1</v>
      </c>
      <c r="G813">
        <f t="shared" si="106"/>
        <v>9</v>
      </c>
      <c r="H813">
        <f t="shared" si="107"/>
        <v>14</v>
      </c>
      <c r="I813">
        <f t="shared" si="108"/>
        <v>90</v>
      </c>
      <c r="J813" t="str">
        <f t="shared" si="109"/>
        <v>Half-elfMageDex</v>
      </c>
    </row>
    <row r="814" spans="1:10" x14ac:dyDescent="0.3">
      <c r="A814" s="1" t="str">
        <f t="shared" si="111"/>
        <v>Half-elf</v>
      </c>
      <c r="B814" s="1" t="s">
        <v>92</v>
      </c>
      <c r="C814" s="1" t="s">
        <v>4</v>
      </c>
      <c r="D814">
        <f t="shared" si="104"/>
        <v>-3</v>
      </c>
      <c r="E814">
        <f t="shared" si="105"/>
        <v>-1</v>
      </c>
      <c r="F814">
        <f t="shared" si="110"/>
        <v>-4</v>
      </c>
      <c r="G814">
        <f t="shared" si="106"/>
        <v>22</v>
      </c>
      <c r="H814">
        <f t="shared" si="107"/>
        <v>0</v>
      </c>
      <c r="I814">
        <f t="shared" si="108"/>
        <v>40</v>
      </c>
      <c r="J814" t="str">
        <f t="shared" si="109"/>
        <v>Half-elfMageCon</v>
      </c>
    </row>
    <row r="815" spans="1:10" x14ac:dyDescent="0.3">
      <c r="A815" s="1" t="str">
        <f t="shared" si="111"/>
        <v>Half-elf</v>
      </c>
      <c r="B815" s="1" t="s">
        <v>92</v>
      </c>
      <c r="C815" s="1" t="s">
        <v>5</v>
      </c>
      <c r="D815">
        <f t="shared" si="104"/>
        <v>2</v>
      </c>
      <c r="E815">
        <f t="shared" si="105"/>
        <v>1</v>
      </c>
      <c r="F815">
        <f t="shared" si="110"/>
        <v>3</v>
      </c>
      <c r="G815">
        <f t="shared" si="106"/>
        <v>7</v>
      </c>
      <c r="H815">
        <f t="shared" si="107"/>
        <v>11</v>
      </c>
      <c r="I815">
        <f t="shared" si="108"/>
        <v>105</v>
      </c>
      <c r="J815" t="str">
        <f t="shared" si="109"/>
        <v>Half-elfMageCha</v>
      </c>
    </row>
    <row r="816" spans="1:10" x14ac:dyDescent="0.3">
      <c r="A816" s="1" t="str">
        <f t="shared" si="111"/>
        <v>Half-elf</v>
      </c>
      <c r="B816" s="1" t="s">
        <v>92</v>
      </c>
      <c r="C816" s="1" t="s">
        <v>6</v>
      </c>
      <c r="D816">
        <f t="shared" si="104"/>
        <v>0</v>
      </c>
      <c r="E816">
        <f t="shared" si="105"/>
        <v>3</v>
      </c>
      <c r="F816">
        <f t="shared" si="110"/>
        <v>3</v>
      </c>
      <c r="G816">
        <f t="shared" si="106"/>
        <v>7</v>
      </c>
      <c r="H816">
        <f t="shared" si="107"/>
        <v>11</v>
      </c>
      <c r="I816">
        <f t="shared" si="108"/>
        <v>105</v>
      </c>
      <c r="J816" t="str">
        <f t="shared" si="109"/>
        <v>Half-elfMageBra</v>
      </c>
    </row>
    <row r="817" spans="1:10" x14ac:dyDescent="0.3">
      <c r="A817" s="1" t="str">
        <f t="shared" si="111"/>
        <v>Half-elf</v>
      </c>
      <c r="B817" s="1" t="s">
        <v>92</v>
      </c>
      <c r="C817" s="1" t="s">
        <v>7</v>
      </c>
      <c r="D817">
        <f t="shared" si="104"/>
        <v>-1</v>
      </c>
      <c r="E817">
        <f t="shared" si="105"/>
        <v>-2</v>
      </c>
      <c r="F817">
        <f t="shared" si="110"/>
        <v>-3</v>
      </c>
      <c r="G817">
        <f t="shared" si="106"/>
        <v>19</v>
      </c>
      <c r="H817">
        <f t="shared" si="107"/>
        <v>0</v>
      </c>
      <c r="I817">
        <f t="shared" si="108"/>
        <v>50</v>
      </c>
      <c r="J817" t="str">
        <f t="shared" si="109"/>
        <v>Half-elfMageHP</v>
      </c>
    </row>
    <row r="818" spans="1:10" x14ac:dyDescent="0.3">
      <c r="A818" s="1" t="str">
        <f t="shared" si="111"/>
        <v>Half-elf</v>
      </c>
      <c r="B818" s="1" t="s">
        <v>62</v>
      </c>
      <c r="C818" s="1" t="s">
        <v>0</v>
      </c>
      <c r="D818">
        <f t="shared" si="104"/>
        <v>-2</v>
      </c>
      <c r="E818">
        <f t="shared" si="105"/>
        <v>3</v>
      </c>
      <c r="F818">
        <f t="shared" si="110"/>
        <v>1</v>
      </c>
      <c r="G818">
        <f t="shared" si="106"/>
        <v>9</v>
      </c>
      <c r="H818">
        <f t="shared" si="107"/>
        <v>14</v>
      </c>
      <c r="I818">
        <f t="shared" si="108"/>
        <v>90</v>
      </c>
      <c r="J818" t="str">
        <f t="shared" si="109"/>
        <v>Half-elfSorcererMag</v>
      </c>
    </row>
    <row r="819" spans="1:10" x14ac:dyDescent="0.3">
      <c r="A819" s="1" t="str">
        <f t="shared" si="111"/>
        <v>Half-elf</v>
      </c>
      <c r="B819" s="1" t="s">
        <v>62</v>
      </c>
      <c r="C819" s="1" t="s">
        <v>1</v>
      </c>
      <c r="D819">
        <f t="shared" si="104"/>
        <v>3</v>
      </c>
      <c r="E819">
        <f t="shared" si="105"/>
        <v>-7</v>
      </c>
      <c r="F819">
        <f t="shared" si="110"/>
        <v>-4</v>
      </c>
      <c r="G819">
        <f t="shared" si="106"/>
        <v>22</v>
      </c>
      <c r="H819">
        <f t="shared" si="107"/>
        <v>0</v>
      </c>
      <c r="I819">
        <f t="shared" si="108"/>
        <v>40</v>
      </c>
      <c r="J819" t="str">
        <f t="shared" si="109"/>
        <v>Half-elfSorcererDiv</v>
      </c>
    </row>
    <row r="820" spans="1:10" x14ac:dyDescent="0.3">
      <c r="A820" s="1" t="str">
        <f t="shared" si="111"/>
        <v>Half-elf</v>
      </c>
      <c r="B820" s="1" t="s">
        <v>62</v>
      </c>
      <c r="C820" s="1" t="s">
        <v>2</v>
      </c>
      <c r="D820">
        <f t="shared" si="104"/>
        <v>0</v>
      </c>
      <c r="E820">
        <f t="shared" si="105"/>
        <v>-3</v>
      </c>
      <c r="F820">
        <f t="shared" si="110"/>
        <v>-3</v>
      </c>
      <c r="G820">
        <f t="shared" si="106"/>
        <v>19</v>
      </c>
      <c r="H820">
        <f t="shared" si="107"/>
        <v>0</v>
      </c>
      <c r="I820">
        <f t="shared" si="108"/>
        <v>50</v>
      </c>
      <c r="J820" t="str">
        <f t="shared" si="109"/>
        <v>Half-elfSorcererStr</v>
      </c>
    </row>
    <row r="821" spans="1:10" x14ac:dyDescent="0.3">
      <c r="A821" s="1" t="str">
        <f t="shared" si="111"/>
        <v>Half-elf</v>
      </c>
      <c r="B821" s="1" t="s">
        <v>62</v>
      </c>
      <c r="C821" s="1" t="s">
        <v>3</v>
      </c>
      <c r="D821">
        <f t="shared" si="104"/>
        <v>1</v>
      </c>
      <c r="E821">
        <f t="shared" si="105"/>
        <v>0</v>
      </c>
      <c r="F821">
        <f t="shared" si="110"/>
        <v>1</v>
      </c>
      <c r="G821">
        <f t="shared" si="106"/>
        <v>9</v>
      </c>
      <c r="H821">
        <f t="shared" si="107"/>
        <v>14</v>
      </c>
      <c r="I821">
        <f t="shared" si="108"/>
        <v>90</v>
      </c>
      <c r="J821" t="str">
        <f t="shared" si="109"/>
        <v>Half-elfSorcererDex</v>
      </c>
    </row>
    <row r="822" spans="1:10" x14ac:dyDescent="0.3">
      <c r="A822" s="1" t="str">
        <f t="shared" si="111"/>
        <v>Half-elf</v>
      </c>
      <c r="B822" s="1" t="s">
        <v>62</v>
      </c>
      <c r="C822" s="1" t="s">
        <v>4</v>
      </c>
      <c r="D822">
        <f t="shared" si="104"/>
        <v>-3</v>
      </c>
      <c r="E822">
        <f t="shared" si="105"/>
        <v>-2</v>
      </c>
      <c r="F822">
        <f t="shared" si="110"/>
        <v>-5</v>
      </c>
      <c r="G822">
        <f t="shared" si="106"/>
        <v>25</v>
      </c>
      <c r="H822">
        <f t="shared" si="107"/>
        <v>0</v>
      </c>
      <c r="I822">
        <f t="shared" si="108"/>
        <v>30</v>
      </c>
      <c r="J822" t="str">
        <f t="shared" si="109"/>
        <v>Half-elfSorcererCon</v>
      </c>
    </row>
    <row r="823" spans="1:10" x14ac:dyDescent="0.3">
      <c r="A823" s="1" t="str">
        <f t="shared" si="111"/>
        <v>Half-elf</v>
      </c>
      <c r="B823" s="1" t="s">
        <v>62</v>
      </c>
      <c r="C823" s="1" t="s">
        <v>5</v>
      </c>
      <c r="D823">
        <f t="shared" si="104"/>
        <v>2</v>
      </c>
      <c r="E823">
        <f t="shared" si="105"/>
        <v>1</v>
      </c>
      <c r="F823">
        <f t="shared" si="110"/>
        <v>3</v>
      </c>
      <c r="G823">
        <f t="shared" si="106"/>
        <v>7</v>
      </c>
      <c r="H823">
        <f t="shared" si="107"/>
        <v>11</v>
      </c>
      <c r="I823">
        <f t="shared" si="108"/>
        <v>105</v>
      </c>
      <c r="J823" t="str">
        <f t="shared" si="109"/>
        <v>Half-elfSorcererCha</v>
      </c>
    </row>
    <row r="824" spans="1:10" x14ac:dyDescent="0.3">
      <c r="A824" s="1" t="str">
        <f t="shared" si="111"/>
        <v>Half-elf</v>
      </c>
      <c r="B824" s="1" t="s">
        <v>62</v>
      </c>
      <c r="C824" s="1" t="s">
        <v>6</v>
      </c>
      <c r="D824">
        <f t="shared" si="104"/>
        <v>0</v>
      </c>
      <c r="E824">
        <f t="shared" si="105"/>
        <v>2</v>
      </c>
      <c r="F824">
        <f t="shared" si="110"/>
        <v>2</v>
      </c>
      <c r="G824">
        <f t="shared" si="106"/>
        <v>8</v>
      </c>
      <c r="H824">
        <f t="shared" si="107"/>
        <v>12</v>
      </c>
      <c r="I824">
        <f t="shared" si="108"/>
        <v>100</v>
      </c>
      <c r="J824" t="str">
        <f t="shared" si="109"/>
        <v>Half-elfSorcererBra</v>
      </c>
    </row>
    <row r="825" spans="1:10" x14ac:dyDescent="0.3">
      <c r="A825" s="1" t="str">
        <f t="shared" si="111"/>
        <v>Half-elf</v>
      </c>
      <c r="B825" s="1" t="s">
        <v>62</v>
      </c>
      <c r="C825" s="1" t="s">
        <v>7</v>
      </c>
      <c r="D825">
        <f t="shared" si="104"/>
        <v>-1</v>
      </c>
      <c r="E825">
        <f t="shared" si="105"/>
        <v>-1</v>
      </c>
      <c r="F825">
        <f t="shared" si="110"/>
        <v>-2</v>
      </c>
      <c r="G825">
        <f t="shared" si="106"/>
        <v>16</v>
      </c>
      <c r="H825">
        <f t="shared" si="107"/>
        <v>0</v>
      </c>
      <c r="I825">
        <f t="shared" si="108"/>
        <v>60</v>
      </c>
      <c r="J825" t="str">
        <f t="shared" si="109"/>
        <v>Half-elfSorcererHP</v>
      </c>
    </row>
    <row r="826" spans="1:10" x14ac:dyDescent="0.3">
      <c r="A826" s="1" t="str">
        <f t="shared" si="111"/>
        <v>Half-elf</v>
      </c>
      <c r="B826" s="1" t="s">
        <v>22</v>
      </c>
      <c r="C826" s="1" t="s">
        <v>0</v>
      </c>
      <c r="D826">
        <f t="shared" si="104"/>
        <v>-2</v>
      </c>
      <c r="E826">
        <f t="shared" si="105"/>
        <v>-5</v>
      </c>
      <c r="F826">
        <f t="shared" si="110"/>
        <v>-7</v>
      </c>
      <c r="G826">
        <f t="shared" si="106"/>
        <v>31</v>
      </c>
      <c r="H826">
        <f t="shared" si="107"/>
        <v>0</v>
      </c>
      <c r="I826">
        <f t="shared" si="108"/>
        <v>0</v>
      </c>
      <c r="J826" t="str">
        <f t="shared" si="109"/>
        <v>Half-elfBarbarianMag</v>
      </c>
    </row>
    <row r="827" spans="1:10" x14ac:dyDescent="0.3">
      <c r="A827" s="1" t="str">
        <f t="shared" si="111"/>
        <v>Half-elf</v>
      </c>
      <c r="B827" s="1" t="s">
        <v>22</v>
      </c>
      <c r="C827" s="1" t="s">
        <v>1</v>
      </c>
      <c r="D827">
        <f t="shared" si="104"/>
        <v>3</v>
      </c>
      <c r="E827">
        <f t="shared" si="105"/>
        <v>-7</v>
      </c>
      <c r="F827">
        <f t="shared" si="110"/>
        <v>-4</v>
      </c>
      <c r="G827">
        <f t="shared" si="106"/>
        <v>22</v>
      </c>
      <c r="H827">
        <f t="shared" si="107"/>
        <v>0</v>
      </c>
      <c r="I827">
        <f t="shared" si="108"/>
        <v>40</v>
      </c>
      <c r="J827" t="str">
        <f t="shared" si="109"/>
        <v>Half-elfBarbarianDiv</v>
      </c>
    </row>
    <row r="828" spans="1:10" x14ac:dyDescent="0.3">
      <c r="A828" s="1" t="str">
        <f t="shared" si="111"/>
        <v>Half-elf</v>
      </c>
      <c r="B828" s="1" t="s">
        <v>22</v>
      </c>
      <c r="C828" s="1" t="s">
        <v>2</v>
      </c>
      <c r="D828">
        <f t="shared" si="104"/>
        <v>0</v>
      </c>
      <c r="E828">
        <f t="shared" si="105"/>
        <v>3</v>
      </c>
      <c r="F828">
        <f t="shared" si="110"/>
        <v>3</v>
      </c>
      <c r="G828">
        <f t="shared" si="106"/>
        <v>7</v>
      </c>
      <c r="H828">
        <f t="shared" si="107"/>
        <v>11</v>
      </c>
      <c r="I828">
        <f t="shared" si="108"/>
        <v>105</v>
      </c>
      <c r="J828" t="str">
        <f t="shared" si="109"/>
        <v>Half-elfBarbarianStr</v>
      </c>
    </row>
    <row r="829" spans="1:10" x14ac:dyDescent="0.3">
      <c r="A829" s="1" t="str">
        <f t="shared" si="111"/>
        <v>Half-elf</v>
      </c>
      <c r="B829" s="1" t="s">
        <v>22</v>
      </c>
      <c r="C829" s="1" t="s">
        <v>3</v>
      </c>
      <c r="D829">
        <f t="shared" si="104"/>
        <v>1</v>
      </c>
      <c r="E829">
        <f t="shared" si="105"/>
        <v>2</v>
      </c>
      <c r="F829">
        <f t="shared" si="110"/>
        <v>3</v>
      </c>
      <c r="G829">
        <f t="shared" si="106"/>
        <v>7</v>
      </c>
      <c r="H829">
        <f t="shared" si="107"/>
        <v>11</v>
      </c>
      <c r="I829">
        <f t="shared" si="108"/>
        <v>105</v>
      </c>
      <c r="J829" t="str">
        <f t="shared" si="109"/>
        <v>Half-elfBarbarianDex</v>
      </c>
    </row>
    <row r="830" spans="1:10" x14ac:dyDescent="0.3">
      <c r="A830" s="1" t="str">
        <f t="shared" si="111"/>
        <v>Half-elf</v>
      </c>
      <c r="B830" s="1" t="s">
        <v>22</v>
      </c>
      <c r="C830" s="1" t="s">
        <v>4</v>
      </c>
      <c r="D830">
        <f t="shared" si="104"/>
        <v>-3</v>
      </c>
      <c r="E830">
        <f t="shared" si="105"/>
        <v>0</v>
      </c>
      <c r="F830">
        <f t="shared" si="110"/>
        <v>-3</v>
      </c>
      <c r="G830">
        <f t="shared" si="106"/>
        <v>19</v>
      </c>
      <c r="H830">
        <f t="shared" si="107"/>
        <v>0</v>
      </c>
      <c r="I830">
        <f t="shared" si="108"/>
        <v>50</v>
      </c>
      <c r="J830" t="str">
        <f t="shared" si="109"/>
        <v>Half-elfBarbarianCon</v>
      </c>
    </row>
    <row r="831" spans="1:10" x14ac:dyDescent="0.3">
      <c r="A831" s="1" t="str">
        <f t="shared" si="111"/>
        <v>Half-elf</v>
      </c>
      <c r="B831" s="1" t="s">
        <v>22</v>
      </c>
      <c r="C831" s="1" t="s">
        <v>5</v>
      </c>
      <c r="D831">
        <f t="shared" si="104"/>
        <v>2</v>
      </c>
      <c r="E831">
        <f t="shared" si="105"/>
        <v>-1</v>
      </c>
      <c r="F831">
        <f t="shared" si="110"/>
        <v>1</v>
      </c>
      <c r="G831">
        <f t="shared" si="106"/>
        <v>9</v>
      </c>
      <c r="H831">
        <f t="shared" si="107"/>
        <v>14</v>
      </c>
      <c r="I831">
        <f t="shared" si="108"/>
        <v>90</v>
      </c>
      <c r="J831" t="str">
        <f t="shared" si="109"/>
        <v>Half-elfBarbarianCha</v>
      </c>
    </row>
    <row r="832" spans="1:10" x14ac:dyDescent="0.3">
      <c r="A832" s="1" t="str">
        <f t="shared" si="111"/>
        <v>Half-elf</v>
      </c>
      <c r="B832" s="1" t="s">
        <v>22</v>
      </c>
      <c r="C832" s="1" t="s">
        <v>6</v>
      </c>
      <c r="D832">
        <f t="shared" si="104"/>
        <v>0</v>
      </c>
      <c r="E832">
        <f t="shared" si="105"/>
        <v>-2</v>
      </c>
      <c r="F832">
        <f t="shared" si="110"/>
        <v>-2</v>
      </c>
      <c r="G832">
        <f t="shared" si="106"/>
        <v>16</v>
      </c>
      <c r="H832">
        <f t="shared" si="107"/>
        <v>0</v>
      </c>
      <c r="I832">
        <f t="shared" si="108"/>
        <v>60</v>
      </c>
      <c r="J832" t="str">
        <f t="shared" si="109"/>
        <v>Half-elfBarbarianBra</v>
      </c>
    </row>
    <row r="833" spans="1:10" x14ac:dyDescent="0.3">
      <c r="A833" s="1" t="str">
        <f t="shared" si="111"/>
        <v>Half-elf</v>
      </c>
      <c r="B833" s="1" t="s">
        <v>22</v>
      </c>
      <c r="C833" s="1" t="s">
        <v>7</v>
      </c>
      <c r="D833">
        <f t="shared" si="104"/>
        <v>-1</v>
      </c>
      <c r="E833">
        <f t="shared" si="105"/>
        <v>1</v>
      </c>
      <c r="F833">
        <f t="shared" si="110"/>
        <v>0</v>
      </c>
      <c r="G833">
        <f t="shared" si="106"/>
        <v>10</v>
      </c>
      <c r="H833">
        <f t="shared" si="107"/>
        <v>0</v>
      </c>
      <c r="I833">
        <f t="shared" si="108"/>
        <v>80</v>
      </c>
      <c r="J833" t="str">
        <f t="shared" si="109"/>
        <v>Half-elfBarbarianHP</v>
      </c>
    </row>
    <row r="834" spans="1:10" x14ac:dyDescent="0.3">
      <c r="A834" s="1" t="s">
        <v>45</v>
      </c>
      <c r="B834" s="1" t="s">
        <v>8</v>
      </c>
      <c r="C834" s="1" t="s">
        <v>0</v>
      </c>
      <c r="D834">
        <f t="shared" ref="D834:D897" si="112">INDEX(TblRaceValues,MATCH(C834, TblAbilities, 0),MATCH(A834,TblRaces,0))</f>
        <v>4</v>
      </c>
      <c r="E834">
        <f t="shared" ref="E834:E897" si="113">INDEX(TblProfessionValues,MATCH(C834,TblAbilities,0),MATCH(B834,TblProfessions,0))</f>
        <v>-7</v>
      </c>
      <c r="F834">
        <f t="shared" si="110"/>
        <v>-3</v>
      </c>
      <c r="G834">
        <f t="shared" ref="G834:G897" si="114">HLOOKUP(MIN(MAX(-7,F834),7),TblPracticeCost,2)</f>
        <v>19</v>
      </c>
      <c r="H834">
        <f t="shared" ref="H834:H897" si="115">HLOOKUP(MIN(MAX(-7,F834),7),TblPracticeCost,3)</f>
        <v>0</v>
      </c>
      <c r="I834">
        <f t="shared" ref="I834:I897" si="116">VLOOKUP(MIN(MAX(-7,F834),7),TblBonusMaxSkill,2)</f>
        <v>50</v>
      </c>
      <c r="J834" t="str">
        <f t="shared" si="109"/>
        <v>BrownieFighterMag</v>
      </c>
    </row>
    <row r="835" spans="1:10" x14ac:dyDescent="0.3">
      <c r="A835" s="1" t="str">
        <f>A834</f>
        <v>Brownie</v>
      </c>
      <c r="B835" s="1" t="s">
        <v>8</v>
      </c>
      <c r="C835" s="1" t="s">
        <v>1</v>
      </c>
      <c r="D835">
        <f t="shared" si="112"/>
        <v>-2</v>
      </c>
      <c r="E835">
        <f t="shared" si="113"/>
        <v>-5</v>
      </c>
      <c r="F835">
        <f t="shared" si="110"/>
        <v>-7</v>
      </c>
      <c r="G835">
        <f t="shared" si="114"/>
        <v>31</v>
      </c>
      <c r="H835">
        <f t="shared" si="115"/>
        <v>0</v>
      </c>
      <c r="I835">
        <f t="shared" si="116"/>
        <v>0</v>
      </c>
      <c r="J835" t="str">
        <f t="shared" ref="J835:J898" si="117">A835&amp;B835&amp;C835</f>
        <v>BrownieFighterDiv</v>
      </c>
    </row>
    <row r="836" spans="1:10" x14ac:dyDescent="0.3">
      <c r="A836" s="1" t="str">
        <f t="shared" ref="A836:A899" si="118">A835</f>
        <v>Brownie</v>
      </c>
      <c r="B836" s="1" t="s">
        <v>8</v>
      </c>
      <c r="C836" s="1" t="s">
        <v>2</v>
      </c>
      <c r="D836">
        <f t="shared" si="112"/>
        <v>-1</v>
      </c>
      <c r="E836">
        <f t="shared" si="113"/>
        <v>2</v>
      </c>
      <c r="F836">
        <f t="shared" si="110"/>
        <v>1</v>
      </c>
      <c r="G836">
        <f t="shared" si="114"/>
        <v>9</v>
      </c>
      <c r="H836">
        <f t="shared" si="115"/>
        <v>14</v>
      </c>
      <c r="I836">
        <f t="shared" si="116"/>
        <v>90</v>
      </c>
      <c r="J836" t="str">
        <f t="shared" si="117"/>
        <v>BrownieFighterStr</v>
      </c>
    </row>
    <row r="837" spans="1:10" x14ac:dyDescent="0.3">
      <c r="A837" s="1" t="str">
        <f t="shared" si="118"/>
        <v>Brownie</v>
      </c>
      <c r="B837" s="1" t="s">
        <v>8</v>
      </c>
      <c r="C837" s="1" t="s">
        <v>3</v>
      </c>
      <c r="D837">
        <f t="shared" si="112"/>
        <v>2</v>
      </c>
      <c r="E837">
        <f t="shared" si="113"/>
        <v>0</v>
      </c>
      <c r="F837">
        <f t="shared" si="110"/>
        <v>2</v>
      </c>
      <c r="G837">
        <f t="shared" si="114"/>
        <v>8</v>
      </c>
      <c r="H837">
        <f t="shared" si="115"/>
        <v>12</v>
      </c>
      <c r="I837">
        <f t="shared" si="116"/>
        <v>100</v>
      </c>
      <c r="J837" t="str">
        <f t="shared" si="117"/>
        <v>BrownieFighterDex</v>
      </c>
    </row>
    <row r="838" spans="1:10" x14ac:dyDescent="0.3">
      <c r="A838" s="1" t="str">
        <f t="shared" si="118"/>
        <v>Brownie</v>
      </c>
      <c r="B838" s="1" t="s">
        <v>8</v>
      </c>
      <c r="C838" s="1" t="s">
        <v>4</v>
      </c>
      <c r="D838">
        <f t="shared" si="112"/>
        <v>-1</v>
      </c>
      <c r="E838">
        <f t="shared" si="113"/>
        <v>1</v>
      </c>
      <c r="F838">
        <f t="shared" si="110"/>
        <v>0</v>
      </c>
      <c r="G838">
        <f t="shared" si="114"/>
        <v>10</v>
      </c>
      <c r="H838">
        <f t="shared" si="115"/>
        <v>0</v>
      </c>
      <c r="I838">
        <f t="shared" si="116"/>
        <v>80</v>
      </c>
      <c r="J838" t="str">
        <f t="shared" si="117"/>
        <v>BrownieFighterCon</v>
      </c>
    </row>
    <row r="839" spans="1:10" x14ac:dyDescent="0.3">
      <c r="A839" s="1" t="str">
        <f t="shared" si="118"/>
        <v>Brownie</v>
      </c>
      <c r="B839" s="1" t="s">
        <v>8</v>
      </c>
      <c r="C839" s="1" t="s">
        <v>5</v>
      </c>
      <c r="D839">
        <f t="shared" si="112"/>
        <v>0</v>
      </c>
      <c r="E839">
        <f t="shared" si="113"/>
        <v>-2</v>
      </c>
      <c r="F839">
        <f t="shared" si="110"/>
        <v>-2</v>
      </c>
      <c r="G839">
        <f t="shared" si="114"/>
        <v>16</v>
      </c>
      <c r="H839">
        <f t="shared" si="115"/>
        <v>0</v>
      </c>
      <c r="I839">
        <f t="shared" si="116"/>
        <v>60</v>
      </c>
      <c r="J839" t="str">
        <f t="shared" si="117"/>
        <v>BrownieFighterCha</v>
      </c>
    </row>
    <row r="840" spans="1:10" x14ac:dyDescent="0.3">
      <c r="A840" s="1" t="str">
        <f t="shared" si="118"/>
        <v>Brownie</v>
      </c>
      <c r="B840" s="1" t="s">
        <v>8</v>
      </c>
      <c r="C840" s="1" t="s">
        <v>6</v>
      </c>
      <c r="D840">
        <f t="shared" si="112"/>
        <v>1</v>
      </c>
      <c r="E840">
        <f t="shared" si="113"/>
        <v>-1</v>
      </c>
      <c r="F840">
        <f t="shared" si="110"/>
        <v>0</v>
      </c>
      <c r="G840">
        <f t="shared" si="114"/>
        <v>10</v>
      </c>
      <c r="H840">
        <f t="shared" si="115"/>
        <v>0</v>
      </c>
      <c r="I840">
        <f t="shared" si="116"/>
        <v>80</v>
      </c>
      <c r="J840" t="str">
        <f t="shared" si="117"/>
        <v>BrownieFighterBra</v>
      </c>
    </row>
    <row r="841" spans="1:10" x14ac:dyDescent="0.3">
      <c r="A841" s="1" t="str">
        <f t="shared" si="118"/>
        <v>Brownie</v>
      </c>
      <c r="B841" s="1" t="s">
        <v>8</v>
      </c>
      <c r="C841" s="1" t="s">
        <v>7</v>
      </c>
      <c r="D841">
        <f t="shared" si="112"/>
        <v>-3</v>
      </c>
      <c r="E841">
        <f t="shared" si="113"/>
        <v>3</v>
      </c>
      <c r="F841">
        <f t="shared" si="110"/>
        <v>0</v>
      </c>
      <c r="G841">
        <f t="shared" si="114"/>
        <v>10</v>
      </c>
      <c r="H841">
        <f t="shared" si="115"/>
        <v>0</v>
      </c>
      <c r="I841">
        <f t="shared" si="116"/>
        <v>80</v>
      </c>
      <c r="J841" t="str">
        <f t="shared" si="117"/>
        <v>BrownieFighterHP</v>
      </c>
    </row>
    <row r="842" spans="1:10" x14ac:dyDescent="0.3">
      <c r="A842" s="1" t="str">
        <f t="shared" si="118"/>
        <v>Brownie</v>
      </c>
      <c r="B842" s="1" t="s">
        <v>9</v>
      </c>
      <c r="C842" s="1" t="s">
        <v>0</v>
      </c>
      <c r="D842">
        <f t="shared" si="112"/>
        <v>4</v>
      </c>
      <c r="E842">
        <f t="shared" si="113"/>
        <v>-7</v>
      </c>
      <c r="F842">
        <f t="shared" si="110"/>
        <v>-3</v>
      </c>
      <c r="G842">
        <f t="shared" si="114"/>
        <v>19</v>
      </c>
      <c r="H842">
        <f t="shared" si="115"/>
        <v>0</v>
      </c>
      <c r="I842">
        <f t="shared" si="116"/>
        <v>50</v>
      </c>
      <c r="J842" t="str">
        <f t="shared" si="117"/>
        <v>BrownieKnightMag</v>
      </c>
    </row>
    <row r="843" spans="1:10" x14ac:dyDescent="0.3">
      <c r="A843" s="1" t="str">
        <f t="shared" si="118"/>
        <v>Brownie</v>
      </c>
      <c r="B843" s="1" t="s">
        <v>9</v>
      </c>
      <c r="C843" s="1" t="s">
        <v>1</v>
      </c>
      <c r="D843">
        <f t="shared" si="112"/>
        <v>-2</v>
      </c>
      <c r="E843">
        <f t="shared" si="113"/>
        <v>0</v>
      </c>
      <c r="F843">
        <f t="shared" si="110"/>
        <v>-2</v>
      </c>
      <c r="G843">
        <f t="shared" si="114"/>
        <v>16</v>
      </c>
      <c r="H843">
        <f t="shared" si="115"/>
        <v>0</v>
      </c>
      <c r="I843">
        <f t="shared" si="116"/>
        <v>60</v>
      </c>
      <c r="J843" t="str">
        <f t="shared" si="117"/>
        <v>BrownieKnightDiv</v>
      </c>
    </row>
    <row r="844" spans="1:10" x14ac:dyDescent="0.3">
      <c r="A844" s="1" t="str">
        <f t="shared" si="118"/>
        <v>Brownie</v>
      </c>
      <c r="B844" s="1" t="s">
        <v>9</v>
      </c>
      <c r="C844" s="1" t="s">
        <v>2</v>
      </c>
      <c r="D844">
        <f t="shared" si="112"/>
        <v>-1</v>
      </c>
      <c r="E844">
        <f t="shared" si="113"/>
        <v>2</v>
      </c>
      <c r="F844">
        <f t="shared" si="110"/>
        <v>1</v>
      </c>
      <c r="G844">
        <f t="shared" si="114"/>
        <v>9</v>
      </c>
      <c r="H844">
        <f t="shared" si="115"/>
        <v>14</v>
      </c>
      <c r="I844">
        <f t="shared" si="116"/>
        <v>90</v>
      </c>
      <c r="J844" t="str">
        <f t="shared" si="117"/>
        <v>BrownieKnightStr</v>
      </c>
    </row>
    <row r="845" spans="1:10" x14ac:dyDescent="0.3">
      <c r="A845" s="1" t="str">
        <f t="shared" si="118"/>
        <v>Brownie</v>
      </c>
      <c r="B845" s="1" t="s">
        <v>9</v>
      </c>
      <c r="C845" s="1" t="s">
        <v>3</v>
      </c>
      <c r="D845">
        <f t="shared" si="112"/>
        <v>2</v>
      </c>
      <c r="E845">
        <f t="shared" si="113"/>
        <v>-1</v>
      </c>
      <c r="F845">
        <f t="shared" si="110"/>
        <v>1</v>
      </c>
      <c r="G845">
        <f t="shared" si="114"/>
        <v>9</v>
      </c>
      <c r="H845">
        <f t="shared" si="115"/>
        <v>14</v>
      </c>
      <c r="I845">
        <f t="shared" si="116"/>
        <v>90</v>
      </c>
      <c r="J845" t="str">
        <f t="shared" si="117"/>
        <v>BrownieKnightDex</v>
      </c>
    </row>
    <row r="846" spans="1:10" x14ac:dyDescent="0.3">
      <c r="A846" s="1" t="str">
        <f t="shared" si="118"/>
        <v>Brownie</v>
      </c>
      <c r="B846" s="1" t="s">
        <v>9</v>
      </c>
      <c r="C846" s="1" t="s">
        <v>4</v>
      </c>
      <c r="D846">
        <f t="shared" si="112"/>
        <v>-1</v>
      </c>
      <c r="E846">
        <f t="shared" si="113"/>
        <v>0</v>
      </c>
      <c r="F846">
        <f t="shared" si="110"/>
        <v>-1</v>
      </c>
      <c r="G846">
        <f t="shared" si="114"/>
        <v>13</v>
      </c>
      <c r="H846">
        <f t="shared" si="115"/>
        <v>0</v>
      </c>
      <c r="I846">
        <f t="shared" si="116"/>
        <v>70</v>
      </c>
      <c r="J846" t="str">
        <f t="shared" si="117"/>
        <v>BrownieKnightCon</v>
      </c>
    </row>
    <row r="847" spans="1:10" x14ac:dyDescent="0.3">
      <c r="A847" s="1" t="str">
        <f t="shared" si="118"/>
        <v>Brownie</v>
      </c>
      <c r="B847" s="1" t="s">
        <v>9</v>
      </c>
      <c r="C847" s="1" t="s">
        <v>5</v>
      </c>
      <c r="D847">
        <f t="shared" si="112"/>
        <v>0</v>
      </c>
      <c r="E847">
        <f t="shared" si="113"/>
        <v>-2</v>
      </c>
      <c r="F847">
        <f t="shared" si="110"/>
        <v>-2</v>
      </c>
      <c r="G847">
        <f t="shared" si="114"/>
        <v>16</v>
      </c>
      <c r="H847">
        <f t="shared" si="115"/>
        <v>0</v>
      </c>
      <c r="I847">
        <f t="shared" si="116"/>
        <v>60</v>
      </c>
      <c r="J847" t="str">
        <f t="shared" si="117"/>
        <v>BrownieKnightCha</v>
      </c>
    </row>
    <row r="848" spans="1:10" x14ac:dyDescent="0.3">
      <c r="A848" s="1" t="str">
        <f t="shared" si="118"/>
        <v>Brownie</v>
      </c>
      <c r="B848" s="1" t="s">
        <v>9</v>
      </c>
      <c r="C848" s="1" t="s">
        <v>6</v>
      </c>
      <c r="D848">
        <f t="shared" si="112"/>
        <v>1</v>
      </c>
      <c r="E848">
        <f t="shared" si="113"/>
        <v>0</v>
      </c>
      <c r="F848">
        <f t="shared" si="110"/>
        <v>1</v>
      </c>
      <c r="G848">
        <f t="shared" si="114"/>
        <v>9</v>
      </c>
      <c r="H848">
        <f t="shared" si="115"/>
        <v>14</v>
      </c>
      <c r="I848">
        <f t="shared" si="116"/>
        <v>90</v>
      </c>
      <c r="J848" t="str">
        <f t="shared" si="117"/>
        <v>BrownieKnightBra</v>
      </c>
    </row>
    <row r="849" spans="1:10" x14ac:dyDescent="0.3">
      <c r="A849" s="1" t="str">
        <f t="shared" si="118"/>
        <v>Brownie</v>
      </c>
      <c r="B849" s="1" t="s">
        <v>9</v>
      </c>
      <c r="C849" s="1" t="s">
        <v>7</v>
      </c>
      <c r="D849">
        <f t="shared" si="112"/>
        <v>-3</v>
      </c>
      <c r="E849">
        <f t="shared" si="113"/>
        <v>1</v>
      </c>
      <c r="F849">
        <f t="shared" si="110"/>
        <v>-2</v>
      </c>
      <c r="G849">
        <f t="shared" si="114"/>
        <v>16</v>
      </c>
      <c r="H849">
        <f t="shared" si="115"/>
        <v>0</v>
      </c>
      <c r="I849">
        <f t="shared" si="116"/>
        <v>60</v>
      </c>
      <c r="J849" t="str">
        <f t="shared" si="117"/>
        <v>BrownieKnightHP</v>
      </c>
    </row>
    <row r="850" spans="1:10" x14ac:dyDescent="0.3">
      <c r="A850" s="1" t="str">
        <f t="shared" si="118"/>
        <v>Brownie</v>
      </c>
      <c r="B850" s="1" t="s">
        <v>10</v>
      </c>
      <c r="C850" s="1" t="s">
        <v>0</v>
      </c>
      <c r="D850">
        <f t="shared" si="112"/>
        <v>4</v>
      </c>
      <c r="E850">
        <f t="shared" si="113"/>
        <v>-7</v>
      </c>
      <c r="F850">
        <f t="shared" si="110"/>
        <v>-3</v>
      </c>
      <c r="G850">
        <f t="shared" si="114"/>
        <v>19</v>
      </c>
      <c r="H850">
        <f t="shared" si="115"/>
        <v>0</v>
      </c>
      <c r="I850">
        <f t="shared" si="116"/>
        <v>50</v>
      </c>
      <c r="J850" t="str">
        <f t="shared" si="117"/>
        <v>BrowniePaladinMag</v>
      </c>
    </row>
    <row r="851" spans="1:10" x14ac:dyDescent="0.3">
      <c r="A851" s="1" t="str">
        <f t="shared" si="118"/>
        <v>Brownie</v>
      </c>
      <c r="B851" s="1" t="s">
        <v>10</v>
      </c>
      <c r="C851" s="1" t="s">
        <v>1</v>
      </c>
      <c r="D851">
        <f t="shared" si="112"/>
        <v>-2</v>
      </c>
      <c r="E851">
        <f t="shared" si="113"/>
        <v>0</v>
      </c>
      <c r="F851">
        <f t="shared" si="110"/>
        <v>-2</v>
      </c>
      <c r="G851">
        <f t="shared" si="114"/>
        <v>16</v>
      </c>
      <c r="H851">
        <f t="shared" si="115"/>
        <v>0</v>
      </c>
      <c r="I851">
        <f t="shared" si="116"/>
        <v>60</v>
      </c>
      <c r="J851" t="str">
        <f t="shared" si="117"/>
        <v>BrowniePaladinDiv</v>
      </c>
    </row>
    <row r="852" spans="1:10" x14ac:dyDescent="0.3">
      <c r="A852" s="1" t="str">
        <f t="shared" si="118"/>
        <v>Brownie</v>
      </c>
      <c r="B852" s="1" t="s">
        <v>10</v>
      </c>
      <c r="C852" s="1" t="s">
        <v>2</v>
      </c>
      <c r="D852">
        <f t="shared" si="112"/>
        <v>-1</v>
      </c>
      <c r="E852">
        <f t="shared" si="113"/>
        <v>2</v>
      </c>
      <c r="F852">
        <f t="shared" si="110"/>
        <v>1</v>
      </c>
      <c r="G852">
        <f t="shared" si="114"/>
        <v>9</v>
      </c>
      <c r="H852">
        <f t="shared" si="115"/>
        <v>14</v>
      </c>
      <c r="I852">
        <f t="shared" si="116"/>
        <v>90</v>
      </c>
      <c r="J852" t="str">
        <f t="shared" si="117"/>
        <v>BrowniePaladinStr</v>
      </c>
    </row>
    <row r="853" spans="1:10" x14ac:dyDescent="0.3">
      <c r="A853" s="1" t="str">
        <f t="shared" si="118"/>
        <v>Brownie</v>
      </c>
      <c r="B853" s="1" t="s">
        <v>10</v>
      </c>
      <c r="C853" s="1" t="s">
        <v>3</v>
      </c>
      <c r="D853">
        <f t="shared" si="112"/>
        <v>2</v>
      </c>
      <c r="E853">
        <f t="shared" si="113"/>
        <v>-1</v>
      </c>
      <c r="F853">
        <f t="shared" si="110"/>
        <v>1</v>
      </c>
      <c r="G853">
        <f t="shared" si="114"/>
        <v>9</v>
      </c>
      <c r="H853">
        <f t="shared" si="115"/>
        <v>14</v>
      </c>
      <c r="I853">
        <f t="shared" si="116"/>
        <v>90</v>
      </c>
      <c r="J853" t="str">
        <f t="shared" si="117"/>
        <v>BrowniePaladinDex</v>
      </c>
    </row>
    <row r="854" spans="1:10" x14ac:dyDescent="0.3">
      <c r="A854" s="1" t="str">
        <f t="shared" si="118"/>
        <v>Brownie</v>
      </c>
      <c r="B854" s="1" t="s">
        <v>10</v>
      </c>
      <c r="C854" s="1" t="s">
        <v>4</v>
      </c>
      <c r="D854">
        <f t="shared" si="112"/>
        <v>-1</v>
      </c>
      <c r="E854">
        <f t="shared" si="113"/>
        <v>0</v>
      </c>
      <c r="F854">
        <f t="shared" si="110"/>
        <v>-1</v>
      </c>
      <c r="G854">
        <f t="shared" si="114"/>
        <v>13</v>
      </c>
      <c r="H854">
        <f t="shared" si="115"/>
        <v>0</v>
      </c>
      <c r="I854">
        <f t="shared" si="116"/>
        <v>70</v>
      </c>
      <c r="J854" t="str">
        <f t="shared" si="117"/>
        <v>BrowniePaladinCon</v>
      </c>
    </row>
    <row r="855" spans="1:10" x14ac:dyDescent="0.3">
      <c r="A855" s="1" t="str">
        <f t="shared" si="118"/>
        <v>Brownie</v>
      </c>
      <c r="B855" s="1" t="s">
        <v>10</v>
      </c>
      <c r="C855" s="1" t="s">
        <v>5</v>
      </c>
      <c r="D855">
        <f t="shared" si="112"/>
        <v>0</v>
      </c>
      <c r="E855">
        <f t="shared" si="113"/>
        <v>-2</v>
      </c>
      <c r="F855">
        <f t="shared" si="110"/>
        <v>-2</v>
      </c>
      <c r="G855">
        <f t="shared" si="114"/>
        <v>16</v>
      </c>
      <c r="H855">
        <f t="shared" si="115"/>
        <v>0</v>
      </c>
      <c r="I855">
        <f t="shared" si="116"/>
        <v>60</v>
      </c>
      <c r="J855" t="str">
        <f t="shared" si="117"/>
        <v>BrowniePaladinCha</v>
      </c>
    </row>
    <row r="856" spans="1:10" x14ac:dyDescent="0.3">
      <c r="A856" s="1" t="str">
        <f t="shared" si="118"/>
        <v>Brownie</v>
      </c>
      <c r="B856" s="1" t="s">
        <v>10</v>
      </c>
      <c r="C856" s="1" t="s">
        <v>6</v>
      </c>
      <c r="D856">
        <f t="shared" si="112"/>
        <v>1</v>
      </c>
      <c r="E856">
        <f t="shared" si="113"/>
        <v>0</v>
      </c>
      <c r="F856">
        <f t="shared" si="110"/>
        <v>1</v>
      </c>
      <c r="G856">
        <f t="shared" si="114"/>
        <v>9</v>
      </c>
      <c r="H856">
        <f t="shared" si="115"/>
        <v>14</v>
      </c>
      <c r="I856">
        <f t="shared" si="116"/>
        <v>90</v>
      </c>
      <c r="J856" t="str">
        <f t="shared" si="117"/>
        <v>BrowniePaladinBra</v>
      </c>
    </row>
    <row r="857" spans="1:10" x14ac:dyDescent="0.3">
      <c r="A857" s="1" t="str">
        <f t="shared" si="118"/>
        <v>Brownie</v>
      </c>
      <c r="B857" s="1" t="s">
        <v>10</v>
      </c>
      <c r="C857" s="1" t="s">
        <v>7</v>
      </c>
      <c r="D857">
        <f t="shared" si="112"/>
        <v>-3</v>
      </c>
      <c r="E857">
        <f t="shared" si="113"/>
        <v>1</v>
      </c>
      <c r="F857">
        <f t="shared" si="110"/>
        <v>-2</v>
      </c>
      <c r="G857">
        <f t="shared" si="114"/>
        <v>16</v>
      </c>
      <c r="H857">
        <f t="shared" si="115"/>
        <v>0</v>
      </c>
      <c r="I857">
        <f t="shared" si="116"/>
        <v>60</v>
      </c>
      <c r="J857" t="str">
        <f t="shared" si="117"/>
        <v>BrowniePaladinHP</v>
      </c>
    </row>
    <row r="858" spans="1:10" x14ac:dyDescent="0.3">
      <c r="A858" s="1" t="str">
        <f t="shared" si="118"/>
        <v>Brownie</v>
      </c>
      <c r="B858" s="1" t="s">
        <v>11</v>
      </c>
      <c r="C858" s="1" t="s">
        <v>0</v>
      </c>
      <c r="D858">
        <f t="shared" si="112"/>
        <v>4</v>
      </c>
      <c r="E858">
        <f t="shared" si="113"/>
        <v>-7</v>
      </c>
      <c r="F858">
        <f t="shared" si="110"/>
        <v>-3</v>
      </c>
      <c r="G858">
        <f t="shared" si="114"/>
        <v>19</v>
      </c>
      <c r="H858">
        <f t="shared" si="115"/>
        <v>0</v>
      </c>
      <c r="I858">
        <f t="shared" si="116"/>
        <v>50</v>
      </c>
      <c r="J858" t="str">
        <f t="shared" si="117"/>
        <v>BrownieRangerMag</v>
      </c>
    </row>
    <row r="859" spans="1:10" x14ac:dyDescent="0.3">
      <c r="A859" s="1" t="str">
        <f t="shared" si="118"/>
        <v>Brownie</v>
      </c>
      <c r="B859" s="1" t="s">
        <v>11</v>
      </c>
      <c r="C859" s="1" t="s">
        <v>1</v>
      </c>
      <c r="D859">
        <f t="shared" si="112"/>
        <v>-2</v>
      </c>
      <c r="E859">
        <f t="shared" si="113"/>
        <v>0</v>
      </c>
      <c r="F859">
        <f t="shared" ref="F859:F922" si="119">E859+D859</f>
        <v>-2</v>
      </c>
      <c r="G859">
        <f t="shared" si="114"/>
        <v>16</v>
      </c>
      <c r="H859">
        <f t="shared" si="115"/>
        <v>0</v>
      </c>
      <c r="I859">
        <f t="shared" si="116"/>
        <v>60</v>
      </c>
      <c r="J859" t="str">
        <f t="shared" si="117"/>
        <v>BrownieRangerDiv</v>
      </c>
    </row>
    <row r="860" spans="1:10" x14ac:dyDescent="0.3">
      <c r="A860" s="1" t="str">
        <f t="shared" si="118"/>
        <v>Brownie</v>
      </c>
      <c r="B860" s="1" t="s">
        <v>11</v>
      </c>
      <c r="C860" s="1" t="s">
        <v>2</v>
      </c>
      <c r="D860">
        <f t="shared" si="112"/>
        <v>-1</v>
      </c>
      <c r="E860">
        <f t="shared" si="113"/>
        <v>1</v>
      </c>
      <c r="F860">
        <f t="shared" si="119"/>
        <v>0</v>
      </c>
      <c r="G860">
        <f t="shared" si="114"/>
        <v>10</v>
      </c>
      <c r="H860">
        <f t="shared" si="115"/>
        <v>0</v>
      </c>
      <c r="I860">
        <f t="shared" si="116"/>
        <v>80</v>
      </c>
      <c r="J860" t="str">
        <f t="shared" si="117"/>
        <v>BrownieRangerStr</v>
      </c>
    </row>
    <row r="861" spans="1:10" x14ac:dyDescent="0.3">
      <c r="A861" s="1" t="str">
        <f t="shared" si="118"/>
        <v>Brownie</v>
      </c>
      <c r="B861" s="1" t="s">
        <v>11</v>
      </c>
      <c r="C861" s="1" t="s">
        <v>3</v>
      </c>
      <c r="D861">
        <f t="shared" si="112"/>
        <v>2</v>
      </c>
      <c r="E861">
        <f t="shared" si="113"/>
        <v>2</v>
      </c>
      <c r="F861">
        <f t="shared" si="119"/>
        <v>4</v>
      </c>
      <c r="G861">
        <f t="shared" si="114"/>
        <v>6</v>
      </c>
      <c r="H861">
        <f t="shared" si="115"/>
        <v>9</v>
      </c>
      <c r="I861">
        <f t="shared" si="116"/>
        <v>108</v>
      </c>
      <c r="J861" t="str">
        <f t="shared" si="117"/>
        <v>BrownieRangerDex</v>
      </c>
    </row>
    <row r="862" spans="1:10" x14ac:dyDescent="0.3">
      <c r="A862" s="1" t="str">
        <f t="shared" si="118"/>
        <v>Brownie</v>
      </c>
      <c r="B862" s="1" t="s">
        <v>11</v>
      </c>
      <c r="C862" s="1" t="s">
        <v>4</v>
      </c>
      <c r="D862">
        <f t="shared" si="112"/>
        <v>-1</v>
      </c>
      <c r="E862">
        <f t="shared" si="113"/>
        <v>0</v>
      </c>
      <c r="F862">
        <f t="shared" si="119"/>
        <v>-1</v>
      </c>
      <c r="G862">
        <f t="shared" si="114"/>
        <v>13</v>
      </c>
      <c r="H862">
        <f t="shared" si="115"/>
        <v>0</v>
      </c>
      <c r="I862">
        <f t="shared" si="116"/>
        <v>70</v>
      </c>
      <c r="J862" t="str">
        <f t="shared" si="117"/>
        <v>BrownieRangerCon</v>
      </c>
    </row>
    <row r="863" spans="1:10" x14ac:dyDescent="0.3">
      <c r="A863" s="1" t="str">
        <f t="shared" si="118"/>
        <v>Brownie</v>
      </c>
      <c r="B863" s="1" t="s">
        <v>11</v>
      </c>
      <c r="C863" s="1" t="s">
        <v>5</v>
      </c>
      <c r="D863">
        <f t="shared" si="112"/>
        <v>0</v>
      </c>
      <c r="E863">
        <f t="shared" si="113"/>
        <v>-2</v>
      </c>
      <c r="F863">
        <f t="shared" si="119"/>
        <v>-2</v>
      </c>
      <c r="G863">
        <f t="shared" si="114"/>
        <v>16</v>
      </c>
      <c r="H863">
        <f t="shared" si="115"/>
        <v>0</v>
      </c>
      <c r="I863">
        <f t="shared" si="116"/>
        <v>60</v>
      </c>
      <c r="J863" t="str">
        <f t="shared" si="117"/>
        <v>BrownieRangerCha</v>
      </c>
    </row>
    <row r="864" spans="1:10" x14ac:dyDescent="0.3">
      <c r="A864" s="1" t="str">
        <f t="shared" si="118"/>
        <v>Brownie</v>
      </c>
      <c r="B864" s="1" t="s">
        <v>11</v>
      </c>
      <c r="C864" s="1" t="s">
        <v>6</v>
      </c>
      <c r="D864">
        <f t="shared" si="112"/>
        <v>1</v>
      </c>
      <c r="E864">
        <f t="shared" si="113"/>
        <v>-1</v>
      </c>
      <c r="F864">
        <f t="shared" si="119"/>
        <v>0</v>
      </c>
      <c r="G864">
        <f t="shared" si="114"/>
        <v>10</v>
      </c>
      <c r="H864">
        <f t="shared" si="115"/>
        <v>0</v>
      </c>
      <c r="I864">
        <f t="shared" si="116"/>
        <v>80</v>
      </c>
      <c r="J864" t="str">
        <f t="shared" si="117"/>
        <v>BrownieRangerBra</v>
      </c>
    </row>
    <row r="865" spans="1:10" x14ac:dyDescent="0.3">
      <c r="A865" s="1" t="str">
        <f t="shared" si="118"/>
        <v>Brownie</v>
      </c>
      <c r="B865" s="1" t="s">
        <v>11</v>
      </c>
      <c r="C865" s="1" t="s">
        <v>7</v>
      </c>
      <c r="D865">
        <f t="shared" si="112"/>
        <v>-3</v>
      </c>
      <c r="E865">
        <f t="shared" si="113"/>
        <v>0</v>
      </c>
      <c r="F865">
        <f t="shared" si="119"/>
        <v>-3</v>
      </c>
      <c r="G865">
        <f t="shared" si="114"/>
        <v>19</v>
      </c>
      <c r="H865">
        <f t="shared" si="115"/>
        <v>0</v>
      </c>
      <c r="I865">
        <f t="shared" si="116"/>
        <v>50</v>
      </c>
      <c r="J865" t="str">
        <f t="shared" si="117"/>
        <v>BrownieRangerHP</v>
      </c>
    </row>
    <row r="866" spans="1:10" x14ac:dyDescent="0.3">
      <c r="A866" s="1" t="str">
        <f t="shared" si="118"/>
        <v>Brownie</v>
      </c>
      <c r="B866" s="1" t="s">
        <v>12</v>
      </c>
      <c r="C866" s="1" t="s">
        <v>0</v>
      </c>
      <c r="D866">
        <f t="shared" si="112"/>
        <v>4</v>
      </c>
      <c r="E866">
        <f t="shared" si="113"/>
        <v>0</v>
      </c>
      <c r="F866">
        <f t="shared" si="119"/>
        <v>4</v>
      </c>
      <c r="G866">
        <f t="shared" si="114"/>
        <v>6</v>
      </c>
      <c r="H866">
        <f t="shared" si="115"/>
        <v>9</v>
      </c>
      <c r="I866">
        <f t="shared" si="116"/>
        <v>108</v>
      </c>
      <c r="J866" t="str">
        <f t="shared" si="117"/>
        <v>BrownieAssassinMag</v>
      </c>
    </row>
    <row r="867" spans="1:10" x14ac:dyDescent="0.3">
      <c r="A867" s="1" t="str">
        <f t="shared" si="118"/>
        <v>Brownie</v>
      </c>
      <c r="B867" s="1" t="s">
        <v>12</v>
      </c>
      <c r="C867" s="1" t="s">
        <v>1</v>
      </c>
      <c r="D867">
        <f t="shared" si="112"/>
        <v>-2</v>
      </c>
      <c r="E867">
        <f t="shared" si="113"/>
        <v>-7</v>
      </c>
      <c r="F867">
        <f t="shared" si="119"/>
        <v>-9</v>
      </c>
      <c r="G867">
        <f t="shared" si="114"/>
        <v>31</v>
      </c>
      <c r="H867">
        <f t="shared" si="115"/>
        <v>0</v>
      </c>
      <c r="I867">
        <f t="shared" si="116"/>
        <v>0</v>
      </c>
      <c r="J867" t="str">
        <f t="shared" si="117"/>
        <v>BrownieAssassinDiv</v>
      </c>
    </row>
    <row r="868" spans="1:10" x14ac:dyDescent="0.3">
      <c r="A868" s="1" t="str">
        <f t="shared" si="118"/>
        <v>Brownie</v>
      </c>
      <c r="B868" s="1" t="s">
        <v>12</v>
      </c>
      <c r="C868" s="1" t="s">
        <v>2</v>
      </c>
      <c r="D868">
        <f t="shared" si="112"/>
        <v>-1</v>
      </c>
      <c r="E868">
        <f t="shared" si="113"/>
        <v>0</v>
      </c>
      <c r="F868">
        <f t="shared" si="119"/>
        <v>-1</v>
      </c>
      <c r="G868">
        <f t="shared" si="114"/>
        <v>13</v>
      </c>
      <c r="H868">
        <f t="shared" si="115"/>
        <v>0</v>
      </c>
      <c r="I868">
        <f t="shared" si="116"/>
        <v>70</v>
      </c>
      <c r="J868" t="str">
        <f t="shared" si="117"/>
        <v>BrownieAssassinStr</v>
      </c>
    </row>
    <row r="869" spans="1:10" x14ac:dyDescent="0.3">
      <c r="A869" s="1" t="str">
        <f t="shared" si="118"/>
        <v>Brownie</v>
      </c>
      <c r="B869" s="1" t="s">
        <v>12</v>
      </c>
      <c r="C869" s="1" t="s">
        <v>3</v>
      </c>
      <c r="D869">
        <f t="shared" si="112"/>
        <v>2</v>
      </c>
      <c r="E869">
        <f t="shared" si="113"/>
        <v>2</v>
      </c>
      <c r="F869">
        <f t="shared" si="119"/>
        <v>4</v>
      </c>
      <c r="G869">
        <f t="shared" si="114"/>
        <v>6</v>
      </c>
      <c r="H869">
        <f t="shared" si="115"/>
        <v>9</v>
      </c>
      <c r="I869">
        <f t="shared" si="116"/>
        <v>108</v>
      </c>
      <c r="J869" t="str">
        <f t="shared" si="117"/>
        <v>BrownieAssassinDex</v>
      </c>
    </row>
    <row r="870" spans="1:10" x14ac:dyDescent="0.3">
      <c r="A870" s="1" t="str">
        <f t="shared" si="118"/>
        <v>Brownie</v>
      </c>
      <c r="B870" s="1" t="s">
        <v>12</v>
      </c>
      <c r="C870" s="1" t="s">
        <v>4</v>
      </c>
      <c r="D870">
        <f t="shared" si="112"/>
        <v>-1</v>
      </c>
      <c r="E870">
        <f t="shared" si="113"/>
        <v>0</v>
      </c>
      <c r="F870">
        <f t="shared" si="119"/>
        <v>-1</v>
      </c>
      <c r="G870">
        <f t="shared" si="114"/>
        <v>13</v>
      </c>
      <c r="H870">
        <f t="shared" si="115"/>
        <v>0</v>
      </c>
      <c r="I870">
        <f t="shared" si="116"/>
        <v>70</v>
      </c>
      <c r="J870" t="str">
        <f t="shared" si="117"/>
        <v>BrownieAssassinCon</v>
      </c>
    </row>
    <row r="871" spans="1:10" x14ac:dyDescent="0.3">
      <c r="A871" s="1" t="str">
        <f t="shared" si="118"/>
        <v>Brownie</v>
      </c>
      <c r="B871" s="1" t="s">
        <v>12</v>
      </c>
      <c r="C871" s="1" t="s">
        <v>5</v>
      </c>
      <c r="D871">
        <f t="shared" si="112"/>
        <v>0</v>
      </c>
      <c r="E871">
        <f t="shared" si="113"/>
        <v>-2</v>
      </c>
      <c r="F871">
        <f t="shared" si="119"/>
        <v>-2</v>
      </c>
      <c r="G871">
        <f t="shared" si="114"/>
        <v>16</v>
      </c>
      <c r="H871">
        <f t="shared" si="115"/>
        <v>0</v>
      </c>
      <c r="I871">
        <f t="shared" si="116"/>
        <v>60</v>
      </c>
      <c r="J871" t="str">
        <f t="shared" si="117"/>
        <v>BrownieAssassinCha</v>
      </c>
    </row>
    <row r="872" spans="1:10" x14ac:dyDescent="0.3">
      <c r="A872" s="1" t="str">
        <f t="shared" si="118"/>
        <v>Brownie</v>
      </c>
      <c r="B872" s="1" t="s">
        <v>12</v>
      </c>
      <c r="C872" s="1" t="s">
        <v>6</v>
      </c>
      <c r="D872">
        <f t="shared" si="112"/>
        <v>1</v>
      </c>
      <c r="E872">
        <f t="shared" si="113"/>
        <v>1</v>
      </c>
      <c r="F872">
        <f t="shared" si="119"/>
        <v>2</v>
      </c>
      <c r="G872">
        <f t="shared" si="114"/>
        <v>8</v>
      </c>
      <c r="H872">
        <f t="shared" si="115"/>
        <v>12</v>
      </c>
      <c r="I872">
        <f t="shared" si="116"/>
        <v>100</v>
      </c>
      <c r="J872" t="str">
        <f t="shared" si="117"/>
        <v>BrownieAssassinBra</v>
      </c>
    </row>
    <row r="873" spans="1:10" x14ac:dyDescent="0.3">
      <c r="A873" s="1" t="str">
        <f t="shared" si="118"/>
        <v>Brownie</v>
      </c>
      <c r="B873" s="1" t="s">
        <v>12</v>
      </c>
      <c r="C873" s="1" t="s">
        <v>7</v>
      </c>
      <c r="D873">
        <f t="shared" si="112"/>
        <v>-3</v>
      </c>
      <c r="E873">
        <f t="shared" si="113"/>
        <v>-1</v>
      </c>
      <c r="F873">
        <f t="shared" si="119"/>
        <v>-4</v>
      </c>
      <c r="G873">
        <f t="shared" si="114"/>
        <v>22</v>
      </c>
      <c r="H873">
        <f t="shared" si="115"/>
        <v>0</v>
      </c>
      <c r="I873">
        <f t="shared" si="116"/>
        <v>40</v>
      </c>
      <c r="J873" t="str">
        <f t="shared" si="117"/>
        <v>BrownieAssassinHP</v>
      </c>
    </row>
    <row r="874" spans="1:10" x14ac:dyDescent="0.3">
      <c r="A874" s="1" t="str">
        <f t="shared" si="118"/>
        <v>Brownie</v>
      </c>
      <c r="B874" s="1" t="s">
        <v>13</v>
      </c>
      <c r="C874" s="1" t="s">
        <v>0</v>
      </c>
      <c r="D874">
        <f t="shared" si="112"/>
        <v>4</v>
      </c>
      <c r="E874">
        <f t="shared" si="113"/>
        <v>-5</v>
      </c>
      <c r="F874">
        <f t="shared" si="119"/>
        <v>-1</v>
      </c>
      <c r="G874">
        <f t="shared" si="114"/>
        <v>13</v>
      </c>
      <c r="H874">
        <f t="shared" si="115"/>
        <v>0</v>
      </c>
      <c r="I874">
        <f t="shared" si="116"/>
        <v>70</v>
      </c>
      <c r="J874" t="str">
        <f t="shared" si="117"/>
        <v>BrownieThiefMag</v>
      </c>
    </row>
    <row r="875" spans="1:10" x14ac:dyDescent="0.3">
      <c r="A875" s="1" t="str">
        <f t="shared" si="118"/>
        <v>Brownie</v>
      </c>
      <c r="B875" s="1" t="s">
        <v>13</v>
      </c>
      <c r="C875" s="1" t="s">
        <v>1</v>
      </c>
      <c r="D875">
        <f t="shared" si="112"/>
        <v>-2</v>
      </c>
      <c r="E875">
        <f t="shared" si="113"/>
        <v>-7</v>
      </c>
      <c r="F875">
        <f t="shared" si="119"/>
        <v>-9</v>
      </c>
      <c r="G875">
        <f t="shared" si="114"/>
        <v>31</v>
      </c>
      <c r="H875">
        <f t="shared" si="115"/>
        <v>0</v>
      </c>
      <c r="I875">
        <f t="shared" si="116"/>
        <v>0</v>
      </c>
      <c r="J875" t="str">
        <f t="shared" si="117"/>
        <v>BrownieThiefDiv</v>
      </c>
    </row>
    <row r="876" spans="1:10" x14ac:dyDescent="0.3">
      <c r="A876" s="1" t="str">
        <f t="shared" si="118"/>
        <v>Brownie</v>
      </c>
      <c r="B876" s="1" t="s">
        <v>13</v>
      </c>
      <c r="C876" s="1" t="s">
        <v>2</v>
      </c>
      <c r="D876">
        <f t="shared" si="112"/>
        <v>-1</v>
      </c>
      <c r="E876">
        <f t="shared" si="113"/>
        <v>0</v>
      </c>
      <c r="F876">
        <f t="shared" si="119"/>
        <v>-1</v>
      </c>
      <c r="G876">
        <f t="shared" si="114"/>
        <v>13</v>
      </c>
      <c r="H876">
        <f t="shared" si="115"/>
        <v>0</v>
      </c>
      <c r="I876">
        <f t="shared" si="116"/>
        <v>70</v>
      </c>
      <c r="J876" t="str">
        <f t="shared" si="117"/>
        <v>BrownieThiefStr</v>
      </c>
    </row>
    <row r="877" spans="1:10" x14ac:dyDescent="0.3">
      <c r="A877" s="1" t="str">
        <f t="shared" si="118"/>
        <v>Brownie</v>
      </c>
      <c r="B877" s="1" t="s">
        <v>13</v>
      </c>
      <c r="C877" s="1" t="s">
        <v>3</v>
      </c>
      <c r="D877">
        <f t="shared" si="112"/>
        <v>2</v>
      </c>
      <c r="E877">
        <f t="shared" si="113"/>
        <v>3</v>
      </c>
      <c r="F877">
        <f t="shared" si="119"/>
        <v>5</v>
      </c>
      <c r="G877">
        <f t="shared" si="114"/>
        <v>5</v>
      </c>
      <c r="H877">
        <f t="shared" si="115"/>
        <v>8</v>
      </c>
      <c r="I877">
        <f t="shared" si="116"/>
        <v>110</v>
      </c>
      <c r="J877" t="str">
        <f t="shared" si="117"/>
        <v>BrownieThiefDex</v>
      </c>
    </row>
    <row r="878" spans="1:10" x14ac:dyDescent="0.3">
      <c r="A878" s="1" t="str">
        <f t="shared" si="118"/>
        <v>Brownie</v>
      </c>
      <c r="B878" s="1" t="s">
        <v>13</v>
      </c>
      <c r="C878" s="1" t="s">
        <v>4</v>
      </c>
      <c r="D878">
        <f t="shared" si="112"/>
        <v>-1</v>
      </c>
      <c r="E878">
        <f t="shared" si="113"/>
        <v>-1</v>
      </c>
      <c r="F878">
        <f t="shared" si="119"/>
        <v>-2</v>
      </c>
      <c r="G878">
        <f t="shared" si="114"/>
        <v>16</v>
      </c>
      <c r="H878">
        <f t="shared" si="115"/>
        <v>0</v>
      </c>
      <c r="I878">
        <f t="shared" si="116"/>
        <v>60</v>
      </c>
      <c r="J878" t="str">
        <f t="shared" si="117"/>
        <v>BrownieThiefCon</v>
      </c>
    </row>
    <row r="879" spans="1:10" x14ac:dyDescent="0.3">
      <c r="A879" s="1" t="str">
        <f t="shared" si="118"/>
        <v>Brownie</v>
      </c>
      <c r="B879" s="1" t="s">
        <v>13</v>
      </c>
      <c r="C879" s="1" t="s">
        <v>5</v>
      </c>
      <c r="D879">
        <f t="shared" si="112"/>
        <v>0</v>
      </c>
      <c r="E879">
        <f t="shared" si="113"/>
        <v>-2</v>
      </c>
      <c r="F879">
        <f t="shared" si="119"/>
        <v>-2</v>
      </c>
      <c r="G879">
        <f t="shared" si="114"/>
        <v>16</v>
      </c>
      <c r="H879">
        <f t="shared" si="115"/>
        <v>0</v>
      </c>
      <c r="I879">
        <f t="shared" si="116"/>
        <v>60</v>
      </c>
      <c r="J879" t="str">
        <f t="shared" si="117"/>
        <v>BrownieThiefCha</v>
      </c>
    </row>
    <row r="880" spans="1:10" x14ac:dyDescent="0.3">
      <c r="A880" s="1" t="str">
        <f t="shared" si="118"/>
        <v>Brownie</v>
      </c>
      <c r="B880" s="1" t="s">
        <v>13</v>
      </c>
      <c r="C880" s="1" t="s">
        <v>6</v>
      </c>
      <c r="D880">
        <f t="shared" si="112"/>
        <v>1</v>
      </c>
      <c r="E880">
        <f t="shared" si="113"/>
        <v>2</v>
      </c>
      <c r="F880">
        <f t="shared" si="119"/>
        <v>3</v>
      </c>
      <c r="G880">
        <f t="shared" si="114"/>
        <v>7</v>
      </c>
      <c r="H880">
        <f t="shared" si="115"/>
        <v>11</v>
      </c>
      <c r="I880">
        <f t="shared" si="116"/>
        <v>105</v>
      </c>
      <c r="J880" t="str">
        <f t="shared" si="117"/>
        <v>BrownieThiefBra</v>
      </c>
    </row>
    <row r="881" spans="1:10" x14ac:dyDescent="0.3">
      <c r="A881" s="1" t="str">
        <f t="shared" si="118"/>
        <v>Brownie</v>
      </c>
      <c r="B881" s="1" t="s">
        <v>13</v>
      </c>
      <c r="C881" s="1" t="s">
        <v>7</v>
      </c>
      <c r="D881">
        <f t="shared" si="112"/>
        <v>-3</v>
      </c>
      <c r="E881">
        <f t="shared" si="113"/>
        <v>1</v>
      </c>
      <c r="F881">
        <f t="shared" si="119"/>
        <v>-2</v>
      </c>
      <c r="G881">
        <f t="shared" si="114"/>
        <v>16</v>
      </c>
      <c r="H881">
        <f t="shared" si="115"/>
        <v>0</v>
      </c>
      <c r="I881">
        <f t="shared" si="116"/>
        <v>60</v>
      </c>
      <c r="J881" t="str">
        <f t="shared" si="117"/>
        <v>BrownieThiefHP</v>
      </c>
    </row>
    <row r="882" spans="1:10" x14ac:dyDescent="0.3">
      <c r="A882" s="1" t="str">
        <f t="shared" si="118"/>
        <v>Brownie</v>
      </c>
      <c r="B882" s="1" t="s">
        <v>14</v>
      </c>
      <c r="C882" s="1" t="s">
        <v>0</v>
      </c>
      <c r="D882">
        <f t="shared" si="112"/>
        <v>4</v>
      </c>
      <c r="E882">
        <f t="shared" si="113"/>
        <v>-7</v>
      </c>
      <c r="F882">
        <f t="shared" si="119"/>
        <v>-3</v>
      </c>
      <c r="G882">
        <f t="shared" si="114"/>
        <v>19</v>
      </c>
      <c r="H882">
        <f t="shared" si="115"/>
        <v>0</v>
      </c>
      <c r="I882">
        <f t="shared" si="116"/>
        <v>50</v>
      </c>
      <c r="J882" t="str">
        <f t="shared" si="117"/>
        <v>BrownieDruidMag</v>
      </c>
    </row>
    <row r="883" spans="1:10" x14ac:dyDescent="0.3">
      <c r="A883" s="1" t="str">
        <f t="shared" si="118"/>
        <v>Brownie</v>
      </c>
      <c r="B883" s="1" t="s">
        <v>14</v>
      </c>
      <c r="C883" s="1" t="s">
        <v>1</v>
      </c>
      <c r="D883">
        <f t="shared" si="112"/>
        <v>-2</v>
      </c>
      <c r="E883">
        <f t="shared" si="113"/>
        <v>2</v>
      </c>
      <c r="F883">
        <f t="shared" si="119"/>
        <v>0</v>
      </c>
      <c r="G883">
        <f t="shared" si="114"/>
        <v>10</v>
      </c>
      <c r="H883">
        <f t="shared" si="115"/>
        <v>0</v>
      </c>
      <c r="I883">
        <f t="shared" si="116"/>
        <v>80</v>
      </c>
      <c r="J883" t="str">
        <f t="shared" si="117"/>
        <v>BrownieDruidDiv</v>
      </c>
    </row>
    <row r="884" spans="1:10" x14ac:dyDescent="0.3">
      <c r="A884" s="1" t="str">
        <f t="shared" si="118"/>
        <v>Brownie</v>
      </c>
      <c r="B884" s="1" t="s">
        <v>14</v>
      </c>
      <c r="C884" s="1" t="s">
        <v>2</v>
      </c>
      <c r="D884">
        <f t="shared" si="112"/>
        <v>-1</v>
      </c>
      <c r="E884">
        <f t="shared" si="113"/>
        <v>-2</v>
      </c>
      <c r="F884">
        <f t="shared" si="119"/>
        <v>-3</v>
      </c>
      <c r="G884">
        <f t="shared" si="114"/>
        <v>19</v>
      </c>
      <c r="H884">
        <f t="shared" si="115"/>
        <v>0</v>
      </c>
      <c r="I884">
        <f t="shared" si="116"/>
        <v>50</v>
      </c>
      <c r="J884" t="str">
        <f t="shared" si="117"/>
        <v>BrownieDruidStr</v>
      </c>
    </row>
    <row r="885" spans="1:10" x14ac:dyDescent="0.3">
      <c r="A885" s="1" t="str">
        <f t="shared" si="118"/>
        <v>Brownie</v>
      </c>
      <c r="B885" s="1" t="s">
        <v>14</v>
      </c>
      <c r="C885" s="1" t="s">
        <v>3</v>
      </c>
      <c r="D885">
        <f t="shared" si="112"/>
        <v>2</v>
      </c>
      <c r="E885">
        <f t="shared" si="113"/>
        <v>0</v>
      </c>
      <c r="F885">
        <f t="shared" si="119"/>
        <v>2</v>
      </c>
      <c r="G885">
        <f t="shared" si="114"/>
        <v>8</v>
      </c>
      <c r="H885">
        <f t="shared" si="115"/>
        <v>12</v>
      </c>
      <c r="I885">
        <f t="shared" si="116"/>
        <v>100</v>
      </c>
      <c r="J885" t="str">
        <f t="shared" si="117"/>
        <v>BrownieDruidDex</v>
      </c>
    </row>
    <row r="886" spans="1:10" x14ac:dyDescent="0.3">
      <c r="A886" s="1" t="str">
        <f t="shared" si="118"/>
        <v>Brownie</v>
      </c>
      <c r="B886" s="1" t="s">
        <v>14</v>
      </c>
      <c r="C886" s="1" t="s">
        <v>4</v>
      </c>
      <c r="D886">
        <f t="shared" si="112"/>
        <v>-1</v>
      </c>
      <c r="E886">
        <f t="shared" si="113"/>
        <v>-3</v>
      </c>
      <c r="F886">
        <f t="shared" si="119"/>
        <v>-4</v>
      </c>
      <c r="G886">
        <f t="shared" si="114"/>
        <v>22</v>
      </c>
      <c r="H886">
        <f t="shared" si="115"/>
        <v>0</v>
      </c>
      <c r="I886">
        <f t="shared" si="116"/>
        <v>40</v>
      </c>
      <c r="J886" t="str">
        <f t="shared" si="117"/>
        <v>BrownieDruidCon</v>
      </c>
    </row>
    <row r="887" spans="1:10" x14ac:dyDescent="0.3">
      <c r="A887" s="1" t="str">
        <f t="shared" si="118"/>
        <v>Brownie</v>
      </c>
      <c r="B887" s="1" t="s">
        <v>14</v>
      </c>
      <c r="C887" s="1" t="s">
        <v>5</v>
      </c>
      <c r="D887">
        <f t="shared" si="112"/>
        <v>0</v>
      </c>
      <c r="E887">
        <f t="shared" si="113"/>
        <v>1</v>
      </c>
      <c r="F887">
        <f t="shared" si="119"/>
        <v>1</v>
      </c>
      <c r="G887">
        <f t="shared" si="114"/>
        <v>9</v>
      </c>
      <c r="H887">
        <f t="shared" si="115"/>
        <v>14</v>
      </c>
      <c r="I887">
        <f t="shared" si="116"/>
        <v>90</v>
      </c>
      <c r="J887" t="str">
        <f t="shared" si="117"/>
        <v>BrownieDruidCha</v>
      </c>
    </row>
    <row r="888" spans="1:10" x14ac:dyDescent="0.3">
      <c r="A888" s="1" t="str">
        <f t="shared" si="118"/>
        <v>Brownie</v>
      </c>
      <c r="B888" s="1" t="s">
        <v>14</v>
      </c>
      <c r="C888" s="1" t="s">
        <v>6</v>
      </c>
      <c r="D888">
        <f t="shared" si="112"/>
        <v>1</v>
      </c>
      <c r="E888">
        <f t="shared" si="113"/>
        <v>3</v>
      </c>
      <c r="F888">
        <f t="shared" si="119"/>
        <v>4</v>
      </c>
      <c r="G888">
        <f t="shared" si="114"/>
        <v>6</v>
      </c>
      <c r="H888">
        <f t="shared" si="115"/>
        <v>9</v>
      </c>
      <c r="I888">
        <f t="shared" si="116"/>
        <v>108</v>
      </c>
      <c r="J888" t="str">
        <f t="shared" si="117"/>
        <v>BrownieDruidBra</v>
      </c>
    </row>
    <row r="889" spans="1:10" x14ac:dyDescent="0.3">
      <c r="A889" s="1" t="str">
        <f t="shared" si="118"/>
        <v>Brownie</v>
      </c>
      <c r="B889" s="1" t="s">
        <v>14</v>
      </c>
      <c r="C889" s="1" t="s">
        <v>7</v>
      </c>
      <c r="D889">
        <f t="shared" si="112"/>
        <v>-3</v>
      </c>
      <c r="E889">
        <f t="shared" si="113"/>
        <v>-1</v>
      </c>
      <c r="F889">
        <f t="shared" si="119"/>
        <v>-4</v>
      </c>
      <c r="G889">
        <f t="shared" si="114"/>
        <v>22</v>
      </c>
      <c r="H889">
        <f t="shared" si="115"/>
        <v>0</v>
      </c>
      <c r="I889">
        <f t="shared" si="116"/>
        <v>40</v>
      </c>
      <c r="J889" t="str">
        <f t="shared" si="117"/>
        <v>BrownieDruidHP</v>
      </c>
    </row>
    <row r="890" spans="1:10" x14ac:dyDescent="0.3">
      <c r="A890" s="1" t="str">
        <f t="shared" si="118"/>
        <v>Brownie</v>
      </c>
      <c r="B890" s="1" t="s">
        <v>31</v>
      </c>
      <c r="C890" s="1" t="s">
        <v>0</v>
      </c>
      <c r="D890">
        <f t="shared" si="112"/>
        <v>4</v>
      </c>
      <c r="E890">
        <f t="shared" si="113"/>
        <v>2</v>
      </c>
      <c r="F890">
        <f t="shared" si="119"/>
        <v>6</v>
      </c>
      <c r="G890">
        <f t="shared" si="114"/>
        <v>5</v>
      </c>
      <c r="H890">
        <f t="shared" si="115"/>
        <v>8</v>
      </c>
      <c r="I890">
        <f t="shared" si="116"/>
        <v>111</v>
      </c>
      <c r="J890" t="str">
        <f t="shared" si="117"/>
        <v>BrownieObsoleteMag</v>
      </c>
    </row>
    <row r="891" spans="1:10" x14ac:dyDescent="0.3">
      <c r="A891" s="1" t="str">
        <f t="shared" si="118"/>
        <v>Brownie</v>
      </c>
      <c r="B891" s="1" t="s">
        <v>31</v>
      </c>
      <c r="C891" s="1" t="s">
        <v>1</v>
      </c>
      <c r="D891">
        <f t="shared" si="112"/>
        <v>-2</v>
      </c>
      <c r="E891">
        <f t="shared" si="113"/>
        <v>2</v>
      </c>
      <c r="F891">
        <f t="shared" si="119"/>
        <v>0</v>
      </c>
      <c r="G891">
        <f t="shared" si="114"/>
        <v>10</v>
      </c>
      <c r="H891">
        <f t="shared" si="115"/>
        <v>0</v>
      </c>
      <c r="I891">
        <f t="shared" si="116"/>
        <v>80</v>
      </c>
      <c r="J891" t="str">
        <f t="shared" si="117"/>
        <v>BrownieObsoleteDiv</v>
      </c>
    </row>
    <row r="892" spans="1:10" x14ac:dyDescent="0.3">
      <c r="A892" s="1" t="str">
        <f t="shared" si="118"/>
        <v>Brownie</v>
      </c>
      <c r="B892" s="1" t="s">
        <v>31</v>
      </c>
      <c r="C892" s="1" t="s">
        <v>2</v>
      </c>
      <c r="D892">
        <f t="shared" si="112"/>
        <v>-1</v>
      </c>
      <c r="E892">
        <f t="shared" si="113"/>
        <v>-2</v>
      </c>
      <c r="F892">
        <f t="shared" si="119"/>
        <v>-3</v>
      </c>
      <c r="G892">
        <f t="shared" si="114"/>
        <v>19</v>
      </c>
      <c r="H892">
        <f t="shared" si="115"/>
        <v>0</v>
      </c>
      <c r="I892">
        <f t="shared" si="116"/>
        <v>50</v>
      </c>
      <c r="J892" t="str">
        <f t="shared" si="117"/>
        <v>BrownieObsoleteStr</v>
      </c>
    </row>
    <row r="893" spans="1:10" x14ac:dyDescent="0.3">
      <c r="A893" s="1" t="str">
        <f t="shared" si="118"/>
        <v>Brownie</v>
      </c>
      <c r="B893" s="1" t="s">
        <v>31</v>
      </c>
      <c r="C893" s="1" t="s">
        <v>3</v>
      </c>
      <c r="D893">
        <f t="shared" si="112"/>
        <v>2</v>
      </c>
      <c r="E893">
        <f t="shared" si="113"/>
        <v>-1</v>
      </c>
      <c r="F893">
        <f t="shared" si="119"/>
        <v>1</v>
      </c>
      <c r="G893">
        <f t="shared" si="114"/>
        <v>9</v>
      </c>
      <c r="H893">
        <f t="shared" si="115"/>
        <v>14</v>
      </c>
      <c r="I893">
        <f t="shared" si="116"/>
        <v>90</v>
      </c>
      <c r="J893" t="str">
        <f t="shared" si="117"/>
        <v>BrownieObsoleteDex</v>
      </c>
    </row>
    <row r="894" spans="1:10" x14ac:dyDescent="0.3">
      <c r="A894" s="1" t="str">
        <f t="shared" si="118"/>
        <v>Brownie</v>
      </c>
      <c r="B894" s="1" t="s">
        <v>31</v>
      </c>
      <c r="C894" s="1" t="s">
        <v>4</v>
      </c>
      <c r="D894">
        <f t="shared" si="112"/>
        <v>-1</v>
      </c>
      <c r="E894">
        <f t="shared" si="113"/>
        <v>-2</v>
      </c>
      <c r="F894">
        <f t="shared" si="119"/>
        <v>-3</v>
      </c>
      <c r="G894">
        <f t="shared" si="114"/>
        <v>19</v>
      </c>
      <c r="H894">
        <f t="shared" si="115"/>
        <v>0</v>
      </c>
      <c r="I894">
        <f t="shared" si="116"/>
        <v>50</v>
      </c>
      <c r="J894" t="str">
        <f t="shared" si="117"/>
        <v>BrownieObsoleteCon</v>
      </c>
    </row>
    <row r="895" spans="1:10" x14ac:dyDescent="0.3">
      <c r="A895" s="1" t="str">
        <f t="shared" si="118"/>
        <v>Brownie</v>
      </c>
      <c r="B895" s="1" t="s">
        <v>31</v>
      </c>
      <c r="C895" s="1" t="s">
        <v>5</v>
      </c>
      <c r="D895">
        <f t="shared" si="112"/>
        <v>0</v>
      </c>
      <c r="E895">
        <f t="shared" si="113"/>
        <v>1</v>
      </c>
      <c r="F895">
        <f t="shared" si="119"/>
        <v>1</v>
      </c>
      <c r="G895">
        <f t="shared" si="114"/>
        <v>9</v>
      </c>
      <c r="H895">
        <f t="shared" si="115"/>
        <v>14</v>
      </c>
      <c r="I895">
        <f t="shared" si="116"/>
        <v>90</v>
      </c>
      <c r="J895" t="str">
        <f t="shared" si="117"/>
        <v>BrownieObsoleteCha</v>
      </c>
    </row>
    <row r="896" spans="1:10" x14ac:dyDescent="0.3">
      <c r="A896" s="1" t="str">
        <f t="shared" si="118"/>
        <v>Brownie</v>
      </c>
      <c r="B896" s="1" t="s">
        <v>31</v>
      </c>
      <c r="C896" s="1" t="s">
        <v>6</v>
      </c>
      <c r="D896">
        <f t="shared" si="112"/>
        <v>1</v>
      </c>
      <c r="E896">
        <f t="shared" si="113"/>
        <v>2</v>
      </c>
      <c r="F896">
        <f t="shared" si="119"/>
        <v>3</v>
      </c>
      <c r="G896">
        <f t="shared" si="114"/>
        <v>7</v>
      </c>
      <c r="H896">
        <f t="shared" si="115"/>
        <v>11</v>
      </c>
      <c r="I896">
        <f t="shared" si="116"/>
        <v>105</v>
      </c>
      <c r="J896" t="str">
        <f t="shared" si="117"/>
        <v>BrownieObsoleteBra</v>
      </c>
    </row>
    <row r="897" spans="1:10" x14ac:dyDescent="0.3">
      <c r="A897" s="1" t="str">
        <f t="shared" si="118"/>
        <v>Brownie</v>
      </c>
      <c r="B897" s="1" t="s">
        <v>31</v>
      </c>
      <c r="C897" s="1" t="s">
        <v>7</v>
      </c>
      <c r="D897">
        <f t="shared" si="112"/>
        <v>-3</v>
      </c>
      <c r="E897">
        <f t="shared" si="113"/>
        <v>0</v>
      </c>
      <c r="F897">
        <f t="shared" si="119"/>
        <v>-3</v>
      </c>
      <c r="G897">
        <f t="shared" si="114"/>
        <v>19</v>
      </c>
      <c r="H897">
        <f t="shared" si="115"/>
        <v>0</v>
      </c>
      <c r="I897">
        <f t="shared" si="116"/>
        <v>50</v>
      </c>
      <c r="J897" t="str">
        <f t="shared" si="117"/>
        <v>BrownieObsoleteHP</v>
      </c>
    </row>
    <row r="898" spans="1:10" x14ac:dyDescent="0.3">
      <c r="A898" s="1" t="str">
        <f t="shared" si="118"/>
        <v>Brownie</v>
      </c>
      <c r="B898" s="1" t="s">
        <v>91</v>
      </c>
      <c r="C898" s="1" t="s">
        <v>0</v>
      </c>
      <c r="D898">
        <f t="shared" ref="D898:D961" si="120">INDEX(TblRaceValues,MATCH(C898, TblAbilities, 0),MATCH(A898,TblRaces,0))</f>
        <v>4</v>
      </c>
      <c r="E898">
        <f t="shared" ref="E898:E961" si="121">INDEX(TblProfessionValues,MATCH(C898,TblAbilities,0),MATCH(B898,TblProfessions,0))</f>
        <v>-7</v>
      </c>
      <c r="F898">
        <f t="shared" si="119"/>
        <v>-3</v>
      </c>
      <c r="G898">
        <f t="shared" ref="G898:G961" si="122">HLOOKUP(MIN(MAX(-7,F898),7),TblPracticeCost,2)</f>
        <v>19</v>
      </c>
      <c r="H898">
        <f t="shared" ref="H898:H961" si="123">HLOOKUP(MIN(MAX(-7,F898),7),TblPracticeCost,3)</f>
        <v>0</v>
      </c>
      <c r="I898">
        <f t="shared" ref="I898:I961" si="124">VLOOKUP(MIN(MAX(-7,F898),7),TblBonusMaxSkill,2)</f>
        <v>50</v>
      </c>
      <c r="J898" t="str">
        <f t="shared" si="117"/>
        <v>BrownieNecromancerMag</v>
      </c>
    </row>
    <row r="899" spans="1:10" x14ac:dyDescent="0.3">
      <c r="A899" s="1" t="str">
        <f t="shared" si="118"/>
        <v>Brownie</v>
      </c>
      <c r="B899" s="1" t="s">
        <v>91</v>
      </c>
      <c r="C899" s="1" t="s">
        <v>1</v>
      </c>
      <c r="D899">
        <f t="shared" si="120"/>
        <v>-2</v>
      </c>
      <c r="E899">
        <f t="shared" si="121"/>
        <v>0</v>
      </c>
      <c r="F899">
        <f t="shared" si="119"/>
        <v>-2</v>
      </c>
      <c r="G899">
        <f t="shared" si="122"/>
        <v>16</v>
      </c>
      <c r="H899">
        <f t="shared" si="123"/>
        <v>0</v>
      </c>
      <c r="I899">
        <f t="shared" si="124"/>
        <v>60</v>
      </c>
      <c r="J899" t="str">
        <f t="shared" ref="J899:J962" si="125">A899&amp;B899&amp;C899</f>
        <v>BrownieNecromancerDiv</v>
      </c>
    </row>
    <row r="900" spans="1:10" x14ac:dyDescent="0.3">
      <c r="A900" s="1" t="str">
        <f t="shared" ref="A900:A937" si="126">A899</f>
        <v>Brownie</v>
      </c>
      <c r="B900" s="1" t="s">
        <v>91</v>
      </c>
      <c r="C900" s="1" t="s">
        <v>2</v>
      </c>
      <c r="D900">
        <f t="shared" si="120"/>
        <v>-1</v>
      </c>
      <c r="E900">
        <f t="shared" si="121"/>
        <v>-1</v>
      </c>
      <c r="F900">
        <f t="shared" si="119"/>
        <v>-2</v>
      </c>
      <c r="G900">
        <f t="shared" si="122"/>
        <v>16</v>
      </c>
      <c r="H900">
        <f t="shared" si="123"/>
        <v>0</v>
      </c>
      <c r="I900">
        <f t="shared" si="124"/>
        <v>60</v>
      </c>
      <c r="J900" t="str">
        <f t="shared" si="125"/>
        <v>BrownieNecromancerStr</v>
      </c>
    </row>
    <row r="901" spans="1:10" x14ac:dyDescent="0.3">
      <c r="A901" s="1" t="str">
        <f t="shared" si="126"/>
        <v>Brownie</v>
      </c>
      <c r="B901" s="1" t="s">
        <v>91</v>
      </c>
      <c r="C901" s="1" t="s">
        <v>3</v>
      </c>
      <c r="D901">
        <f t="shared" si="120"/>
        <v>2</v>
      </c>
      <c r="E901">
        <f t="shared" si="121"/>
        <v>1</v>
      </c>
      <c r="F901">
        <f t="shared" si="119"/>
        <v>3</v>
      </c>
      <c r="G901">
        <f t="shared" si="122"/>
        <v>7</v>
      </c>
      <c r="H901">
        <f t="shared" si="123"/>
        <v>11</v>
      </c>
      <c r="I901">
        <f t="shared" si="124"/>
        <v>105</v>
      </c>
      <c r="J901" t="str">
        <f t="shared" si="125"/>
        <v>BrownieNecromancerDex</v>
      </c>
    </row>
    <row r="902" spans="1:10" x14ac:dyDescent="0.3">
      <c r="A902" s="1" t="str">
        <f t="shared" si="126"/>
        <v>Brownie</v>
      </c>
      <c r="B902" s="1" t="s">
        <v>91</v>
      </c>
      <c r="C902" s="1" t="s">
        <v>4</v>
      </c>
      <c r="D902">
        <f t="shared" si="120"/>
        <v>-1</v>
      </c>
      <c r="E902">
        <f t="shared" si="121"/>
        <v>-3</v>
      </c>
      <c r="F902">
        <f t="shared" si="119"/>
        <v>-4</v>
      </c>
      <c r="G902">
        <f t="shared" si="122"/>
        <v>22</v>
      </c>
      <c r="H902">
        <f t="shared" si="123"/>
        <v>0</v>
      </c>
      <c r="I902">
        <f t="shared" si="124"/>
        <v>40</v>
      </c>
      <c r="J902" t="str">
        <f t="shared" si="125"/>
        <v>BrownieNecromancerCon</v>
      </c>
    </row>
    <row r="903" spans="1:10" x14ac:dyDescent="0.3">
      <c r="A903" s="1" t="str">
        <f t="shared" si="126"/>
        <v>Brownie</v>
      </c>
      <c r="B903" s="1" t="s">
        <v>91</v>
      </c>
      <c r="C903" s="1" t="s">
        <v>5</v>
      </c>
      <c r="D903">
        <f t="shared" si="120"/>
        <v>0</v>
      </c>
      <c r="E903">
        <f t="shared" si="121"/>
        <v>2</v>
      </c>
      <c r="F903">
        <f t="shared" si="119"/>
        <v>2</v>
      </c>
      <c r="G903">
        <f t="shared" si="122"/>
        <v>8</v>
      </c>
      <c r="H903">
        <f t="shared" si="123"/>
        <v>12</v>
      </c>
      <c r="I903">
        <f t="shared" si="124"/>
        <v>100</v>
      </c>
      <c r="J903" t="str">
        <f t="shared" si="125"/>
        <v>BrownieNecromancerCha</v>
      </c>
    </row>
    <row r="904" spans="1:10" x14ac:dyDescent="0.3">
      <c r="A904" s="1" t="str">
        <f t="shared" si="126"/>
        <v>Brownie</v>
      </c>
      <c r="B904" s="1" t="s">
        <v>91</v>
      </c>
      <c r="C904" s="1" t="s">
        <v>6</v>
      </c>
      <c r="D904">
        <f t="shared" si="120"/>
        <v>1</v>
      </c>
      <c r="E904">
        <f t="shared" si="121"/>
        <v>3</v>
      </c>
      <c r="F904">
        <f t="shared" si="119"/>
        <v>4</v>
      </c>
      <c r="G904">
        <f t="shared" si="122"/>
        <v>6</v>
      </c>
      <c r="H904">
        <f t="shared" si="123"/>
        <v>9</v>
      </c>
      <c r="I904">
        <f t="shared" si="124"/>
        <v>108</v>
      </c>
      <c r="J904" t="str">
        <f t="shared" si="125"/>
        <v>BrownieNecromancerBra</v>
      </c>
    </row>
    <row r="905" spans="1:10" x14ac:dyDescent="0.3">
      <c r="A905" s="1" t="str">
        <f t="shared" si="126"/>
        <v>Brownie</v>
      </c>
      <c r="B905" s="1" t="s">
        <v>91</v>
      </c>
      <c r="C905" s="1" t="s">
        <v>7</v>
      </c>
      <c r="D905">
        <f t="shared" si="120"/>
        <v>-3</v>
      </c>
      <c r="E905">
        <f t="shared" si="121"/>
        <v>-2</v>
      </c>
      <c r="F905">
        <f t="shared" si="119"/>
        <v>-5</v>
      </c>
      <c r="G905">
        <f t="shared" si="122"/>
        <v>25</v>
      </c>
      <c r="H905">
        <f t="shared" si="123"/>
        <v>0</v>
      </c>
      <c r="I905">
        <f t="shared" si="124"/>
        <v>30</v>
      </c>
      <c r="J905" t="str">
        <f t="shared" si="125"/>
        <v>BrownieNecromancerHP</v>
      </c>
    </row>
    <row r="906" spans="1:10" x14ac:dyDescent="0.3">
      <c r="A906" s="1" t="str">
        <f t="shared" si="126"/>
        <v>Brownie</v>
      </c>
      <c r="B906" s="1" t="s">
        <v>15</v>
      </c>
      <c r="C906" s="1" t="s">
        <v>0</v>
      </c>
      <c r="D906">
        <f t="shared" si="120"/>
        <v>4</v>
      </c>
      <c r="E906">
        <f t="shared" si="121"/>
        <v>-7</v>
      </c>
      <c r="F906">
        <f t="shared" si="119"/>
        <v>-3</v>
      </c>
      <c r="G906">
        <f t="shared" si="122"/>
        <v>19</v>
      </c>
      <c r="H906">
        <f t="shared" si="123"/>
        <v>0</v>
      </c>
      <c r="I906">
        <f t="shared" si="124"/>
        <v>50</v>
      </c>
      <c r="J906" t="str">
        <f t="shared" si="125"/>
        <v>BrowniePriestMag</v>
      </c>
    </row>
    <row r="907" spans="1:10" x14ac:dyDescent="0.3">
      <c r="A907" s="1" t="str">
        <f t="shared" si="126"/>
        <v>Brownie</v>
      </c>
      <c r="B907" s="1" t="s">
        <v>15</v>
      </c>
      <c r="C907" s="1" t="s">
        <v>1</v>
      </c>
      <c r="D907">
        <f t="shared" si="120"/>
        <v>-2</v>
      </c>
      <c r="E907">
        <f t="shared" si="121"/>
        <v>3</v>
      </c>
      <c r="F907">
        <f t="shared" si="119"/>
        <v>1</v>
      </c>
      <c r="G907">
        <f t="shared" si="122"/>
        <v>9</v>
      </c>
      <c r="H907">
        <f t="shared" si="123"/>
        <v>14</v>
      </c>
      <c r="I907">
        <f t="shared" si="124"/>
        <v>90</v>
      </c>
      <c r="J907" t="str">
        <f t="shared" si="125"/>
        <v>BrowniePriestDiv</v>
      </c>
    </row>
    <row r="908" spans="1:10" x14ac:dyDescent="0.3">
      <c r="A908" s="1" t="str">
        <f t="shared" si="126"/>
        <v>Brownie</v>
      </c>
      <c r="B908" s="1" t="s">
        <v>15</v>
      </c>
      <c r="C908" s="1" t="s">
        <v>2</v>
      </c>
      <c r="D908">
        <f t="shared" si="120"/>
        <v>-1</v>
      </c>
      <c r="E908">
        <f t="shared" si="121"/>
        <v>0</v>
      </c>
      <c r="F908">
        <f t="shared" si="119"/>
        <v>-1</v>
      </c>
      <c r="G908">
        <f t="shared" si="122"/>
        <v>13</v>
      </c>
      <c r="H908">
        <f t="shared" si="123"/>
        <v>0</v>
      </c>
      <c r="I908">
        <f t="shared" si="124"/>
        <v>70</v>
      </c>
      <c r="J908" t="str">
        <f t="shared" si="125"/>
        <v>BrowniePriestStr</v>
      </c>
    </row>
    <row r="909" spans="1:10" x14ac:dyDescent="0.3">
      <c r="A909" s="1" t="str">
        <f t="shared" si="126"/>
        <v>Brownie</v>
      </c>
      <c r="B909" s="1" t="s">
        <v>15</v>
      </c>
      <c r="C909" s="1" t="s">
        <v>3</v>
      </c>
      <c r="D909">
        <f t="shared" si="120"/>
        <v>2</v>
      </c>
      <c r="E909">
        <f t="shared" si="121"/>
        <v>-2</v>
      </c>
      <c r="F909">
        <f t="shared" si="119"/>
        <v>0</v>
      </c>
      <c r="G909">
        <f t="shared" si="122"/>
        <v>10</v>
      </c>
      <c r="H909">
        <f t="shared" si="123"/>
        <v>0</v>
      </c>
      <c r="I909">
        <f t="shared" si="124"/>
        <v>80</v>
      </c>
      <c r="J909" t="str">
        <f t="shared" si="125"/>
        <v>BrowniePriestDex</v>
      </c>
    </row>
    <row r="910" spans="1:10" x14ac:dyDescent="0.3">
      <c r="A910" s="1" t="str">
        <f t="shared" si="126"/>
        <v>Brownie</v>
      </c>
      <c r="B910" s="1" t="s">
        <v>15</v>
      </c>
      <c r="C910" s="1" t="s">
        <v>4</v>
      </c>
      <c r="D910">
        <f t="shared" si="120"/>
        <v>-1</v>
      </c>
      <c r="E910">
        <f t="shared" si="121"/>
        <v>-3</v>
      </c>
      <c r="F910">
        <f t="shared" si="119"/>
        <v>-4</v>
      </c>
      <c r="G910">
        <f t="shared" si="122"/>
        <v>22</v>
      </c>
      <c r="H910">
        <f t="shared" si="123"/>
        <v>0</v>
      </c>
      <c r="I910">
        <f t="shared" si="124"/>
        <v>40</v>
      </c>
      <c r="J910" t="str">
        <f t="shared" si="125"/>
        <v>BrowniePriestCon</v>
      </c>
    </row>
    <row r="911" spans="1:10" x14ac:dyDescent="0.3">
      <c r="A911" s="1" t="str">
        <f t="shared" si="126"/>
        <v>Brownie</v>
      </c>
      <c r="B911" s="1" t="s">
        <v>15</v>
      </c>
      <c r="C911" s="1" t="s">
        <v>5</v>
      </c>
      <c r="D911">
        <f t="shared" si="120"/>
        <v>0</v>
      </c>
      <c r="E911">
        <f t="shared" si="121"/>
        <v>2</v>
      </c>
      <c r="F911">
        <f t="shared" si="119"/>
        <v>2</v>
      </c>
      <c r="G911">
        <f t="shared" si="122"/>
        <v>8</v>
      </c>
      <c r="H911">
        <f t="shared" si="123"/>
        <v>12</v>
      </c>
      <c r="I911">
        <f t="shared" si="124"/>
        <v>100</v>
      </c>
      <c r="J911" t="str">
        <f t="shared" si="125"/>
        <v>BrowniePriestCha</v>
      </c>
    </row>
    <row r="912" spans="1:10" x14ac:dyDescent="0.3">
      <c r="A912" s="1" t="str">
        <f t="shared" si="126"/>
        <v>Brownie</v>
      </c>
      <c r="B912" s="1" t="s">
        <v>15</v>
      </c>
      <c r="C912" s="1" t="s">
        <v>6</v>
      </c>
      <c r="D912">
        <f t="shared" si="120"/>
        <v>1</v>
      </c>
      <c r="E912">
        <f t="shared" si="121"/>
        <v>1</v>
      </c>
      <c r="F912">
        <f t="shared" si="119"/>
        <v>2</v>
      </c>
      <c r="G912">
        <f t="shared" si="122"/>
        <v>8</v>
      </c>
      <c r="H912">
        <f t="shared" si="123"/>
        <v>12</v>
      </c>
      <c r="I912">
        <f t="shared" si="124"/>
        <v>100</v>
      </c>
      <c r="J912" t="str">
        <f t="shared" si="125"/>
        <v>BrowniePriestBra</v>
      </c>
    </row>
    <row r="913" spans="1:10" x14ac:dyDescent="0.3">
      <c r="A913" s="1" t="str">
        <f t="shared" si="126"/>
        <v>Brownie</v>
      </c>
      <c r="B913" s="1" t="s">
        <v>15</v>
      </c>
      <c r="C913" s="1" t="s">
        <v>7</v>
      </c>
      <c r="D913">
        <f t="shared" si="120"/>
        <v>-3</v>
      </c>
      <c r="E913">
        <f t="shared" si="121"/>
        <v>-1</v>
      </c>
      <c r="F913">
        <f t="shared" si="119"/>
        <v>-4</v>
      </c>
      <c r="G913">
        <f t="shared" si="122"/>
        <v>22</v>
      </c>
      <c r="H913">
        <f t="shared" si="123"/>
        <v>0</v>
      </c>
      <c r="I913">
        <f t="shared" si="124"/>
        <v>40</v>
      </c>
      <c r="J913" t="str">
        <f t="shared" si="125"/>
        <v>BrowniePriestHP</v>
      </c>
    </row>
    <row r="914" spans="1:10" x14ac:dyDescent="0.3">
      <c r="A914" s="1" t="str">
        <f t="shared" si="126"/>
        <v>Brownie</v>
      </c>
      <c r="B914" s="1" t="s">
        <v>92</v>
      </c>
      <c r="C914" s="1" t="s">
        <v>0</v>
      </c>
      <c r="D914">
        <f t="shared" si="120"/>
        <v>4</v>
      </c>
      <c r="E914">
        <f t="shared" si="121"/>
        <v>2</v>
      </c>
      <c r="F914">
        <f t="shared" si="119"/>
        <v>6</v>
      </c>
      <c r="G914">
        <f t="shared" si="122"/>
        <v>5</v>
      </c>
      <c r="H914">
        <f t="shared" si="123"/>
        <v>8</v>
      </c>
      <c r="I914">
        <f t="shared" si="124"/>
        <v>111</v>
      </c>
      <c r="J914" t="str">
        <f t="shared" si="125"/>
        <v>BrownieMageMag</v>
      </c>
    </row>
    <row r="915" spans="1:10" x14ac:dyDescent="0.3">
      <c r="A915" s="1" t="str">
        <f t="shared" si="126"/>
        <v>Brownie</v>
      </c>
      <c r="B915" s="1" t="s">
        <v>92</v>
      </c>
      <c r="C915" s="1" t="s">
        <v>1</v>
      </c>
      <c r="D915">
        <f t="shared" si="120"/>
        <v>-2</v>
      </c>
      <c r="E915">
        <f t="shared" si="121"/>
        <v>-7</v>
      </c>
      <c r="F915">
        <f t="shared" si="119"/>
        <v>-9</v>
      </c>
      <c r="G915">
        <f t="shared" si="122"/>
        <v>31</v>
      </c>
      <c r="H915">
        <f t="shared" si="123"/>
        <v>0</v>
      </c>
      <c r="I915">
        <f t="shared" si="124"/>
        <v>0</v>
      </c>
      <c r="J915" t="str">
        <f t="shared" si="125"/>
        <v>BrownieMageDiv</v>
      </c>
    </row>
    <row r="916" spans="1:10" x14ac:dyDescent="0.3">
      <c r="A916" s="1" t="str">
        <f t="shared" si="126"/>
        <v>Brownie</v>
      </c>
      <c r="B916" s="1" t="s">
        <v>92</v>
      </c>
      <c r="C916" s="1" t="s">
        <v>2</v>
      </c>
      <c r="D916">
        <f t="shared" si="120"/>
        <v>-1</v>
      </c>
      <c r="E916">
        <f t="shared" si="121"/>
        <v>-3</v>
      </c>
      <c r="F916">
        <f t="shared" si="119"/>
        <v>-4</v>
      </c>
      <c r="G916">
        <f t="shared" si="122"/>
        <v>22</v>
      </c>
      <c r="H916">
        <f t="shared" si="123"/>
        <v>0</v>
      </c>
      <c r="I916">
        <f t="shared" si="124"/>
        <v>40</v>
      </c>
      <c r="J916" t="str">
        <f t="shared" si="125"/>
        <v>BrownieMageStr</v>
      </c>
    </row>
    <row r="917" spans="1:10" x14ac:dyDescent="0.3">
      <c r="A917" s="1" t="str">
        <f t="shared" si="126"/>
        <v>Brownie</v>
      </c>
      <c r="B917" s="1" t="s">
        <v>92</v>
      </c>
      <c r="C917" s="1" t="s">
        <v>3</v>
      </c>
      <c r="D917">
        <f t="shared" si="120"/>
        <v>2</v>
      </c>
      <c r="E917">
        <f t="shared" si="121"/>
        <v>0</v>
      </c>
      <c r="F917">
        <f t="shared" si="119"/>
        <v>2</v>
      </c>
      <c r="G917">
        <f t="shared" si="122"/>
        <v>8</v>
      </c>
      <c r="H917">
        <f t="shared" si="123"/>
        <v>12</v>
      </c>
      <c r="I917">
        <f t="shared" si="124"/>
        <v>100</v>
      </c>
      <c r="J917" t="str">
        <f t="shared" si="125"/>
        <v>BrownieMageDex</v>
      </c>
    </row>
    <row r="918" spans="1:10" x14ac:dyDescent="0.3">
      <c r="A918" s="1" t="str">
        <f t="shared" si="126"/>
        <v>Brownie</v>
      </c>
      <c r="B918" s="1" t="s">
        <v>92</v>
      </c>
      <c r="C918" s="1" t="s">
        <v>4</v>
      </c>
      <c r="D918">
        <f t="shared" si="120"/>
        <v>-1</v>
      </c>
      <c r="E918">
        <f t="shared" si="121"/>
        <v>-1</v>
      </c>
      <c r="F918">
        <f t="shared" si="119"/>
        <v>-2</v>
      </c>
      <c r="G918">
        <f t="shared" si="122"/>
        <v>16</v>
      </c>
      <c r="H918">
        <f t="shared" si="123"/>
        <v>0</v>
      </c>
      <c r="I918">
        <f t="shared" si="124"/>
        <v>60</v>
      </c>
      <c r="J918" t="str">
        <f t="shared" si="125"/>
        <v>BrownieMageCon</v>
      </c>
    </row>
    <row r="919" spans="1:10" x14ac:dyDescent="0.3">
      <c r="A919" s="1" t="str">
        <f t="shared" si="126"/>
        <v>Brownie</v>
      </c>
      <c r="B919" s="1" t="s">
        <v>92</v>
      </c>
      <c r="C919" s="1" t="s">
        <v>5</v>
      </c>
      <c r="D919">
        <f t="shared" si="120"/>
        <v>0</v>
      </c>
      <c r="E919">
        <f t="shared" si="121"/>
        <v>1</v>
      </c>
      <c r="F919">
        <f t="shared" si="119"/>
        <v>1</v>
      </c>
      <c r="G919">
        <f t="shared" si="122"/>
        <v>9</v>
      </c>
      <c r="H919">
        <f t="shared" si="123"/>
        <v>14</v>
      </c>
      <c r="I919">
        <f t="shared" si="124"/>
        <v>90</v>
      </c>
      <c r="J919" t="str">
        <f t="shared" si="125"/>
        <v>BrownieMageCha</v>
      </c>
    </row>
    <row r="920" spans="1:10" x14ac:dyDescent="0.3">
      <c r="A920" s="1" t="str">
        <f t="shared" si="126"/>
        <v>Brownie</v>
      </c>
      <c r="B920" s="1" t="s">
        <v>92</v>
      </c>
      <c r="C920" s="1" t="s">
        <v>6</v>
      </c>
      <c r="D920">
        <f t="shared" si="120"/>
        <v>1</v>
      </c>
      <c r="E920">
        <f t="shared" si="121"/>
        <v>3</v>
      </c>
      <c r="F920">
        <f t="shared" si="119"/>
        <v>4</v>
      </c>
      <c r="G920">
        <f t="shared" si="122"/>
        <v>6</v>
      </c>
      <c r="H920">
        <f t="shared" si="123"/>
        <v>9</v>
      </c>
      <c r="I920">
        <f t="shared" si="124"/>
        <v>108</v>
      </c>
      <c r="J920" t="str">
        <f t="shared" si="125"/>
        <v>BrownieMageBra</v>
      </c>
    </row>
    <row r="921" spans="1:10" x14ac:dyDescent="0.3">
      <c r="A921" s="1" t="str">
        <f t="shared" si="126"/>
        <v>Brownie</v>
      </c>
      <c r="B921" s="1" t="s">
        <v>92</v>
      </c>
      <c r="C921" s="1" t="s">
        <v>7</v>
      </c>
      <c r="D921">
        <f t="shared" si="120"/>
        <v>-3</v>
      </c>
      <c r="E921">
        <f t="shared" si="121"/>
        <v>-2</v>
      </c>
      <c r="F921">
        <f t="shared" si="119"/>
        <v>-5</v>
      </c>
      <c r="G921">
        <f t="shared" si="122"/>
        <v>25</v>
      </c>
      <c r="H921">
        <f t="shared" si="123"/>
        <v>0</v>
      </c>
      <c r="I921">
        <f t="shared" si="124"/>
        <v>30</v>
      </c>
      <c r="J921" t="str">
        <f t="shared" si="125"/>
        <v>BrownieMageHP</v>
      </c>
    </row>
    <row r="922" spans="1:10" x14ac:dyDescent="0.3">
      <c r="A922" s="1" t="str">
        <f t="shared" si="126"/>
        <v>Brownie</v>
      </c>
      <c r="B922" s="1" t="s">
        <v>62</v>
      </c>
      <c r="C922" s="1" t="s">
        <v>0</v>
      </c>
      <c r="D922">
        <f t="shared" si="120"/>
        <v>4</v>
      </c>
      <c r="E922">
        <f t="shared" si="121"/>
        <v>3</v>
      </c>
      <c r="F922">
        <f t="shared" si="119"/>
        <v>7</v>
      </c>
      <c r="G922">
        <f t="shared" si="122"/>
        <v>5</v>
      </c>
      <c r="H922">
        <f t="shared" si="123"/>
        <v>8</v>
      </c>
      <c r="I922">
        <f t="shared" si="124"/>
        <v>112</v>
      </c>
      <c r="J922" t="str">
        <f t="shared" si="125"/>
        <v>BrownieSorcererMag</v>
      </c>
    </row>
    <row r="923" spans="1:10" x14ac:dyDescent="0.3">
      <c r="A923" s="1" t="str">
        <f t="shared" si="126"/>
        <v>Brownie</v>
      </c>
      <c r="B923" s="1" t="s">
        <v>62</v>
      </c>
      <c r="C923" s="1" t="s">
        <v>1</v>
      </c>
      <c r="D923">
        <f t="shared" si="120"/>
        <v>-2</v>
      </c>
      <c r="E923">
        <f t="shared" si="121"/>
        <v>-7</v>
      </c>
      <c r="F923">
        <f t="shared" ref="F923:F986" si="127">E923+D923</f>
        <v>-9</v>
      </c>
      <c r="G923">
        <f t="shared" si="122"/>
        <v>31</v>
      </c>
      <c r="H923">
        <f t="shared" si="123"/>
        <v>0</v>
      </c>
      <c r="I923">
        <f t="shared" si="124"/>
        <v>0</v>
      </c>
      <c r="J923" t="str">
        <f t="shared" si="125"/>
        <v>BrownieSorcererDiv</v>
      </c>
    </row>
    <row r="924" spans="1:10" x14ac:dyDescent="0.3">
      <c r="A924" s="1" t="str">
        <f t="shared" si="126"/>
        <v>Brownie</v>
      </c>
      <c r="B924" s="1" t="s">
        <v>62</v>
      </c>
      <c r="C924" s="1" t="s">
        <v>2</v>
      </c>
      <c r="D924">
        <f t="shared" si="120"/>
        <v>-1</v>
      </c>
      <c r="E924">
        <f t="shared" si="121"/>
        <v>-3</v>
      </c>
      <c r="F924">
        <f t="shared" si="127"/>
        <v>-4</v>
      </c>
      <c r="G924">
        <f t="shared" si="122"/>
        <v>22</v>
      </c>
      <c r="H924">
        <f t="shared" si="123"/>
        <v>0</v>
      </c>
      <c r="I924">
        <f t="shared" si="124"/>
        <v>40</v>
      </c>
      <c r="J924" t="str">
        <f t="shared" si="125"/>
        <v>BrownieSorcererStr</v>
      </c>
    </row>
    <row r="925" spans="1:10" x14ac:dyDescent="0.3">
      <c r="A925" s="1" t="str">
        <f t="shared" si="126"/>
        <v>Brownie</v>
      </c>
      <c r="B925" s="1" t="s">
        <v>62</v>
      </c>
      <c r="C925" s="1" t="s">
        <v>3</v>
      </c>
      <c r="D925">
        <f t="shared" si="120"/>
        <v>2</v>
      </c>
      <c r="E925">
        <f t="shared" si="121"/>
        <v>0</v>
      </c>
      <c r="F925">
        <f t="shared" si="127"/>
        <v>2</v>
      </c>
      <c r="G925">
        <f t="shared" si="122"/>
        <v>8</v>
      </c>
      <c r="H925">
        <f t="shared" si="123"/>
        <v>12</v>
      </c>
      <c r="I925">
        <f t="shared" si="124"/>
        <v>100</v>
      </c>
      <c r="J925" t="str">
        <f t="shared" si="125"/>
        <v>BrownieSorcererDex</v>
      </c>
    </row>
    <row r="926" spans="1:10" x14ac:dyDescent="0.3">
      <c r="A926" s="1" t="str">
        <f t="shared" si="126"/>
        <v>Brownie</v>
      </c>
      <c r="B926" s="1" t="s">
        <v>62</v>
      </c>
      <c r="C926" s="1" t="s">
        <v>4</v>
      </c>
      <c r="D926">
        <f t="shared" si="120"/>
        <v>-1</v>
      </c>
      <c r="E926">
        <f t="shared" si="121"/>
        <v>-2</v>
      </c>
      <c r="F926">
        <f t="shared" si="127"/>
        <v>-3</v>
      </c>
      <c r="G926">
        <f t="shared" si="122"/>
        <v>19</v>
      </c>
      <c r="H926">
        <f t="shared" si="123"/>
        <v>0</v>
      </c>
      <c r="I926">
        <f t="shared" si="124"/>
        <v>50</v>
      </c>
      <c r="J926" t="str">
        <f t="shared" si="125"/>
        <v>BrownieSorcererCon</v>
      </c>
    </row>
    <row r="927" spans="1:10" x14ac:dyDescent="0.3">
      <c r="A927" s="1" t="str">
        <f t="shared" si="126"/>
        <v>Brownie</v>
      </c>
      <c r="B927" s="1" t="s">
        <v>62</v>
      </c>
      <c r="C927" s="1" t="s">
        <v>5</v>
      </c>
      <c r="D927">
        <f t="shared" si="120"/>
        <v>0</v>
      </c>
      <c r="E927">
        <f t="shared" si="121"/>
        <v>1</v>
      </c>
      <c r="F927">
        <f t="shared" si="127"/>
        <v>1</v>
      </c>
      <c r="G927">
        <f t="shared" si="122"/>
        <v>9</v>
      </c>
      <c r="H927">
        <f t="shared" si="123"/>
        <v>14</v>
      </c>
      <c r="I927">
        <f t="shared" si="124"/>
        <v>90</v>
      </c>
      <c r="J927" t="str">
        <f t="shared" si="125"/>
        <v>BrownieSorcererCha</v>
      </c>
    </row>
    <row r="928" spans="1:10" x14ac:dyDescent="0.3">
      <c r="A928" s="1" t="str">
        <f t="shared" si="126"/>
        <v>Brownie</v>
      </c>
      <c r="B928" s="1" t="s">
        <v>62</v>
      </c>
      <c r="C928" s="1" t="s">
        <v>6</v>
      </c>
      <c r="D928">
        <f t="shared" si="120"/>
        <v>1</v>
      </c>
      <c r="E928">
        <f t="shared" si="121"/>
        <v>2</v>
      </c>
      <c r="F928">
        <f t="shared" si="127"/>
        <v>3</v>
      </c>
      <c r="G928">
        <f t="shared" si="122"/>
        <v>7</v>
      </c>
      <c r="H928">
        <f t="shared" si="123"/>
        <v>11</v>
      </c>
      <c r="I928">
        <f t="shared" si="124"/>
        <v>105</v>
      </c>
      <c r="J928" t="str">
        <f t="shared" si="125"/>
        <v>BrownieSorcererBra</v>
      </c>
    </row>
    <row r="929" spans="1:10" x14ac:dyDescent="0.3">
      <c r="A929" s="1" t="str">
        <f t="shared" si="126"/>
        <v>Brownie</v>
      </c>
      <c r="B929" s="1" t="s">
        <v>62</v>
      </c>
      <c r="C929" s="1" t="s">
        <v>7</v>
      </c>
      <c r="D929">
        <f t="shared" si="120"/>
        <v>-3</v>
      </c>
      <c r="E929">
        <f t="shared" si="121"/>
        <v>-1</v>
      </c>
      <c r="F929">
        <f t="shared" si="127"/>
        <v>-4</v>
      </c>
      <c r="G929">
        <f t="shared" si="122"/>
        <v>22</v>
      </c>
      <c r="H929">
        <f t="shared" si="123"/>
        <v>0</v>
      </c>
      <c r="I929">
        <f t="shared" si="124"/>
        <v>40</v>
      </c>
      <c r="J929" t="str">
        <f t="shared" si="125"/>
        <v>BrownieSorcererHP</v>
      </c>
    </row>
    <row r="930" spans="1:10" x14ac:dyDescent="0.3">
      <c r="A930" s="1" t="str">
        <f t="shared" si="126"/>
        <v>Brownie</v>
      </c>
      <c r="B930" s="1" t="s">
        <v>22</v>
      </c>
      <c r="C930" s="1" t="s">
        <v>0</v>
      </c>
      <c r="D930">
        <f t="shared" si="120"/>
        <v>4</v>
      </c>
      <c r="E930">
        <f t="shared" si="121"/>
        <v>-5</v>
      </c>
      <c r="F930">
        <f t="shared" si="127"/>
        <v>-1</v>
      </c>
      <c r="G930">
        <f t="shared" si="122"/>
        <v>13</v>
      </c>
      <c r="H930">
        <f t="shared" si="123"/>
        <v>0</v>
      </c>
      <c r="I930">
        <f t="shared" si="124"/>
        <v>70</v>
      </c>
      <c r="J930" t="str">
        <f t="shared" si="125"/>
        <v>BrownieBarbarianMag</v>
      </c>
    </row>
    <row r="931" spans="1:10" x14ac:dyDescent="0.3">
      <c r="A931" s="1" t="str">
        <f t="shared" si="126"/>
        <v>Brownie</v>
      </c>
      <c r="B931" s="1" t="s">
        <v>22</v>
      </c>
      <c r="C931" s="1" t="s">
        <v>1</v>
      </c>
      <c r="D931">
        <f t="shared" si="120"/>
        <v>-2</v>
      </c>
      <c r="E931">
        <f t="shared" si="121"/>
        <v>-7</v>
      </c>
      <c r="F931">
        <f t="shared" si="127"/>
        <v>-9</v>
      </c>
      <c r="G931">
        <f t="shared" si="122"/>
        <v>31</v>
      </c>
      <c r="H931">
        <f t="shared" si="123"/>
        <v>0</v>
      </c>
      <c r="I931">
        <f t="shared" si="124"/>
        <v>0</v>
      </c>
      <c r="J931" t="str">
        <f t="shared" si="125"/>
        <v>BrownieBarbarianDiv</v>
      </c>
    </row>
    <row r="932" spans="1:10" x14ac:dyDescent="0.3">
      <c r="A932" s="1" t="str">
        <f t="shared" si="126"/>
        <v>Brownie</v>
      </c>
      <c r="B932" s="1" t="s">
        <v>22</v>
      </c>
      <c r="C932" s="1" t="s">
        <v>2</v>
      </c>
      <c r="D932">
        <f t="shared" si="120"/>
        <v>-1</v>
      </c>
      <c r="E932">
        <f t="shared" si="121"/>
        <v>3</v>
      </c>
      <c r="F932">
        <f t="shared" si="127"/>
        <v>2</v>
      </c>
      <c r="G932">
        <f t="shared" si="122"/>
        <v>8</v>
      </c>
      <c r="H932">
        <f t="shared" si="123"/>
        <v>12</v>
      </c>
      <c r="I932">
        <f t="shared" si="124"/>
        <v>100</v>
      </c>
      <c r="J932" t="str">
        <f t="shared" si="125"/>
        <v>BrownieBarbarianStr</v>
      </c>
    </row>
    <row r="933" spans="1:10" x14ac:dyDescent="0.3">
      <c r="A933" s="1" t="str">
        <f t="shared" si="126"/>
        <v>Brownie</v>
      </c>
      <c r="B933" s="1" t="s">
        <v>22</v>
      </c>
      <c r="C933" s="1" t="s">
        <v>3</v>
      </c>
      <c r="D933">
        <f t="shared" si="120"/>
        <v>2</v>
      </c>
      <c r="E933">
        <f t="shared" si="121"/>
        <v>2</v>
      </c>
      <c r="F933">
        <f t="shared" si="127"/>
        <v>4</v>
      </c>
      <c r="G933">
        <f t="shared" si="122"/>
        <v>6</v>
      </c>
      <c r="H933">
        <f t="shared" si="123"/>
        <v>9</v>
      </c>
      <c r="I933">
        <f t="shared" si="124"/>
        <v>108</v>
      </c>
      <c r="J933" t="str">
        <f t="shared" si="125"/>
        <v>BrownieBarbarianDex</v>
      </c>
    </row>
    <row r="934" spans="1:10" x14ac:dyDescent="0.3">
      <c r="A934" s="1" t="str">
        <f t="shared" si="126"/>
        <v>Brownie</v>
      </c>
      <c r="B934" s="1" t="s">
        <v>22</v>
      </c>
      <c r="C934" s="1" t="s">
        <v>4</v>
      </c>
      <c r="D934">
        <f t="shared" si="120"/>
        <v>-1</v>
      </c>
      <c r="E934">
        <f t="shared" si="121"/>
        <v>0</v>
      </c>
      <c r="F934">
        <f t="shared" si="127"/>
        <v>-1</v>
      </c>
      <c r="G934">
        <f t="shared" si="122"/>
        <v>13</v>
      </c>
      <c r="H934">
        <f t="shared" si="123"/>
        <v>0</v>
      </c>
      <c r="I934">
        <f t="shared" si="124"/>
        <v>70</v>
      </c>
      <c r="J934" t="str">
        <f t="shared" si="125"/>
        <v>BrownieBarbarianCon</v>
      </c>
    </row>
    <row r="935" spans="1:10" x14ac:dyDescent="0.3">
      <c r="A935" s="1" t="str">
        <f t="shared" si="126"/>
        <v>Brownie</v>
      </c>
      <c r="B935" s="1" t="s">
        <v>22</v>
      </c>
      <c r="C935" s="1" t="s">
        <v>5</v>
      </c>
      <c r="D935">
        <f t="shared" si="120"/>
        <v>0</v>
      </c>
      <c r="E935">
        <f t="shared" si="121"/>
        <v>-1</v>
      </c>
      <c r="F935">
        <f t="shared" si="127"/>
        <v>-1</v>
      </c>
      <c r="G935">
        <f t="shared" si="122"/>
        <v>13</v>
      </c>
      <c r="H935">
        <f t="shared" si="123"/>
        <v>0</v>
      </c>
      <c r="I935">
        <f t="shared" si="124"/>
        <v>70</v>
      </c>
      <c r="J935" t="str">
        <f t="shared" si="125"/>
        <v>BrownieBarbarianCha</v>
      </c>
    </row>
    <row r="936" spans="1:10" x14ac:dyDescent="0.3">
      <c r="A936" s="1" t="str">
        <f t="shared" si="126"/>
        <v>Brownie</v>
      </c>
      <c r="B936" s="1" t="s">
        <v>22</v>
      </c>
      <c r="C936" s="1" t="s">
        <v>6</v>
      </c>
      <c r="D936">
        <f t="shared" si="120"/>
        <v>1</v>
      </c>
      <c r="E936">
        <f t="shared" si="121"/>
        <v>-2</v>
      </c>
      <c r="F936">
        <f t="shared" si="127"/>
        <v>-1</v>
      </c>
      <c r="G936">
        <f t="shared" si="122"/>
        <v>13</v>
      </c>
      <c r="H936">
        <f t="shared" si="123"/>
        <v>0</v>
      </c>
      <c r="I936">
        <f t="shared" si="124"/>
        <v>70</v>
      </c>
      <c r="J936" t="str">
        <f t="shared" si="125"/>
        <v>BrownieBarbarianBra</v>
      </c>
    </row>
    <row r="937" spans="1:10" x14ac:dyDescent="0.3">
      <c r="A937" s="1" t="str">
        <f t="shared" si="126"/>
        <v>Brownie</v>
      </c>
      <c r="B937" s="1" t="s">
        <v>22</v>
      </c>
      <c r="C937" s="1" t="s">
        <v>7</v>
      </c>
      <c r="D937">
        <f t="shared" si="120"/>
        <v>-3</v>
      </c>
      <c r="E937">
        <f t="shared" si="121"/>
        <v>1</v>
      </c>
      <c r="F937">
        <f t="shared" si="127"/>
        <v>-2</v>
      </c>
      <c r="G937">
        <f t="shared" si="122"/>
        <v>16</v>
      </c>
      <c r="H937">
        <f t="shared" si="123"/>
        <v>0</v>
      </c>
      <c r="I937">
        <f t="shared" si="124"/>
        <v>60</v>
      </c>
      <c r="J937" t="str">
        <f t="shared" si="125"/>
        <v>BrownieBarbarianHP</v>
      </c>
    </row>
    <row r="938" spans="1:10" x14ac:dyDescent="0.3">
      <c r="A938" s="1" t="s">
        <v>46</v>
      </c>
      <c r="B938" s="1" t="s">
        <v>8</v>
      </c>
      <c r="C938" s="1" t="s">
        <v>0</v>
      </c>
      <c r="D938">
        <f t="shared" si="120"/>
        <v>-3</v>
      </c>
      <c r="E938">
        <f t="shared" si="121"/>
        <v>-7</v>
      </c>
      <c r="F938">
        <f t="shared" si="127"/>
        <v>-10</v>
      </c>
      <c r="G938">
        <f t="shared" si="122"/>
        <v>31</v>
      </c>
      <c r="H938">
        <f t="shared" si="123"/>
        <v>0</v>
      </c>
      <c r="I938">
        <f t="shared" si="124"/>
        <v>0</v>
      </c>
      <c r="J938" t="str">
        <f t="shared" si="125"/>
        <v>GrollFighterMag</v>
      </c>
    </row>
    <row r="939" spans="1:10" x14ac:dyDescent="0.3">
      <c r="A939" s="1" t="str">
        <f>A938</f>
        <v>Groll</v>
      </c>
      <c r="B939" s="1" t="s">
        <v>8</v>
      </c>
      <c r="C939" s="1" t="s">
        <v>1</v>
      </c>
      <c r="D939">
        <f t="shared" si="120"/>
        <v>-2</v>
      </c>
      <c r="E939">
        <f t="shared" si="121"/>
        <v>-5</v>
      </c>
      <c r="F939">
        <f t="shared" si="127"/>
        <v>-7</v>
      </c>
      <c r="G939">
        <f t="shared" si="122"/>
        <v>31</v>
      </c>
      <c r="H939">
        <f t="shared" si="123"/>
        <v>0</v>
      </c>
      <c r="I939">
        <f t="shared" si="124"/>
        <v>0</v>
      </c>
      <c r="J939" t="str">
        <f t="shared" si="125"/>
        <v>GrollFighterDiv</v>
      </c>
    </row>
    <row r="940" spans="1:10" x14ac:dyDescent="0.3">
      <c r="A940" s="1" t="str">
        <f t="shared" ref="A940:A1003" si="128">A939</f>
        <v>Groll</v>
      </c>
      <c r="B940" s="1" t="s">
        <v>8</v>
      </c>
      <c r="C940" s="1" t="s">
        <v>2</v>
      </c>
      <c r="D940">
        <f t="shared" si="120"/>
        <v>4</v>
      </c>
      <c r="E940">
        <f t="shared" si="121"/>
        <v>2</v>
      </c>
      <c r="F940">
        <f t="shared" si="127"/>
        <v>6</v>
      </c>
      <c r="G940">
        <f t="shared" si="122"/>
        <v>5</v>
      </c>
      <c r="H940">
        <f t="shared" si="123"/>
        <v>8</v>
      </c>
      <c r="I940">
        <f t="shared" si="124"/>
        <v>111</v>
      </c>
      <c r="J940" t="str">
        <f t="shared" si="125"/>
        <v>GrollFighterStr</v>
      </c>
    </row>
    <row r="941" spans="1:10" x14ac:dyDescent="0.3">
      <c r="A941" s="1" t="str">
        <f t="shared" si="128"/>
        <v>Groll</v>
      </c>
      <c r="B941" s="1" t="s">
        <v>8</v>
      </c>
      <c r="C941" s="1" t="s">
        <v>3</v>
      </c>
      <c r="D941">
        <f t="shared" si="120"/>
        <v>0</v>
      </c>
      <c r="E941">
        <f t="shared" si="121"/>
        <v>0</v>
      </c>
      <c r="F941">
        <f t="shared" si="127"/>
        <v>0</v>
      </c>
      <c r="G941">
        <f t="shared" si="122"/>
        <v>10</v>
      </c>
      <c r="H941">
        <f t="shared" si="123"/>
        <v>0</v>
      </c>
      <c r="I941">
        <f t="shared" si="124"/>
        <v>80</v>
      </c>
      <c r="J941" t="str">
        <f t="shared" si="125"/>
        <v>GrollFighterDex</v>
      </c>
    </row>
    <row r="942" spans="1:10" x14ac:dyDescent="0.3">
      <c r="A942" s="1" t="str">
        <f t="shared" si="128"/>
        <v>Groll</v>
      </c>
      <c r="B942" s="1" t="s">
        <v>8</v>
      </c>
      <c r="C942" s="1" t="s">
        <v>4</v>
      </c>
      <c r="D942">
        <f t="shared" si="120"/>
        <v>1</v>
      </c>
      <c r="E942">
        <f t="shared" si="121"/>
        <v>1</v>
      </c>
      <c r="F942">
        <f t="shared" si="127"/>
        <v>2</v>
      </c>
      <c r="G942">
        <f t="shared" si="122"/>
        <v>8</v>
      </c>
      <c r="H942">
        <f t="shared" si="123"/>
        <v>12</v>
      </c>
      <c r="I942">
        <f t="shared" si="124"/>
        <v>100</v>
      </c>
      <c r="J942" t="str">
        <f t="shared" si="125"/>
        <v>GrollFighterCon</v>
      </c>
    </row>
    <row r="943" spans="1:10" x14ac:dyDescent="0.3">
      <c r="A943" s="1" t="str">
        <f t="shared" si="128"/>
        <v>Groll</v>
      </c>
      <c r="B943" s="1" t="s">
        <v>8</v>
      </c>
      <c r="C943" s="1" t="s">
        <v>5</v>
      </c>
      <c r="D943">
        <f t="shared" si="120"/>
        <v>-1</v>
      </c>
      <c r="E943">
        <f t="shared" si="121"/>
        <v>-2</v>
      </c>
      <c r="F943">
        <f t="shared" si="127"/>
        <v>-3</v>
      </c>
      <c r="G943">
        <f t="shared" si="122"/>
        <v>19</v>
      </c>
      <c r="H943">
        <f t="shared" si="123"/>
        <v>0</v>
      </c>
      <c r="I943">
        <f t="shared" si="124"/>
        <v>50</v>
      </c>
      <c r="J943" t="str">
        <f t="shared" si="125"/>
        <v>GrollFighterCha</v>
      </c>
    </row>
    <row r="944" spans="1:10" x14ac:dyDescent="0.3">
      <c r="A944" s="1" t="str">
        <f t="shared" si="128"/>
        <v>Groll</v>
      </c>
      <c r="B944" s="1" t="s">
        <v>8</v>
      </c>
      <c r="C944" s="1" t="s">
        <v>6</v>
      </c>
      <c r="D944">
        <f t="shared" si="120"/>
        <v>-1</v>
      </c>
      <c r="E944">
        <f t="shared" si="121"/>
        <v>-1</v>
      </c>
      <c r="F944">
        <f t="shared" si="127"/>
        <v>-2</v>
      </c>
      <c r="G944">
        <f t="shared" si="122"/>
        <v>16</v>
      </c>
      <c r="H944">
        <f t="shared" si="123"/>
        <v>0</v>
      </c>
      <c r="I944">
        <f t="shared" si="124"/>
        <v>60</v>
      </c>
      <c r="J944" t="str">
        <f t="shared" si="125"/>
        <v>GrollFighterBra</v>
      </c>
    </row>
    <row r="945" spans="1:10" x14ac:dyDescent="0.3">
      <c r="A945" s="1" t="str">
        <f t="shared" si="128"/>
        <v>Groll</v>
      </c>
      <c r="B945" s="1" t="s">
        <v>8</v>
      </c>
      <c r="C945" s="1" t="s">
        <v>7</v>
      </c>
      <c r="D945">
        <f t="shared" si="120"/>
        <v>2</v>
      </c>
      <c r="E945">
        <f t="shared" si="121"/>
        <v>3</v>
      </c>
      <c r="F945">
        <f t="shared" si="127"/>
        <v>5</v>
      </c>
      <c r="G945">
        <f t="shared" si="122"/>
        <v>5</v>
      </c>
      <c r="H945">
        <f t="shared" si="123"/>
        <v>8</v>
      </c>
      <c r="I945">
        <f t="shared" si="124"/>
        <v>110</v>
      </c>
      <c r="J945" t="str">
        <f t="shared" si="125"/>
        <v>GrollFighterHP</v>
      </c>
    </row>
    <row r="946" spans="1:10" x14ac:dyDescent="0.3">
      <c r="A946" s="1" t="str">
        <f t="shared" si="128"/>
        <v>Groll</v>
      </c>
      <c r="B946" s="1" t="s">
        <v>9</v>
      </c>
      <c r="C946" s="1" t="s">
        <v>0</v>
      </c>
      <c r="D946">
        <f t="shared" si="120"/>
        <v>-3</v>
      </c>
      <c r="E946">
        <f t="shared" si="121"/>
        <v>-7</v>
      </c>
      <c r="F946">
        <f t="shared" si="127"/>
        <v>-10</v>
      </c>
      <c r="G946">
        <f t="shared" si="122"/>
        <v>31</v>
      </c>
      <c r="H946">
        <f t="shared" si="123"/>
        <v>0</v>
      </c>
      <c r="I946">
        <f t="shared" si="124"/>
        <v>0</v>
      </c>
      <c r="J946" t="str">
        <f t="shared" si="125"/>
        <v>GrollKnightMag</v>
      </c>
    </row>
    <row r="947" spans="1:10" x14ac:dyDescent="0.3">
      <c r="A947" s="1" t="str">
        <f t="shared" si="128"/>
        <v>Groll</v>
      </c>
      <c r="B947" s="1" t="s">
        <v>9</v>
      </c>
      <c r="C947" s="1" t="s">
        <v>1</v>
      </c>
      <c r="D947">
        <f t="shared" si="120"/>
        <v>-2</v>
      </c>
      <c r="E947">
        <f t="shared" si="121"/>
        <v>0</v>
      </c>
      <c r="F947">
        <f t="shared" si="127"/>
        <v>-2</v>
      </c>
      <c r="G947">
        <f t="shared" si="122"/>
        <v>16</v>
      </c>
      <c r="H947">
        <f t="shared" si="123"/>
        <v>0</v>
      </c>
      <c r="I947">
        <f t="shared" si="124"/>
        <v>60</v>
      </c>
      <c r="J947" t="str">
        <f t="shared" si="125"/>
        <v>GrollKnightDiv</v>
      </c>
    </row>
    <row r="948" spans="1:10" x14ac:dyDescent="0.3">
      <c r="A948" s="1" t="str">
        <f t="shared" si="128"/>
        <v>Groll</v>
      </c>
      <c r="B948" s="1" t="s">
        <v>9</v>
      </c>
      <c r="C948" s="1" t="s">
        <v>2</v>
      </c>
      <c r="D948">
        <f t="shared" si="120"/>
        <v>4</v>
      </c>
      <c r="E948">
        <f t="shared" si="121"/>
        <v>2</v>
      </c>
      <c r="F948">
        <f t="shared" si="127"/>
        <v>6</v>
      </c>
      <c r="G948">
        <f t="shared" si="122"/>
        <v>5</v>
      </c>
      <c r="H948">
        <f t="shared" si="123"/>
        <v>8</v>
      </c>
      <c r="I948">
        <f t="shared" si="124"/>
        <v>111</v>
      </c>
      <c r="J948" t="str">
        <f t="shared" si="125"/>
        <v>GrollKnightStr</v>
      </c>
    </row>
    <row r="949" spans="1:10" x14ac:dyDescent="0.3">
      <c r="A949" s="1" t="str">
        <f t="shared" si="128"/>
        <v>Groll</v>
      </c>
      <c r="B949" s="1" t="s">
        <v>9</v>
      </c>
      <c r="C949" s="1" t="s">
        <v>3</v>
      </c>
      <c r="D949">
        <f t="shared" si="120"/>
        <v>0</v>
      </c>
      <c r="E949">
        <f t="shared" si="121"/>
        <v>-1</v>
      </c>
      <c r="F949">
        <f t="shared" si="127"/>
        <v>-1</v>
      </c>
      <c r="G949">
        <f t="shared" si="122"/>
        <v>13</v>
      </c>
      <c r="H949">
        <f t="shared" si="123"/>
        <v>0</v>
      </c>
      <c r="I949">
        <f t="shared" si="124"/>
        <v>70</v>
      </c>
      <c r="J949" t="str">
        <f t="shared" si="125"/>
        <v>GrollKnightDex</v>
      </c>
    </row>
    <row r="950" spans="1:10" x14ac:dyDescent="0.3">
      <c r="A950" s="1" t="str">
        <f t="shared" si="128"/>
        <v>Groll</v>
      </c>
      <c r="B950" s="1" t="s">
        <v>9</v>
      </c>
      <c r="C950" s="1" t="s">
        <v>4</v>
      </c>
      <c r="D950">
        <f t="shared" si="120"/>
        <v>1</v>
      </c>
      <c r="E950">
        <f t="shared" si="121"/>
        <v>0</v>
      </c>
      <c r="F950">
        <f t="shared" si="127"/>
        <v>1</v>
      </c>
      <c r="G950">
        <f t="shared" si="122"/>
        <v>9</v>
      </c>
      <c r="H950">
        <f t="shared" si="123"/>
        <v>14</v>
      </c>
      <c r="I950">
        <f t="shared" si="124"/>
        <v>90</v>
      </c>
      <c r="J950" t="str">
        <f t="shared" si="125"/>
        <v>GrollKnightCon</v>
      </c>
    </row>
    <row r="951" spans="1:10" x14ac:dyDescent="0.3">
      <c r="A951" s="1" t="str">
        <f t="shared" si="128"/>
        <v>Groll</v>
      </c>
      <c r="B951" s="1" t="s">
        <v>9</v>
      </c>
      <c r="C951" s="1" t="s">
        <v>5</v>
      </c>
      <c r="D951">
        <f t="shared" si="120"/>
        <v>-1</v>
      </c>
      <c r="E951">
        <f t="shared" si="121"/>
        <v>-2</v>
      </c>
      <c r="F951">
        <f t="shared" si="127"/>
        <v>-3</v>
      </c>
      <c r="G951">
        <f t="shared" si="122"/>
        <v>19</v>
      </c>
      <c r="H951">
        <f t="shared" si="123"/>
        <v>0</v>
      </c>
      <c r="I951">
        <f t="shared" si="124"/>
        <v>50</v>
      </c>
      <c r="J951" t="str">
        <f t="shared" si="125"/>
        <v>GrollKnightCha</v>
      </c>
    </row>
    <row r="952" spans="1:10" x14ac:dyDescent="0.3">
      <c r="A952" s="1" t="str">
        <f t="shared" si="128"/>
        <v>Groll</v>
      </c>
      <c r="B952" s="1" t="s">
        <v>9</v>
      </c>
      <c r="C952" s="1" t="s">
        <v>6</v>
      </c>
      <c r="D952">
        <f t="shared" si="120"/>
        <v>-1</v>
      </c>
      <c r="E952">
        <f t="shared" si="121"/>
        <v>0</v>
      </c>
      <c r="F952">
        <f t="shared" si="127"/>
        <v>-1</v>
      </c>
      <c r="G952">
        <f t="shared" si="122"/>
        <v>13</v>
      </c>
      <c r="H952">
        <f t="shared" si="123"/>
        <v>0</v>
      </c>
      <c r="I952">
        <f t="shared" si="124"/>
        <v>70</v>
      </c>
      <c r="J952" t="str">
        <f t="shared" si="125"/>
        <v>GrollKnightBra</v>
      </c>
    </row>
    <row r="953" spans="1:10" x14ac:dyDescent="0.3">
      <c r="A953" s="1" t="str">
        <f t="shared" si="128"/>
        <v>Groll</v>
      </c>
      <c r="B953" s="1" t="s">
        <v>9</v>
      </c>
      <c r="C953" s="1" t="s">
        <v>7</v>
      </c>
      <c r="D953">
        <f t="shared" si="120"/>
        <v>2</v>
      </c>
      <c r="E953">
        <f t="shared" si="121"/>
        <v>1</v>
      </c>
      <c r="F953">
        <f t="shared" si="127"/>
        <v>3</v>
      </c>
      <c r="G953">
        <f t="shared" si="122"/>
        <v>7</v>
      </c>
      <c r="H953">
        <f t="shared" si="123"/>
        <v>11</v>
      </c>
      <c r="I953">
        <f t="shared" si="124"/>
        <v>105</v>
      </c>
      <c r="J953" t="str">
        <f t="shared" si="125"/>
        <v>GrollKnightHP</v>
      </c>
    </row>
    <row r="954" spans="1:10" x14ac:dyDescent="0.3">
      <c r="A954" s="1" t="str">
        <f t="shared" si="128"/>
        <v>Groll</v>
      </c>
      <c r="B954" s="1" t="s">
        <v>10</v>
      </c>
      <c r="C954" s="1" t="s">
        <v>0</v>
      </c>
      <c r="D954">
        <f t="shared" si="120"/>
        <v>-3</v>
      </c>
      <c r="E954">
        <f t="shared" si="121"/>
        <v>-7</v>
      </c>
      <c r="F954">
        <f t="shared" si="127"/>
        <v>-10</v>
      </c>
      <c r="G954">
        <f t="shared" si="122"/>
        <v>31</v>
      </c>
      <c r="H954">
        <f t="shared" si="123"/>
        <v>0</v>
      </c>
      <c r="I954">
        <f t="shared" si="124"/>
        <v>0</v>
      </c>
      <c r="J954" t="str">
        <f t="shared" si="125"/>
        <v>GrollPaladinMag</v>
      </c>
    </row>
    <row r="955" spans="1:10" x14ac:dyDescent="0.3">
      <c r="A955" s="1" t="str">
        <f t="shared" si="128"/>
        <v>Groll</v>
      </c>
      <c r="B955" s="1" t="s">
        <v>10</v>
      </c>
      <c r="C955" s="1" t="s">
        <v>1</v>
      </c>
      <c r="D955">
        <f t="shared" si="120"/>
        <v>-2</v>
      </c>
      <c r="E955">
        <f t="shared" si="121"/>
        <v>0</v>
      </c>
      <c r="F955">
        <f t="shared" si="127"/>
        <v>-2</v>
      </c>
      <c r="G955">
        <f t="shared" si="122"/>
        <v>16</v>
      </c>
      <c r="H955">
        <f t="shared" si="123"/>
        <v>0</v>
      </c>
      <c r="I955">
        <f t="shared" si="124"/>
        <v>60</v>
      </c>
      <c r="J955" t="str">
        <f t="shared" si="125"/>
        <v>GrollPaladinDiv</v>
      </c>
    </row>
    <row r="956" spans="1:10" x14ac:dyDescent="0.3">
      <c r="A956" s="1" t="str">
        <f t="shared" si="128"/>
        <v>Groll</v>
      </c>
      <c r="B956" s="1" t="s">
        <v>10</v>
      </c>
      <c r="C956" s="1" t="s">
        <v>2</v>
      </c>
      <c r="D956">
        <f t="shared" si="120"/>
        <v>4</v>
      </c>
      <c r="E956">
        <f t="shared" si="121"/>
        <v>2</v>
      </c>
      <c r="F956">
        <f t="shared" si="127"/>
        <v>6</v>
      </c>
      <c r="G956">
        <f t="shared" si="122"/>
        <v>5</v>
      </c>
      <c r="H956">
        <f t="shared" si="123"/>
        <v>8</v>
      </c>
      <c r="I956">
        <f t="shared" si="124"/>
        <v>111</v>
      </c>
      <c r="J956" t="str">
        <f t="shared" si="125"/>
        <v>GrollPaladinStr</v>
      </c>
    </row>
    <row r="957" spans="1:10" x14ac:dyDescent="0.3">
      <c r="A957" s="1" t="str">
        <f t="shared" si="128"/>
        <v>Groll</v>
      </c>
      <c r="B957" s="1" t="s">
        <v>10</v>
      </c>
      <c r="C957" s="1" t="s">
        <v>3</v>
      </c>
      <c r="D957">
        <f t="shared" si="120"/>
        <v>0</v>
      </c>
      <c r="E957">
        <f t="shared" si="121"/>
        <v>-1</v>
      </c>
      <c r="F957">
        <f t="shared" si="127"/>
        <v>-1</v>
      </c>
      <c r="G957">
        <f t="shared" si="122"/>
        <v>13</v>
      </c>
      <c r="H957">
        <f t="shared" si="123"/>
        <v>0</v>
      </c>
      <c r="I957">
        <f t="shared" si="124"/>
        <v>70</v>
      </c>
      <c r="J957" t="str">
        <f t="shared" si="125"/>
        <v>GrollPaladinDex</v>
      </c>
    </row>
    <row r="958" spans="1:10" x14ac:dyDescent="0.3">
      <c r="A958" s="1" t="str">
        <f t="shared" si="128"/>
        <v>Groll</v>
      </c>
      <c r="B958" s="1" t="s">
        <v>10</v>
      </c>
      <c r="C958" s="1" t="s">
        <v>4</v>
      </c>
      <c r="D958">
        <f t="shared" si="120"/>
        <v>1</v>
      </c>
      <c r="E958">
        <f t="shared" si="121"/>
        <v>0</v>
      </c>
      <c r="F958">
        <f t="shared" si="127"/>
        <v>1</v>
      </c>
      <c r="G958">
        <f t="shared" si="122"/>
        <v>9</v>
      </c>
      <c r="H958">
        <f t="shared" si="123"/>
        <v>14</v>
      </c>
      <c r="I958">
        <f t="shared" si="124"/>
        <v>90</v>
      </c>
      <c r="J958" t="str">
        <f t="shared" si="125"/>
        <v>GrollPaladinCon</v>
      </c>
    </row>
    <row r="959" spans="1:10" x14ac:dyDescent="0.3">
      <c r="A959" s="1" t="str">
        <f t="shared" si="128"/>
        <v>Groll</v>
      </c>
      <c r="B959" s="1" t="s">
        <v>10</v>
      </c>
      <c r="C959" s="1" t="s">
        <v>5</v>
      </c>
      <c r="D959">
        <f t="shared" si="120"/>
        <v>-1</v>
      </c>
      <c r="E959">
        <f t="shared" si="121"/>
        <v>-2</v>
      </c>
      <c r="F959">
        <f t="shared" si="127"/>
        <v>-3</v>
      </c>
      <c r="G959">
        <f t="shared" si="122"/>
        <v>19</v>
      </c>
      <c r="H959">
        <f t="shared" si="123"/>
        <v>0</v>
      </c>
      <c r="I959">
        <f t="shared" si="124"/>
        <v>50</v>
      </c>
      <c r="J959" t="str">
        <f t="shared" si="125"/>
        <v>GrollPaladinCha</v>
      </c>
    </row>
    <row r="960" spans="1:10" x14ac:dyDescent="0.3">
      <c r="A960" s="1" t="str">
        <f t="shared" si="128"/>
        <v>Groll</v>
      </c>
      <c r="B960" s="1" t="s">
        <v>10</v>
      </c>
      <c r="C960" s="1" t="s">
        <v>6</v>
      </c>
      <c r="D960">
        <f t="shared" si="120"/>
        <v>-1</v>
      </c>
      <c r="E960">
        <f t="shared" si="121"/>
        <v>0</v>
      </c>
      <c r="F960">
        <f t="shared" si="127"/>
        <v>-1</v>
      </c>
      <c r="G960">
        <f t="shared" si="122"/>
        <v>13</v>
      </c>
      <c r="H960">
        <f t="shared" si="123"/>
        <v>0</v>
      </c>
      <c r="I960">
        <f t="shared" si="124"/>
        <v>70</v>
      </c>
      <c r="J960" t="str">
        <f t="shared" si="125"/>
        <v>GrollPaladinBra</v>
      </c>
    </row>
    <row r="961" spans="1:10" x14ac:dyDescent="0.3">
      <c r="A961" s="1" t="str">
        <f t="shared" si="128"/>
        <v>Groll</v>
      </c>
      <c r="B961" s="1" t="s">
        <v>10</v>
      </c>
      <c r="C961" s="1" t="s">
        <v>7</v>
      </c>
      <c r="D961">
        <f t="shared" si="120"/>
        <v>2</v>
      </c>
      <c r="E961">
        <f t="shared" si="121"/>
        <v>1</v>
      </c>
      <c r="F961">
        <f t="shared" si="127"/>
        <v>3</v>
      </c>
      <c r="G961">
        <f t="shared" si="122"/>
        <v>7</v>
      </c>
      <c r="H961">
        <f t="shared" si="123"/>
        <v>11</v>
      </c>
      <c r="I961">
        <f t="shared" si="124"/>
        <v>105</v>
      </c>
      <c r="J961" t="str">
        <f t="shared" si="125"/>
        <v>GrollPaladinHP</v>
      </c>
    </row>
    <row r="962" spans="1:10" x14ac:dyDescent="0.3">
      <c r="A962" s="1" t="str">
        <f t="shared" si="128"/>
        <v>Groll</v>
      </c>
      <c r="B962" s="1" t="s">
        <v>11</v>
      </c>
      <c r="C962" s="1" t="s">
        <v>0</v>
      </c>
      <c r="D962">
        <f t="shared" ref="D962:D1025" si="129">INDEX(TblRaceValues,MATCH(C962, TblAbilities, 0),MATCH(A962,TblRaces,0))</f>
        <v>-3</v>
      </c>
      <c r="E962">
        <f t="shared" ref="E962:E1025" si="130">INDEX(TblProfessionValues,MATCH(C962,TblAbilities,0),MATCH(B962,TblProfessions,0))</f>
        <v>-7</v>
      </c>
      <c r="F962">
        <f t="shared" si="127"/>
        <v>-10</v>
      </c>
      <c r="G962">
        <f t="shared" ref="G962:G1025" si="131">HLOOKUP(MIN(MAX(-7,F962),7),TblPracticeCost,2)</f>
        <v>31</v>
      </c>
      <c r="H962">
        <f t="shared" ref="H962:H1025" si="132">HLOOKUP(MIN(MAX(-7,F962),7),TblPracticeCost,3)</f>
        <v>0</v>
      </c>
      <c r="I962">
        <f t="shared" ref="I962:I1025" si="133">VLOOKUP(MIN(MAX(-7,F962),7),TblBonusMaxSkill,2)</f>
        <v>0</v>
      </c>
      <c r="J962" t="str">
        <f t="shared" si="125"/>
        <v>GrollRangerMag</v>
      </c>
    </row>
    <row r="963" spans="1:10" x14ac:dyDescent="0.3">
      <c r="A963" s="1" t="str">
        <f t="shared" si="128"/>
        <v>Groll</v>
      </c>
      <c r="B963" s="1" t="s">
        <v>11</v>
      </c>
      <c r="C963" s="1" t="s">
        <v>1</v>
      </c>
      <c r="D963">
        <f t="shared" si="129"/>
        <v>-2</v>
      </c>
      <c r="E963">
        <f t="shared" si="130"/>
        <v>0</v>
      </c>
      <c r="F963">
        <f t="shared" si="127"/>
        <v>-2</v>
      </c>
      <c r="G963">
        <f t="shared" si="131"/>
        <v>16</v>
      </c>
      <c r="H963">
        <f t="shared" si="132"/>
        <v>0</v>
      </c>
      <c r="I963">
        <f t="shared" si="133"/>
        <v>60</v>
      </c>
      <c r="J963" t="str">
        <f t="shared" ref="J963:J1026" si="134">A963&amp;B963&amp;C963</f>
        <v>GrollRangerDiv</v>
      </c>
    </row>
    <row r="964" spans="1:10" x14ac:dyDescent="0.3">
      <c r="A964" s="1" t="str">
        <f t="shared" si="128"/>
        <v>Groll</v>
      </c>
      <c r="B964" s="1" t="s">
        <v>11</v>
      </c>
      <c r="C964" s="1" t="s">
        <v>2</v>
      </c>
      <c r="D964">
        <f t="shared" si="129"/>
        <v>4</v>
      </c>
      <c r="E964">
        <f t="shared" si="130"/>
        <v>1</v>
      </c>
      <c r="F964">
        <f t="shared" si="127"/>
        <v>5</v>
      </c>
      <c r="G964">
        <f t="shared" si="131"/>
        <v>5</v>
      </c>
      <c r="H964">
        <f t="shared" si="132"/>
        <v>8</v>
      </c>
      <c r="I964">
        <f t="shared" si="133"/>
        <v>110</v>
      </c>
      <c r="J964" t="str">
        <f t="shared" si="134"/>
        <v>GrollRangerStr</v>
      </c>
    </row>
    <row r="965" spans="1:10" x14ac:dyDescent="0.3">
      <c r="A965" s="1" t="str">
        <f t="shared" si="128"/>
        <v>Groll</v>
      </c>
      <c r="B965" s="1" t="s">
        <v>11</v>
      </c>
      <c r="C965" s="1" t="s">
        <v>3</v>
      </c>
      <c r="D965">
        <f t="shared" si="129"/>
        <v>0</v>
      </c>
      <c r="E965">
        <f t="shared" si="130"/>
        <v>2</v>
      </c>
      <c r="F965">
        <f t="shared" si="127"/>
        <v>2</v>
      </c>
      <c r="G965">
        <f t="shared" si="131"/>
        <v>8</v>
      </c>
      <c r="H965">
        <f t="shared" si="132"/>
        <v>12</v>
      </c>
      <c r="I965">
        <f t="shared" si="133"/>
        <v>100</v>
      </c>
      <c r="J965" t="str">
        <f t="shared" si="134"/>
        <v>GrollRangerDex</v>
      </c>
    </row>
    <row r="966" spans="1:10" x14ac:dyDescent="0.3">
      <c r="A966" s="1" t="str">
        <f t="shared" si="128"/>
        <v>Groll</v>
      </c>
      <c r="B966" s="1" t="s">
        <v>11</v>
      </c>
      <c r="C966" s="1" t="s">
        <v>4</v>
      </c>
      <c r="D966">
        <f t="shared" si="129"/>
        <v>1</v>
      </c>
      <c r="E966">
        <f t="shared" si="130"/>
        <v>0</v>
      </c>
      <c r="F966">
        <f t="shared" si="127"/>
        <v>1</v>
      </c>
      <c r="G966">
        <f t="shared" si="131"/>
        <v>9</v>
      </c>
      <c r="H966">
        <f t="shared" si="132"/>
        <v>14</v>
      </c>
      <c r="I966">
        <f t="shared" si="133"/>
        <v>90</v>
      </c>
      <c r="J966" t="str">
        <f t="shared" si="134"/>
        <v>GrollRangerCon</v>
      </c>
    </row>
    <row r="967" spans="1:10" x14ac:dyDescent="0.3">
      <c r="A967" s="1" t="str">
        <f t="shared" si="128"/>
        <v>Groll</v>
      </c>
      <c r="B967" s="1" t="s">
        <v>11</v>
      </c>
      <c r="C967" s="1" t="s">
        <v>5</v>
      </c>
      <c r="D967">
        <f t="shared" si="129"/>
        <v>-1</v>
      </c>
      <c r="E967">
        <f t="shared" si="130"/>
        <v>-2</v>
      </c>
      <c r="F967">
        <f t="shared" si="127"/>
        <v>-3</v>
      </c>
      <c r="G967">
        <f t="shared" si="131"/>
        <v>19</v>
      </c>
      <c r="H967">
        <f t="shared" si="132"/>
        <v>0</v>
      </c>
      <c r="I967">
        <f t="shared" si="133"/>
        <v>50</v>
      </c>
      <c r="J967" t="str">
        <f t="shared" si="134"/>
        <v>GrollRangerCha</v>
      </c>
    </row>
    <row r="968" spans="1:10" x14ac:dyDescent="0.3">
      <c r="A968" s="1" t="str">
        <f t="shared" si="128"/>
        <v>Groll</v>
      </c>
      <c r="B968" s="1" t="s">
        <v>11</v>
      </c>
      <c r="C968" s="1" t="s">
        <v>6</v>
      </c>
      <c r="D968">
        <f t="shared" si="129"/>
        <v>-1</v>
      </c>
      <c r="E968">
        <f t="shared" si="130"/>
        <v>-1</v>
      </c>
      <c r="F968">
        <f t="shared" si="127"/>
        <v>-2</v>
      </c>
      <c r="G968">
        <f t="shared" si="131"/>
        <v>16</v>
      </c>
      <c r="H968">
        <f t="shared" si="132"/>
        <v>0</v>
      </c>
      <c r="I968">
        <f t="shared" si="133"/>
        <v>60</v>
      </c>
      <c r="J968" t="str">
        <f t="shared" si="134"/>
        <v>GrollRangerBra</v>
      </c>
    </row>
    <row r="969" spans="1:10" x14ac:dyDescent="0.3">
      <c r="A969" s="1" t="str">
        <f t="shared" si="128"/>
        <v>Groll</v>
      </c>
      <c r="B969" s="1" t="s">
        <v>11</v>
      </c>
      <c r="C969" s="1" t="s">
        <v>7</v>
      </c>
      <c r="D969">
        <f t="shared" si="129"/>
        <v>2</v>
      </c>
      <c r="E969">
        <f t="shared" si="130"/>
        <v>0</v>
      </c>
      <c r="F969">
        <f t="shared" si="127"/>
        <v>2</v>
      </c>
      <c r="G969">
        <f t="shared" si="131"/>
        <v>8</v>
      </c>
      <c r="H969">
        <f t="shared" si="132"/>
        <v>12</v>
      </c>
      <c r="I969">
        <f t="shared" si="133"/>
        <v>100</v>
      </c>
      <c r="J969" t="str">
        <f t="shared" si="134"/>
        <v>GrollRangerHP</v>
      </c>
    </row>
    <row r="970" spans="1:10" x14ac:dyDescent="0.3">
      <c r="A970" s="1" t="str">
        <f t="shared" si="128"/>
        <v>Groll</v>
      </c>
      <c r="B970" s="1" t="s">
        <v>12</v>
      </c>
      <c r="C970" s="1" t="s">
        <v>0</v>
      </c>
      <c r="D970">
        <f t="shared" si="129"/>
        <v>-3</v>
      </c>
      <c r="E970">
        <f t="shared" si="130"/>
        <v>0</v>
      </c>
      <c r="F970">
        <f t="shared" si="127"/>
        <v>-3</v>
      </c>
      <c r="G970">
        <f t="shared" si="131"/>
        <v>19</v>
      </c>
      <c r="H970">
        <f t="shared" si="132"/>
        <v>0</v>
      </c>
      <c r="I970">
        <f t="shared" si="133"/>
        <v>50</v>
      </c>
      <c r="J970" t="str">
        <f t="shared" si="134"/>
        <v>GrollAssassinMag</v>
      </c>
    </row>
    <row r="971" spans="1:10" x14ac:dyDescent="0.3">
      <c r="A971" s="1" t="str">
        <f t="shared" si="128"/>
        <v>Groll</v>
      </c>
      <c r="B971" s="1" t="s">
        <v>12</v>
      </c>
      <c r="C971" s="1" t="s">
        <v>1</v>
      </c>
      <c r="D971">
        <f t="shared" si="129"/>
        <v>-2</v>
      </c>
      <c r="E971">
        <f t="shared" si="130"/>
        <v>-7</v>
      </c>
      <c r="F971">
        <f t="shared" si="127"/>
        <v>-9</v>
      </c>
      <c r="G971">
        <f t="shared" si="131"/>
        <v>31</v>
      </c>
      <c r="H971">
        <f t="shared" si="132"/>
        <v>0</v>
      </c>
      <c r="I971">
        <f t="shared" si="133"/>
        <v>0</v>
      </c>
      <c r="J971" t="str">
        <f t="shared" si="134"/>
        <v>GrollAssassinDiv</v>
      </c>
    </row>
    <row r="972" spans="1:10" x14ac:dyDescent="0.3">
      <c r="A972" s="1" t="str">
        <f t="shared" si="128"/>
        <v>Groll</v>
      </c>
      <c r="B972" s="1" t="s">
        <v>12</v>
      </c>
      <c r="C972" s="1" t="s">
        <v>2</v>
      </c>
      <c r="D972">
        <f t="shared" si="129"/>
        <v>4</v>
      </c>
      <c r="E972">
        <f t="shared" si="130"/>
        <v>0</v>
      </c>
      <c r="F972">
        <f t="shared" si="127"/>
        <v>4</v>
      </c>
      <c r="G972">
        <f t="shared" si="131"/>
        <v>6</v>
      </c>
      <c r="H972">
        <f t="shared" si="132"/>
        <v>9</v>
      </c>
      <c r="I972">
        <f t="shared" si="133"/>
        <v>108</v>
      </c>
      <c r="J972" t="str">
        <f t="shared" si="134"/>
        <v>GrollAssassinStr</v>
      </c>
    </row>
    <row r="973" spans="1:10" x14ac:dyDescent="0.3">
      <c r="A973" s="1" t="str">
        <f t="shared" si="128"/>
        <v>Groll</v>
      </c>
      <c r="B973" s="1" t="s">
        <v>12</v>
      </c>
      <c r="C973" s="1" t="s">
        <v>3</v>
      </c>
      <c r="D973">
        <f t="shared" si="129"/>
        <v>0</v>
      </c>
      <c r="E973">
        <f t="shared" si="130"/>
        <v>2</v>
      </c>
      <c r="F973">
        <f t="shared" si="127"/>
        <v>2</v>
      </c>
      <c r="G973">
        <f t="shared" si="131"/>
        <v>8</v>
      </c>
      <c r="H973">
        <f t="shared" si="132"/>
        <v>12</v>
      </c>
      <c r="I973">
        <f t="shared" si="133"/>
        <v>100</v>
      </c>
      <c r="J973" t="str">
        <f t="shared" si="134"/>
        <v>GrollAssassinDex</v>
      </c>
    </row>
    <row r="974" spans="1:10" x14ac:dyDescent="0.3">
      <c r="A974" s="1" t="str">
        <f t="shared" si="128"/>
        <v>Groll</v>
      </c>
      <c r="B974" s="1" t="s">
        <v>12</v>
      </c>
      <c r="C974" s="1" t="s">
        <v>4</v>
      </c>
      <c r="D974">
        <f t="shared" si="129"/>
        <v>1</v>
      </c>
      <c r="E974">
        <f t="shared" si="130"/>
        <v>0</v>
      </c>
      <c r="F974">
        <f t="shared" si="127"/>
        <v>1</v>
      </c>
      <c r="G974">
        <f t="shared" si="131"/>
        <v>9</v>
      </c>
      <c r="H974">
        <f t="shared" si="132"/>
        <v>14</v>
      </c>
      <c r="I974">
        <f t="shared" si="133"/>
        <v>90</v>
      </c>
      <c r="J974" t="str">
        <f t="shared" si="134"/>
        <v>GrollAssassinCon</v>
      </c>
    </row>
    <row r="975" spans="1:10" x14ac:dyDescent="0.3">
      <c r="A975" s="1" t="str">
        <f t="shared" si="128"/>
        <v>Groll</v>
      </c>
      <c r="B975" s="1" t="s">
        <v>12</v>
      </c>
      <c r="C975" s="1" t="s">
        <v>5</v>
      </c>
      <c r="D975">
        <f t="shared" si="129"/>
        <v>-1</v>
      </c>
      <c r="E975">
        <f t="shared" si="130"/>
        <v>-2</v>
      </c>
      <c r="F975">
        <f t="shared" si="127"/>
        <v>-3</v>
      </c>
      <c r="G975">
        <f t="shared" si="131"/>
        <v>19</v>
      </c>
      <c r="H975">
        <f t="shared" si="132"/>
        <v>0</v>
      </c>
      <c r="I975">
        <f t="shared" si="133"/>
        <v>50</v>
      </c>
      <c r="J975" t="str">
        <f t="shared" si="134"/>
        <v>GrollAssassinCha</v>
      </c>
    </row>
    <row r="976" spans="1:10" x14ac:dyDescent="0.3">
      <c r="A976" s="1" t="str">
        <f t="shared" si="128"/>
        <v>Groll</v>
      </c>
      <c r="B976" s="1" t="s">
        <v>12</v>
      </c>
      <c r="C976" s="1" t="s">
        <v>6</v>
      </c>
      <c r="D976">
        <f t="shared" si="129"/>
        <v>-1</v>
      </c>
      <c r="E976">
        <f t="shared" si="130"/>
        <v>1</v>
      </c>
      <c r="F976">
        <f t="shared" si="127"/>
        <v>0</v>
      </c>
      <c r="G976">
        <f t="shared" si="131"/>
        <v>10</v>
      </c>
      <c r="H976">
        <f t="shared" si="132"/>
        <v>0</v>
      </c>
      <c r="I976">
        <f t="shared" si="133"/>
        <v>80</v>
      </c>
      <c r="J976" t="str">
        <f t="shared" si="134"/>
        <v>GrollAssassinBra</v>
      </c>
    </row>
    <row r="977" spans="1:10" x14ac:dyDescent="0.3">
      <c r="A977" s="1" t="str">
        <f t="shared" si="128"/>
        <v>Groll</v>
      </c>
      <c r="B977" s="1" t="s">
        <v>12</v>
      </c>
      <c r="C977" s="1" t="s">
        <v>7</v>
      </c>
      <c r="D977">
        <f t="shared" si="129"/>
        <v>2</v>
      </c>
      <c r="E977">
        <f t="shared" si="130"/>
        <v>-1</v>
      </c>
      <c r="F977">
        <f t="shared" si="127"/>
        <v>1</v>
      </c>
      <c r="G977">
        <f t="shared" si="131"/>
        <v>9</v>
      </c>
      <c r="H977">
        <f t="shared" si="132"/>
        <v>14</v>
      </c>
      <c r="I977">
        <f t="shared" si="133"/>
        <v>90</v>
      </c>
      <c r="J977" t="str">
        <f t="shared" si="134"/>
        <v>GrollAssassinHP</v>
      </c>
    </row>
    <row r="978" spans="1:10" x14ac:dyDescent="0.3">
      <c r="A978" s="1" t="str">
        <f t="shared" si="128"/>
        <v>Groll</v>
      </c>
      <c r="B978" s="1" t="s">
        <v>13</v>
      </c>
      <c r="C978" s="1" t="s">
        <v>0</v>
      </c>
      <c r="D978">
        <f t="shared" si="129"/>
        <v>-3</v>
      </c>
      <c r="E978">
        <f t="shared" si="130"/>
        <v>-5</v>
      </c>
      <c r="F978">
        <f t="shared" si="127"/>
        <v>-8</v>
      </c>
      <c r="G978">
        <f t="shared" si="131"/>
        <v>31</v>
      </c>
      <c r="H978">
        <f t="shared" si="132"/>
        <v>0</v>
      </c>
      <c r="I978">
        <f t="shared" si="133"/>
        <v>0</v>
      </c>
      <c r="J978" t="str">
        <f t="shared" si="134"/>
        <v>GrollThiefMag</v>
      </c>
    </row>
    <row r="979" spans="1:10" x14ac:dyDescent="0.3">
      <c r="A979" s="1" t="str">
        <f t="shared" si="128"/>
        <v>Groll</v>
      </c>
      <c r="B979" s="1" t="s">
        <v>13</v>
      </c>
      <c r="C979" s="1" t="s">
        <v>1</v>
      </c>
      <c r="D979">
        <f t="shared" si="129"/>
        <v>-2</v>
      </c>
      <c r="E979">
        <f t="shared" si="130"/>
        <v>-7</v>
      </c>
      <c r="F979">
        <f t="shared" si="127"/>
        <v>-9</v>
      </c>
      <c r="G979">
        <f t="shared" si="131"/>
        <v>31</v>
      </c>
      <c r="H979">
        <f t="shared" si="132"/>
        <v>0</v>
      </c>
      <c r="I979">
        <f t="shared" si="133"/>
        <v>0</v>
      </c>
      <c r="J979" t="str">
        <f t="shared" si="134"/>
        <v>GrollThiefDiv</v>
      </c>
    </row>
    <row r="980" spans="1:10" x14ac:dyDescent="0.3">
      <c r="A980" s="1" t="str">
        <f t="shared" si="128"/>
        <v>Groll</v>
      </c>
      <c r="B980" s="1" t="s">
        <v>13</v>
      </c>
      <c r="C980" s="1" t="s">
        <v>2</v>
      </c>
      <c r="D980">
        <f t="shared" si="129"/>
        <v>4</v>
      </c>
      <c r="E980">
        <f t="shared" si="130"/>
        <v>0</v>
      </c>
      <c r="F980">
        <f t="shared" si="127"/>
        <v>4</v>
      </c>
      <c r="G980">
        <f t="shared" si="131"/>
        <v>6</v>
      </c>
      <c r="H980">
        <f t="shared" si="132"/>
        <v>9</v>
      </c>
      <c r="I980">
        <f t="shared" si="133"/>
        <v>108</v>
      </c>
      <c r="J980" t="str">
        <f t="shared" si="134"/>
        <v>GrollThiefStr</v>
      </c>
    </row>
    <row r="981" spans="1:10" x14ac:dyDescent="0.3">
      <c r="A981" s="1" t="str">
        <f t="shared" si="128"/>
        <v>Groll</v>
      </c>
      <c r="B981" s="1" t="s">
        <v>13</v>
      </c>
      <c r="C981" s="1" t="s">
        <v>3</v>
      </c>
      <c r="D981">
        <f t="shared" si="129"/>
        <v>0</v>
      </c>
      <c r="E981">
        <f t="shared" si="130"/>
        <v>3</v>
      </c>
      <c r="F981">
        <f t="shared" si="127"/>
        <v>3</v>
      </c>
      <c r="G981">
        <f t="shared" si="131"/>
        <v>7</v>
      </c>
      <c r="H981">
        <f t="shared" si="132"/>
        <v>11</v>
      </c>
      <c r="I981">
        <f t="shared" si="133"/>
        <v>105</v>
      </c>
      <c r="J981" t="str">
        <f t="shared" si="134"/>
        <v>GrollThiefDex</v>
      </c>
    </row>
    <row r="982" spans="1:10" x14ac:dyDescent="0.3">
      <c r="A982" s="1" t="str">
        <f t="shared" si="128"/>
        <v>Groll</v>
      </c>
      <c r="B982" s="1" t="s">
        <v>13</v>
      </c>
      <c r="C982" s="1" t="s">
        <v>4</v>
      </c>
      <c r="D982">
        <f t="shared" si="129"/>
        <v>1</v>
      </c>
      <c r="E982">
        <f t="shared" si="130"/>
        <v>-1</v>
      </c>
      <c r="F982">
        <f t="shared" si="127"/>
        <v>0</v>
      </c>
      <c r="G982">
        <f t="shared" si="131"/>
        <v>10</v>
      </c>
      <c r="H982">
        <f t="shared" si="132"/>
        <v>0</v>
      </c>
      <c r="I982">
        <f t="shared" si="133"/>
        <v>80</v>
      </c>
      <c r="J982" t="str">
        <f t="shared" si="134"/>
        <v>GrollThiefCon</v>
      </c>
    </row>
    <row r="983" spans="1:10" x14ac:dyDescent="0.3">
      <c r="A983" s="1" t="str">
        <f t="shared" si="128"/>
        <v>Groll</v>
      </c>
      <c r="B983" s="1" t="s">
        <v>13</v>
      </c>
      <c r="C983" s="1" t="s">
        <v>5</v>
      </c>
      <c r="D983">
        <f t="shared" si="129"/>
        <v>-1</v>
      </c>
      <c r="E983">
        <f t="shared" si="130"/>
        <v>-2</v>
      </c>
      <c r="F983">
        <f t="shared" si="127"/>
        <v>-3</v>
      </c>
      <c r="G983">
        <f t="shared" si="131"/>
        <v>19</v>
      </c>
      <c r="H983">
        <f t="shared" si="132"/>
        <v>0</v>
      </c>
      <c r="I983">
        <f t="shared" si="133"/>
        <v>50</v>
      </c>
      <c r="J983" t="str">
        <f t="shared" si="134"/>
        <v>GrollThiefCha</v>
      </c>
    </row>
    <row r="984" spans="1:10" x14ac:dyDescent="0.3">
      <c r="A984" s="1" t="str">
        <f t="shared" si="128"/>
        <v>Groll</v>
      </c>
      <c r="B984" s="1" t="s">
        <v>13</v>
      </c>
      <c r="C984" s="1" t="s">
        <v>6</v>
      </c>
      <c r="D984">
        <f t="shared" si="129"/>
        <v>-1</v>
      </c>
      <c r="E984">
        <f t="shared" si="130"/>
        <v>2</v>
      </c>
      <c r="F984">
        <f t="shared" si="127"/>
        <v>1</v>
      </c>
      <c r="G984">
        <f t="shared" si="131"/>
        <v>9</v>
      </c>
      <c r="H984">
        <f t="shared" si="132"/>
        <v>14</v>
      </c>
      <c r="I984">
        <f t="shared" si="133"/>
        <v>90</v>
      </c>
      <c r="J984" t="str">
        <f t="shared" si="134"/>
        <v>GrollThiefBra</v>
      </c>
    </row>
    <row r="985" spans="1:10" x14ac:dyDescent="0.3">
      <c r="A985" s="1" t="str">
        <f t="shared" si="128"/>
        <v>Groll</v>
      </c>
      <c r="B985" s="1" t="s">
        <v>13</v>
      </c>
      <c r="C985" s="1" t="s">
        <v>7</v>
      </c>
      <c r="D985">
        <f t="shared" si="129"/>
        <v>2</v>
      </c>
      <c r="E985">
        <f t="shared" si="130"/>
        <v>1</v>
      </c>
      <c r="F985">
        <f t="shared" si="127"/>
        <v>3</v>
      </c>
      <c r="G985">
        <f t="shared" si="131"/>
        <v>7</v>
      </c>
      <c r="H985">
        <f t="shared" si="132"/>
        <v>11</v>
      </c>
      <c r="I985">
        <f t="shared" si="133"/>
        <v>105</v>
      </c>
      <c r="J985" t="str">
        <f t="shared" si="134"/>
        <v>GrollThiefHP</v>
      </c>
    </row>
    <row r="986" spans="1:10" x14ac:dyDescent="0.3">
      <c r="A986" s="1" t="str">
        <f t="shared" si="128"/>
        <v>Groll</v>
      </c>
      <c r="B986" s="1" t="s">
        <v>14</v>
      </c>
      <c r="C986" s="1" t="s">
        <v>0</v>
      </c>
      <c r="D986">
        <f t="shared" si="129"/>
        <v>-3</v>
      </c>
      <c r="E986">
        <f t="shared" si="130"/>
        <v>-7</v>
      </c>
      <c r="F986">
        <f t="shared" si="127"/>
        <v>-10</v>
      </c>
      <c r="G986">
        <f t="shared" si="131"/>
        <v>31</v>
      </c>
      <c r="H986">
        <f t="shared" si="132"/>
        <v>0</v>
      </c>
      <c r="I986">
        <f t="shared" si="133"/>
        <v>0</v>
      </c>
      <c r="J986" t="str">
        <f t="shared" si="134"/>
        <v>GrollDruidMag</v>
      </c>
    </row>
    <row r="987" spans="1:10" x14ac:dyDescent="0.3">
      <c r="A987" s="1" t="str">
        <f t="shared" si="128"/>
        <v>Groll</v>
      </c>
      <c r="B987" s="1" t="s">
        <v>14</v>
      </c>
      <c r="C987" s="1" t="s">
        <v>1</v>
      </c>
      <c r="D987">
        <f t="shared" si="129"/>
        <v>-2</v>
      </c>
      <c r="E987">
        <f t="shared" si="130"/>
        <v>2</v>
      </c>
      <c r="F987">
        <f t="shared" ref="F987:F1050" si="135">E987+D987</f>
        <v>0</v>
      </c>
      <c r="G987">
        <f t="shared" si="131"/>
        <v>10</v>
      </c>
      <c r="H987">
        <f t="shared" si="132"/>
        <v>0</v>
      </c>
      <c r="I987">
        <f t="shared" si="133"/>
        <v>80</v>
      </c>
      <c r="J987" t="str">
        <f t="shared" si="134"/>
        <v>GrollDruidDiv</v>
      </c>
    </row>
    <row r="988" spans="1:10" x14ac:dyDescent="0.3">
      <c r="A988" s="1" t="str">
        <f t="shared" si="128"/>
        <v>Groll</v>
      </c>
      <c r="B988" s="1" t="s">
        <v>14</v>
      </c>
      <c r="C988" s="1" t="s">
        <v>2</v>
      </c>
      <c r="D988">
        <f t="shared" si="129"/>
        <v>4</v>
      </c>
      <c r="E988">
        <f t="shared" si="130"/>
        <v>-2</v>
      </c>
      <c r="F988">
        <f t="shared" si="135"/>
        <v>2</v>
      </c>
      <c r="G988">
        <f t="shared" si="131"/>
        <v>8</v>
      </c>
      <c r="H988">
        <f t="shared" si="132"/>
        <v>12</v>
      </c>
      <c r="I988">
        <f t="shared" si="133"/>
        <v>100</v>
      </c>
      <c r="J988" t="str">
        <f t="shared" si="134"/>
        <v>GrollDruidStr</v>
      </c>
    </row>
    <row r="989" spans="1:10" x14ac:dyDescent="0.3">
      <c r="A989" s="1" t="str">
        <f t="shared" si="128"/>
        <v>Groll</v>
      </c>
      <c r="B989" s="1" t="s">
        <v>14</v>
      </c>
      <c r="C989" s="1" t="s">
        <v>3</v>
      </c>
      <c r="D989">
        <f t="shared" si="129"/>
        <v>0</v>
      </c>
      <c r="E989">
        <f t="shared" si="130"/>
        <v>0</v>
      </c>
      <c r="F989">
        <f t="shared" si="135"/>
        <v>0</v>
      </c>
      <c r="G989">
        <f t="shared" si="131"/>
        <v>10</v>
      </c>
      <c r="H989">
        <f t="shared" si="132"/>
        <v>0</v>
      </c>
      <c r="I989">
        <f t="shared" si="133"/>
        <v>80</v>
      </c>
      <c r="J989" t="str">
        <f t="shared" si="134"/>
        <v>GrollDruidDex</v>
      </c>
    </row>
    <row r="990" spans="1:10" x14ac:dyDescent="0.3">
      <c r="A990" s="1" t="str">
        <f t="shared" si="128"/>
        <v>Groll</v>
      </c>
      <c r="B990" s="1" t="s">
        <v>14</v>
      </c>
      <c r="C990" s="1" t="s">
        <v>4</v>
      </c>
      <c r="D990">
        <f t="shared" si="129"/>
        <v>1</v>
      </c>
      <c r="E990">
        <f t="shared" si="130"/>
        <v>-3</v>
      </c>
      <c r="F990">
        <f t="shared" si="135"/>
        <v>-2</v>
      </c>
      <c r="G990">
        <f t="shared" si="131"/>
        <v>16</v>
      </c>
      <c r="H990">
        <f t="shared" si="132"/>
        <v>0</v>
      </c>
      <c r="I990">
        <f t="shared" si="133"/>
        <v>60</v>
      </c>
      <c r="J990" t="str">
        <f t="shared" si="134"/>
        <v>GrollDruidCon</v>
      </c>
    </row>
    <row r="991" spans="1:10" x14ac:dyDescent="0.3">
      <c r="A991" s="1" t="str">
        <f t="shared" si="128"/>
        <v>Groll</v>
      </c>
      <c r="B991" s="1" t="s">
        <v>14</v>
      </c>
      <c r="C991" s="1" t="s">
        <v>5</v>
      </c>
      <c r="D991">
        <f t="shared" si="129"/>
        <v>-1</v>
      </c>
      <c r="E991">
        <f t="shared" si="130"/>
        <v>1</v>
      </c>
      <c r="F991">
        <f t="shared" si="135"/>
        <v>0</v>
      </c>
      <c r="G991">
        <f t="shared" si="131"/>
        <v>10</v>
      </c>
      <c r="H991">
        <f t="shared" si="132"/>
        <v>0</v>
      </c>
      <c r="I991">
        <f t="shared" si="133"/>
        <v>80</v>
      </c>
      <c r="J991" t="str">
        <f t="shared" si="134"/>
        <v>GrollDruidCha</v>
      </c>
    </row>
    <row r="992" spans="1:10" x14ac:dyDescent="0.3">
      <c r="A992" s="1" t="str">
        <f t="shared" si="128"/>
        <v>Groll</v>
      </c>
      <c r="B992" s="1" t="s">
        <v>14</v>
      </c>
      <c r="C992" s="1" t="s">
        <v>6</v>
      </c>
      <c r="D992">
        <f t="shared" si="129"/>
        <v>-1</v>
      </c>
      <c r="E992">
        <f t="shared" si="130"/>
        <v>3</v>
      </c>
      <c r="F992">
        <f t="shared" si="135"/>
        <v>2</v>
      </c>
      <c r="G992">
        <f t="shared" si="131"/>
        <v>8</v>
      </c>
      <c r="H992">
        <f t="shared" si="132"/>
        <v>12</v>
      </c>
      <c r="I992">
        <f t="shared" si="133"/>
        <v>100</v>
      </c>
      <c r="J992" t="str">
        <f t="shared" si="134"/>
        <v>GrollDruidBra</v>
      </c>
    </row>
    <row r="993" spans="1:10" x14ac:dyDescent="0.3">
      <c r="A993" s="1" t="str">
        <f t="shared" si="128"/>
        <v>Groll</v>
      </c>
      <c r="B993" s="1" t="s">
        <v>14</v>
      </c>
      <c r="C993" s="1" t="s">
        <v>7</v>
      </c>
      <c r="D993">
        <f t="shared" si="129"/>
        <v>2</v>
      </c>
      <c r="E993">
        <f t="shared" si="130"/>
        <v>-1</v>
      </c>
      <c r="F993">
        <f t="shared" si="135"/>
        <v>1</v>
      </c>
      <c r="G993">
        <f t="shared" si="131"/>
        <v>9</v>
      </c>
      <c r="H993">
        <f t="shared" si="132"/>
        <v>14</v>
      </c>
      <c r="I993">
        <f t="shared" si="133"/>
        <v>90</v>
      </c>
      <c r="J993" t="str">
        <f t="shared" si="134"/>
        <v>GrollDruidHP</v>
      </c>
    </row>
    <row r="994" spans="1:10" x14ac:dyDescent="0.3">
      <c r="A994" s="1" t="str">
        <f t="shared" si="128"/>
        <v>Groll</v>
      </c>
      <c r="B994" s="1" t="s">
        <v>31</v>
      </c>
      <c r="C994" s="1" t="s">
        <v>0</v>
      </c>
      <c r="D994">
        <f t="shared" si="129"/>
        <v>-3</v>
      </c>
      <c r="E994">
        <f t="shared" si="130"/>
        <v>2</v>
      </c>
      <c r="F994">
        <f t="shared" si="135"/>
        <v>-1</v>
      </c>
      <c r="G994">
        <f t="shared" si="131"/>
        <v>13</v>
      </c>
      <c r="H994">
        <f t="shared" si="132"/>
        <v>0</v>
      </c>
      <c r="I994">
        <f t="shared" si="133"/>
        <v>70</v>
      </c>
      <c r="J994" t="str">
        <f t="shared" si="134"/>
        <v>GrollObsoleteMag</v>
      </c>
    </row>
    <row r="995" spans="1:10" x14ac:dyDescent="0.3">
      <c r="A995" s="1" t="str">
        <f t="shared" si="128"/>
        <v>Groll</v>
      </c>
      <c r="B995" s="1" t="s">
        <v>31</v>
      </c>
      <c r="C995" s="1" t="s">
        <v>1</v>
      </c>
      <c r="D995">
        <f t="shared" si="129"/>
        <v>-2</v>
      </c>
      <c r="E995">
        <f t="shared" si="130"/>
        <v>2</v>
      </c>
      <c r="F995">
        <f t="shared" si="135"/>
        <v>0</v>
      </c>
      <c r="G995">
        <f t="shared" si="131"/>
        <v>10</v>
      </c>
      <c r="H995">
        <f t="shared" si="132"/>
        <v>0</v>
      </c>
      <c r="I995">
        <f t="shared" si="133"/>
        <v>80</v>
      </c>
      <c r="J995" t="str">
        <f t="shared" si="134"/>
        <v>GrollObsoleteDiv</v>
      </c>
    </row>
    <row r="996" spans="1:10" x14ac:dyDescent="0.3">
      <c r="A996" s="1" t="str">
        <f t="shared" si="128"/>
        <v>Groll</v>
      </c>
      <c r="B996" s="1" t="s">
        <v>31</v>
      </c>
      <c r="C996" s="1" t="s">
        <v>2</v>
      </c>
      <c r="D996">
        <f t="shared" si="129"/>
        <v>4</v>
      </c>
      <c r="E996">
        <f t="shared" si="130"/>
        <v>-2</v>
      </c>
      <c r="F996">
        <f t="shared" si="135"/>
        <v>2</v>
      </c>
      <c r="G996">
        <f t="shared" si="131"/>
        <v>8</v>
      </c>
      <c r="H996">
        <f t="shared" si="132"/>
        <v>12</v>
      </c>
      <c r="I996">
        <f t="shared" si="133"/>
        <v>100</v>
      </c>
      <c r="J996" t="str">
        <f t="shared" si="134"/>
        <v>GrollObsoleteStr</v>
      </c>
    </row>
    <row r="997" spans="1:10" x14ac:dyDescent="0.3">
      <c r="A997" s="1" t="str">
        <f t="shared" si="128"/>
        <v>Groll</v>
      </c>
      <c r="B997" s="1" t="s">
        <v>31</v>
      </c>
      <c r="C997" s="1" t="s">
        <v>3</v>
      </c>
      <c r="D997">
        <f t="shared" si="129"/>
        <v>0</v>
      </c>
      <c r="E997">
        <f t="shared" si="130"/>
        <v>-1</v>
      </c>
      <c r="F997">
        <f t="shared" si="135"/>
        <v>-1</v>
      </c>
      <c r="G997">
        <f t="shared" si="131"/>
        <v>13</v>
      </c>
      <c r="H997">
        <f t="shared" si="132"/>
        <v>0</v>
      </c>
      <c r="I997">
        <f t="shared" si="133"/>
        <v>70</v>
      </c>
      <c r="J997" t="str">
        <f t="shared" si="134"/>
        <v>GrollObsoleteDex</v>
      </c>
    </row>
    <row r="998" spans="1:10" x14ac:dyDescent="0.3">
      <c r="A998" s="1" t="str">
        <f t="shared" si="128"/>
        <v>Groll</v>
      </c>
      <c r="B998" s="1" t="s">
        <v>31</v>
      </c>
      <c r="C998" s="1" t="s">
        <v>4</v>
      </c>
      <c r="D998">
        <f t="shared" si="129"/>
        <v>1</v>
      </c>
      <c r="E998">
        <f t="shared" si="130"/>
        <v>-2</v>
      </c>
      <c r="F998">
        <f t="shared" si="135"/>
        <v>-1</v>
      </c>
      <c r="G998">
        <f t="shared" si="131"/>
        <v>13</v>
      </c>
      <c r="H998">
        <f t="shared" si="132"/>
        <v>0</v>
      </c>
      <c r="I998">
        <f t="shared" si="133"/>
        <v>70</v>
      </c>
      <c r="J998" t="str">
        <f t="shared" si="134"/>
        <v>GrollObsoleteCon</v>
      </c>
    </row>
    <row r="999" spans="1:10" x14ac:dyDescent="0.3">
      <c r="A999" s="1" t="str">
        <f t="shared" si="128"/>
        <v>Groll</v>
      </c>
      <c r="B999" s="1" t="s">
        <v>31</v>
      </c>
      <c r="C999" s="1" t="s">
        <v>5</v>
      </c>
      <c r="D999">
        <f t="shared" si="129"/>
        <v>-1</v>
      </c>
      <c r="E999">
        <f t="shared" si="130"/>
        <v>1</v>
      </c>
      <c r="F999">
        <f t="shared" si="135"/>
        <v>0</v>
      </c>
      <c r="G999">
        <f t="shared" si="131"/>
        <v>10</v>
      </c>
      <c r="H999">
        <f t="shared" si="132"/>
        <v>0</v>
      </c>
      <c r="I999">
        <f t="shared" si="133"/>
        <v>80</v>
      </c>
      <c r="J999" t="str">
        <f t="shared" si="134"/>
        <v>GrollObsoleteCha</v>
      </c>
    </row>
    <row r="1000" spans="1:10" x14ac:dyDescent="0.3">
      <c r="A1000" s="1" t="str">
        <f t="shared" si="128"/>
        <v>Groll</v>
      </c>
      <c r="B1000" s="1" t="s">
        <v>31</v>
      </c>
      <c r="C1000" s="1" t="s">
        <v>6</v>
      </c>
      <c r="D1000">
        <f t="shared" si="129"/>
        <v>-1</v>
      </c>
      <c r="E1000">
        <f t="shared" si="130"/>
        <v>2</v>
      </c>
      <c r="F1000">
        <f t="shared" si="135"/>
        <v>1</v>
      </c>
      <c r="G1000">
        <f t="shared" si="131"/>
        <v>9</v>
      </c>
      <c r="H1000">
        <f t="shared" si="132"/>
        <v>14</v>
      </c>
      <c r="I1000">
        <f t="shared" si="133"/>
        <v>90</v>
      </c>
      <c r="J1000" t="str">
        <f t="shared" si="134"/>
        <v>GrollObsoleteBra</v>
      </c>
    </row>
    <row r="1001" spans="1:10" x14ac:dyDescent="0.3">
      <c r="A1001" s="1" t="str">
        <f t="shared" si="128"/>
        <v>Groll</v>
      </c>
      <c r="B1001" s="1" t="s">
        <v>31</v>
      </c>
      <c r="C1001" s="1" t="s">
        <v>7</v>
      </c>
      <c r="D1001">
        <f t="shared" si="129"/>
        <v>2</v>
      </c>
      <c r="E1001">
        <f t="shared" si="130"/>
        <v>0</v>
      </c>
      <c r="F1001">
        <f t="shared" si="135"/>
        <v>2</v>
      </c>
      <c r="G1001">
        <f t="shared" si="131"/>
        <v>8</v>
      </c>
      <c r="H1001">
        <f t="shared" si="132"/>
        <v>12</v>
      </c>
      <c r="I1001">
        <f t="shared" si="133"/>
        <v>100</v>
      </c>
      <c r="J1001" t="str">
        <f t="shared" si="134"/>
        <v>GrollObsoleteHP</v>
      </c>
    </row>
    <row r="1002" spans="1:10" x14ac:dyDescent="0.3">
      <c r="A1002" s="1" t="str">
        <f t="shared" si="128"/>
        <v>Groll</v>
      </c>
      <c r="B1002" s="1" t="s">
        <v>91</v>
      </c>
      <c r="C1002" s="1" t="s">
        <v>0</v>
      </c>
      <c r="D1002">
        <f t="shared" si="129"/>
        <v>-3</v>
      </c>
      <c r="E1002">
        <f t="shared" si="130"/>
        <v>-7</v>
      </c>
      <c r="F1002">
        <f t="shared" si="135"/>
        <v>-10</v>
      </c>
      <c r="G1002">
        <f t="shared" si="131"/>
        <v>31</v>
      </c>
      <c r="H1002">
        <f t="shared" si="132"/>
        <v>0</v>
      </c>
      <c r="I1002">
        <f t="shared" si="133"/>
        <v>0</v>
      </c>
      <c r="J1002" t="str">
        <f t="shared" si="134"/>
        <v>GrollNecromancerMag</v>
      </c>
    </row>
    <row r="1003" spans="1:10" x14ac:dyDescent="0.3">
      <c r="A1003" s="1" t="str">
        <f t="shared" si="128"/>
        <v>Groll</v>
      </c>
      <c r="B1003" s="1" t="s">
        <v>91</v>
      </c>
      <c r="C1003" s="1" t="s">
        <v>1</v>
      </c>
      <c r="D1003">
        <f t="shared" si="129"/>
        <v>-2</v>
      </c>
      <c r="E1003">
        <f t="shared" si="130"/>
        <v>0</v>
      </c>
      <c r="F1003">
        <f t="shared" si="135"/>
        <v>-2</v>
      </c>
      <c r="G1003">
        <f t="shared" si="131"/>
        <v>16</v>
      </c>
      <c r="H1003">
        <f t="shared" si="132"/>
        <v>0</v>
      </c>
      <c r="I1003">
        <f t="shared" si="133"/>
        <v>60</v>
      </c>
      <c r="J1003" t="str">
        <f t="shared" si="134"/>
        <v>GrollNecromancerDiv</v>
      </c>
    </row>
    <row r="1004" spans="1:10" x14ac:dyDescent="0.3">
      <c r="A1004" s="1" t="str">
        <f t="shared" ref="A1004:A1041" si="136">A1003</f>
        <v>Groll</v>
      </c>
      <c r="B1004" s="1" t="s">
        <v>91</v>
      </c>
      <c r="C1004" s="1" t="s">
        <v>2</v>
      </c>
      <c r="D1004">
        <f t="shared" si="129"/>
        <v>4</v>
      </c>
      <c r="E1004">
        <f t="shared" si="130"/>
        <v>-1</v>
      </c>
      <c r="F1004">
        <f t="shared" si="135"/>
        <v>3</v>
      </c>
      <c r="G1004">
        <f t="shared" si="131"/>
        <v>7</v>
      </c>
      <c r="H1004">
        <f t="shared" si="132"/>
        <v>11</v>
      </c>
      <c r="I1004">
        <f t="shared" si="133"/>
        <v>105</v>
      </c>
      <c r="J1004" t="str">
        <f t="shared" si="134"/>
        <v>GrollNecromancerStr</v>
      </c>
    </row>
    <row r="1005" spans="1:10" x14ac:dyDescent="0.3">
      <c r="A1005" s="1" t="str">
        <f t="shared" si="136"/>
        <v>Groll</v>
      </c>
      <c r="B1005" s="1" t="s">
        <v>91</v>
      </c>
      <c r="C1005" s="1" t="s">
        <v>3</v>
      </c>
      <c r="D1005">
        <f t="shared" si="129"/>
        <v>0</v>
      </c>
      <c r="E1005">
        <f t="shared" si="130"/>
        <v>1</v>
      </c>
      <c r="F1005">
        <f t="shared" si="135"/>
        <v>1</v>
      </c>
      <c r="G1005">
        <f t="shared" si="131"/>
        <v>9</v>
      </c>
      <c r="H1005">
        <f t="shared" si="132"/>
        <v>14</v>
      </c>
      <c r="I1005">
        <f t="shared" si="133"/>
        <v>90</v>
      </c>
      <c r="J1005" t="str">
        <f t="shared" si="134"/>
        <v>GrollNecromancerDex</v>
      </c>
    </row>
    <row r="1006" spans="1:10" x14ac:dyDescent="0.3">
      <c r="A1006" s="1" t="str">
        <f t="shared" si="136"/>
        <v>Groll</v>
      </c>
      <c r="B1006" s="1" t="s">
        <v>91</v>
      </c>
      <c r="C1006" s="1" t="s">
        <v>4</v>
      </c>
      <c r="D1006">
        <f t="shared" si="129"/>
        <v>1</v>
      </c>
      <c r="E1006">
        <f t="shared" si="130"/>
        <v>-3</v>
      </c>
      <c r="F1006">
        <f t="shared" si="135"/>
        <v>-2</v>
      </c>
      <c r="G1006">
        <f t="shared" si="131"/>
        <v>16</v>
      </c>
      <c r="H1006">
        <f t="shared" si="132"/>
        <v>0</v>
      </c>
      <c r="I1006">
        <f t="shared" si="133"/>
        <v>60</v>
      </c>
      <c r="J1006" t="str">
        <f t="shared" si="134"/>
        <v>GrollNecromancerCon</v>
      </c>
    </row>
    <row r="1007" spans="1:10" x14ac:dyDescent="0.3">
      <c r="A1007" s="1" t="str">
        <f t="shared" si="136"/>
        <v>Groll</v>
      </c>
      <c r="B1007" s="1" t="s">
        <v>91</v>
      </c>
      <c r="C1007" s="1" t="s">
        <v>5</v>
      </c>
      <c r="D1007">
        <f t="shared" si="129"/>
        <v>-1</v>
      </c>
      <c r="E1007">
        <f t="shared" si="130"/>
        <v>2</v>
      </c>
      <c r="F1007">
        <f t="shared" si="135"/>
        <v>1</v>
      </c>
      <c r="G1007">
        <f t="shared" si="131"/>
        <v>9</v>
      </c>
      <c r="H1007">
        <f t="shared" si="132"/>
        <v>14</v>
      </c>
      <c r="I1007">
        <f t="shared" si="133"/>
        <v>90</v>
      </c>
      <c r="J1007" t="str">
        <f t="shared" si="134"/>
        <v>GrollNecromancerCha</v>
      </c>
    </row>
    <row r="1008" spans="1:10" x14ac:dyDescent="0.3">
      <c r="A1008" s="1" t="str">
        <f t="shared" si="136"/>
        <v>Groll</v>
      </c>
      <c r="B1008" s="1" t="s">
        <v>91</v>
      </c>
      <c r="C1008" s="1" t="s">
        <v>6</v>
      </c>
      <c r="D1008">
        <f t="shared" si="129"/>
        <v>-1</v>
      </c>
      <c r="E1008">
        <f t="shared" si="130"/>
        <v>3</v>
      </c>
      <c r="F1008">
        <f t="shared" si="135"/>
        <v>2</v>
      </c>
      <c r="G1008">
        <f t="shared" si="131"/>
        <v>8</v>
      </c>
      <c r="H1008">
        <f t="shared" si="132"/>
        <v>12</v>
      </c>
      <c r="I1008">
        <f t="shared" si="133"/>
        <v>100</v>
      </c>
      <c r="J1008" t="str">
        <f t="shared" si="134"/>
        <v>GrollNecromancerBra</v>
      </c>
    </row>
    <row r="1009" spans="1:10" x14ac:dyDescent="0.3">
      <c r="A1009" s="1" t="str">
        <f t="shared" si="136"/>
        <v>Groll</v>
      </c>
      <c r="B1009" s="1" t="s">
        <v>91</v>
      </c>
      <c r="C1009" s="1" t="s">
        <v>7</v>
      </c>
      <c r="D1009">
        <f t="shared" si="129"/>
        <v>2</v>
      </c>
      <c r="E1009">
        <f t="shared" si="130"/>
        <v>-2</v>
      </c>
      <c r="F1009">
        <f t="shared" si="135"/>
        <v>0</v>
      </c>
      <c r="G1009">
        <f t="shared" si="131"/>
        <v>10</v>
      </c>
      <c r="H1009">
        <f t="shared" si="132"/>
        <v>0</v>
      </c>
      <c r="I1009">
        <f t="shared" si="133"/>
        <v>80</v>
      </c>
      <c r="J1009" t="str">
        <f t="shared" si="134"/>
        <v>GrollNecromancerHP</v>
      </c>
    </row>
    <row r="1010" spans="1:10" x14ac:dyDescent="0.3">
      <c r="A1010" s="1" t="str">
        <f t="shared" si="136"/>
        <v>Groll</v>
      </c>
      <c r="B1010" s="1" t="s">
        <v>15</v>
      </c>
      <c r="C1010" s="1" t="s">
        <v>0</v>
      </c>
      <c r="D1010">
        <f t="shared" si="129"/>
        <v>-3</v>
      </c>
      <c r="E1010">
        <f t="shared" si="130"/>
        <v>-7</v>
      </c>
      <c r="F1010">
        <f t="shared" si="135"/>
        <v>-10</v>
      </c>
      <c r="G1010">
        <f t="shared" si="131"/>
        <v>31</v>
      </c>
      <c r="H1010">
        <f t="shared" si="132"/>
        <v>0</v>
      </c>
      <c r="I1010">
        <f t="shared" si="133"/>
        <v>0</v>
      </c>
      <c r="J1010" t="str">
        <f t="shared" si="134"/>
        <v>GrollPriestMag</v>
      </c>
    </row>
    <row r="1011" spans="1:10" x14ac:dyDescent="0.3">
      <c r="A1011" s="1" t="str">
        <f t="shared" si="136"/>
        <v>Groll</v>
      </c>
      <c r="B1011" s="1" t="s">
        <v>15</v>
      </c>
      <c r="C1011" s="1" t="s">
        <v>1</v>
      </c>
      <c r="D1011">
        <f t="shared" si="129"/>
        <v>-2</v>
      </c>
      <c r="E1011">
        <f t="shared" si="130"/>
        <v>3</v>
      </c>
      <c r="F1011">
        <f t="shared" si="135"/>
        <v>1</v>
      </c>
      <c r="G1011">
        <f t="shared" si="131"/>
        <v>9</v>
      </c>
      <c r="H1011">
        <f t="shared" si="132"/>
        <v>14</v>
      </c>
      <c r="I1011">
        <f t="shared" si="133"/>
        <v>90</v>
      </c>
      <c r="J1011" t="str">
        <f t="shared" si="134"/>
        <v>GrollPriestDiv</v>
      </c>
    </row>
    <row r="1012" spans="1:10" x14ac:dyDescent="0.3">
      <c r="A1012" s="1" t="str">
        <f t="shared" si="136"/>
        <v>Groll</v>
      </c>
      <c r="B1012" s="1" t="s">
        <v>15</v>
      </c>
      <c r="C1012" s="1" t="s">
        <v>2</v>
      </c>
      <c r="D1012">
        <f t="shared" si="129"/>
        <v>4</v>
      </c>
      <c r="E1012">
        <f t="shared" si="130"/>
        <v>0</v>
      </c>
      <c r="F1012">
        <f t="shared" si="135"/>
        <v>4</v>
      </c>
      <c r="G1012">
        <f t="shared" si="131"/>
        <v>6</v>
      </c>
      <c r="H1012">
        <f t="shared" si="132"/>
        <v>9</v>
      </c>
      <c r="I1012">
        <f t="shared" si="133"/>
        <v>108</v>
      </c>
      <c r="J1012" t="str">
        <f t="shared" si="134"/>
        <v>GrollPriestStr</v>
      </c>
    </row>
    <row r="1013" spans="1:10" x14ac:dyDescent="0.3">
      <c r="A1013" s="1" t="str">
        <f t="shared" si="136"/>
        <v>Groll</v>
      </c>
      <c r="B1013" s="1" t="s">
        <v>15</v>
      </c>
      <c r="C1013" s="1" t="s">
        <v>3</v>
      </c>
      <c r="D1013">
        <f t="shared" si="129"/>
        <v>0</v>
      </c>
      <c r="E1013">
        <f t="shared" si="130"/>
        <v>-2</v>
      </c>
      <c r="F1013">
        <f t="shared" si="135"/>
        <v>-2</v>
      </c>
      <c r="G1013">
        <f t="shared" si="131"/>
        <v>16</v>
      </c>
      <c r="H1013">
        <f t="shared" si="132"/>
        <v>0</v>
      </c>
      <c r="I1013">
        <f t="shared" si="133"/>
        <v>60</v>
      </c>
      <c r="J1013" t="str">
        <f t="shared" si="134"/>
        <v>GrollPriestDex</v>
      </c>
    </row>
    <row r="1014" spans="1:10" x14ac:dyDescent="0.3">
      <c r="A1014" s="1" t="str">
        <f t="shared" si="136"/>
        <v>Groll</v>
      </c>
      <c r="B1014" s="1" t="s">
        <v>15</v>
      </c>
      <c r="C1014" s="1" t="s">
        <v>4</v>
      </c>
      <c r="D1014">
        <f t="shared" si="129"/>
        <v>1</v>
      </c>
      <c r="E1014">
        <f t="shared" si="130"/>
        <v>-3</v>
      </c>
      <c r="F1014">
        <f t="shared" si="135"/>
        <v>-2</v>
      </c>
      <c r="G1014">
        <f t="shared" si="131"/>
        <v>16</v>
      </c>
      <c r="H1014">
        <f t="shared" si="132"/>
        <v>0</v>
      </c>
      <c r="I1014">
        <f t="shared" si="133"/>
        <v>60</v>
      </c>
      <c r="J1014" t="str">
        <f t="shared" si="134"/>
        <v>GrollPriestCon</v>
      </c>
    </row>
    <row r="1015" spans="1:10" x14ac:dyDescent="0.3">
      <c r="A1015" s="1" t="str">
        <f t="shared" si="136"/>
        <v>Groll</v>
      </c>
      <c r="B1015" s="1" t="s">
        <v>15</v>
      </c>
      <c r="C1015" s="1" t="s">
        <v>5</v>
      </c>
      <c r="D1015">
        <f t="shared" si="129"/>
        <v>-1</v>
      </c>
      <c r="E1015">
        <f t="shared" si="130"/>
        <v>2</v>
      </c>
      <c r="F1015">
        <f t="shared" si="135"/>
        <v>1</v>
      </c>
      <c r="G1015">
        <f t="shared" si="131"/>
        <v>9</v>
      </c>
      <c r="H1015">
        <f t="shared" si="132"/>
        <v>14</v>
      </c>
      <c r="I1015">
        <f t="shared" si="133"/>
        <v>90</v>
      </c>
      <c r="J1015" t="str">
        <f t="shared" si="134"/>
        <v>GrollPriestCha</v>
      </c>
    </row>
    <row r="1016" spans="1:10" x14ac:dyDescent="0.3">
      <c r="A1016" s="1" t="str">
        <f t="shared" si="136"/>
        <v>Groll</v>
      </c>
      <c r="B1016" s="1" t="s">
        <v>15</v>
      </c>
      <c r="C1016" s="1" t="s">
        <v>6</v>
      </c>
      <c r="D1016">
        <f t="shared" si="129"/>
        <v>-1</v>
      </c>
      <c r="E1016">
        <f t="shared" si="130"/>
        <v>1</v>
      </c>
      <c r="F1016">
        <f t="shared" si="135"/>
        <v>0</v>
      </c>
      <c r="G1016">
        <f t="shared" si="131"/>
        <v>10</v>
      </c>
      <c r="H1016">
        <f t="shared" si="132"/>
        <v>0</v>
      </c>
      <c r="I1016">
        <f t="shared" si="133"/>
        <v>80</v>
      </c>
      <c r="J1016" t="str">
        <f t="shared" si="134"/>
        <v>GrollPriestBra</v>
      </c>
    </row>
    <row r="1017" spans="1:10" x14ac:dyDescent="0.3">
      <c r="A1017" s="1" t="str">
        <f t="shared" si="136"/>
        <v>Groll</v>
      </c>
      <c r="B1017" s="1" t="s">
        <v>15</v>
      </c>
      <c r="C1017" s="1" t="s">
        <v>7</v>
      </c>
      <c r="D1017">
        <f t="shared" si="129"/>
        <v>2</v>
      </c>
      <c r="E1017">
        <f t="shared" si="130"/>
        <v>-1</v>
      </c>
      <c r="F1017">
        <f t="shared" si="135"/>
        <v>1</v>
      </c>
      <c r="G1017">
        <f t="shared" si="131"/>
        <v>9</v>
      </c>
      <c r="H1017">
        <f t="shared" si="132"/>
        <v>14</v>
      </c>
      <c r="I1017">
        <f t="shared" si="133"/>
        <v>90</v>
      </c>
      <c r="J1017" t="str">
        <f t="shared" si="134"/>
        <v>GrollPriestHP</v>
      </c>
    </row>
    <row r="1018" spans="1:10" x14ac:dyDescent="0.3">
      <c r="A1018" s="1" t="str">
        <f t="shared" si="136"/>
        <v>Groll</v>
      </c>
      <c r="B1018" s="1" t="s">
        <v>92</v>
      </c>
      <c r="C1018" s="1" t="s">
        <v>0</v>
      </c>
      <c r="D1018">
        <f t="shared" si="129"/>
        <v>-3</v>
      </c>
      <c r="E1018">
        <f t="shared" si="130"/>
        <v>2</v>
      </c>
      <c r="F1018">
        <f t="shared" si="135"/>
        <v>-1</v>
      </c>
      <c r="G1018">
        <f t="shared" si="131"/>
        <v>13</v>
      </c>
      <c r="H1018">
        <f t="shared" si="132"/>
        <v>0</v>
      </c>
      <c r="I1018">
        <f t="shared" si="133"/>
        <v>70</v>
      </c>
      <c r="J1018" t="str">
        <f t="shared" si="134"/>
        <v>GrollMageMag</v>
      </c>
    </row>
    <row r="1019" spans="1:10" x14ac:dyDescent="0.3">
      <c r="A1019" s="1" t="str">
        <f t="shared" si="136"/>
        <v>Groll</v>
      </c>
      <c r="B1019" s="1" t="s">
        <v>92</v>
      </c>
      <c r="C1019" s="1" t="s">
        <v>1</v>
      </c>
      <c r="D1019">
        <f t="shared" si="129"/>
        <v>-2</v>
      </c>
      <c r="E1019">
        <f t="shared" si="130"/>
        <v>-7</v>
      </c>
      <c r="F1019">
        <f t="shared" si="135"/>
        <v>-9</v>
      </c>
      <c r="G1019">
        <f t="shared" si="131"/>
        <v>31</v>
      </c>
      <c r="H1019">
        <f t="shared" si="132"/>
        <v>0</v>
      </c>
      <c r="I1019">
        <f t="shared" si="133"/>
        <v>0</v>
      </c>
      <c r="J1019" t="str">
        <f t="shared" si="134"/>
        <v>GrollMageDiv</v>
      </c>
    </row>
    <row r="1020" spans="1:10" x14ac:dyDescent="0.3">
      <c r="A1020" s="1" t="str">
        <f t="shared" si="136"/>
        <v>Groll</v>
      </c>
      <c r="B1020" s="1" t="s">
        <v>92</v>
      </c>
      <c r="C1020" s="1" t="s">
        <v>2</v>
      </c>
      <c r="D1020">
        <f t="shared" si="129"/>
        <v>4</v>
      </c>
      <c r="E1020">
        <f t="shared" si="130"/>
        <v>-3</v>
      </c>
      <c r="F1020">
        <f t="shared" si="135"/>
        <v>1</v>
      </c>
      <c r="G1020">
        <f t="shared" si="131"/>
        <v>9</v>
      </c>
      <c r="H1020">
        <f t="shared" si="132"/>
        <v>14</v>
      </c>
      <c r="I1020">
        <f t="shared" si="133"/>
        <v>90</v>
      </c>
      <c r="J1020" t="str">
        <f t="shared" si="134"/>
        <v>GrollMageStr</v>
      </c>
    </row>
    <row r="1021" spans="1:10" x14ac:dyDescent="0.3">
      <c r="A1021" s="1" t="str">
        <f t="shared" si="136"/>
        <v>Groll</v>
      </c>
      <c r="B1021" s="1" t="s">
        <v>92</v>
      </c>
      <c r="C1021" s="1" t="s">
        <v>3</v>
      </c>
      <c r="D1021">
        <f t="shared" si="129"/>
        <v>0</v>
      </c>
      <c r="E1021">
        <f t="shared" si="130"/>
        <v>0</v>
      </c>
      <c r="F1021">
        <f t="shared" si="135"/>
        <v>0</v>
      </c>
      <c r="G1021">
        <f t="shared" si="131"/>
        <v>10</v>
      </c>
      <c r="H1021">
        <f t="shared" si="132"/>
        <v>0</v>
      </c>
      <c r="I1021">
        <f t="shared" si="133"/>
        <v>80</v>
      </c>
      <c r="J1021" t="str">
        <f t="shared" si="134"/>
        <v>GrollMageDex</v>
      </c>
    </row>
    <row r="1022" spans="1:10" x14ac:dyDescent="0.3">
      <c r="A1022" s="1" t="str">
        <f t="shared" si="136"/>
        <v>Groll</v>
      </c>
      <c r="B1022" s="1" t="s">
        <v>92</v>
      </c>
      <c r="C1022" s="1" t="s">
        <v>4</v>
      </c>
      <c r="D1022">
        <f t="shared" si="129"/>
        <v>1</v>
      </c>
      <c r="E1022">
        <f t="shared" si="130"/>
        <v>-1</v>
      </c>
      <c r="F1022">
        <f t="shared" si="135"/>
        <v>0</v>
      </c>
      <c r="G1022">
        <f t="shared" si="131"/>
        <v>10</v>
      </c>
      <c r="H1022">
        <f t="shared" si="132"/>
        <v>0</v>
      </c>
      <c r="I1022">
        <f t="shared" si="133"/>
        <v>80</v>
      </c>
      <c r="J1022" t="str">
        <f t="shared" si="134"/>
        <v>GrollMageCon</v>
      </c>
    </row>
    <row r="1023" spans="1:10" x14ac:dyDescent="0.3">
      <c r="A1023" s="1" t="str">
        <f t="shared" si="136"/>
        <v>Groll</v>
      </c>
      <c r="B1023" s="1" t="s">
        <v>92</v>
      </c>
      <c r="C1023" s="1" t="s">
        <v>5</v>
      </c>
      <c r="D1023">
        <f t="shared" si="129"/>
        <v>-1</v>
      </c>
      <c r="E1023">
        <f t="shared" si="130"/>
        <v>1</v>
      </c>
      <c r="F1023">
        <f t="shared" si="135"/>
        <v>0</v>
      </c>
      <c r="G1023">
        <f t="shared" si="131"/>
        <v>10</v>
      </c>
      <c r="H1023">
        <f t="shared" si="132"/>
        <v>0</v>
      </c>
      <c r="I1023">
        <f t="shared" si="133"/>
        <v>80</v>
      </c>
      <c r="J1023" t="str">
        <f t="shared" si="134"/>
        <v>GrollMageCha</v>
      </c>
    </row>
    <row r="1024" spans="1:10" x14ac:dyDescent="0.3">
      <c r="A1024" s="1" t="str">
        <f t="shared" si="136"/>
        <v>Groll</v>
      </c>
      <c r="B1024" s="1" t="s">
        <v>92</v>
      </c>
      <c r="C1024" s="1" t="s">
        <v>6</v>
      </c>
      <c r="D1024">
        <f t="shared" si="129"/>
        <v>-1</v>
      </c>
      <c r="E1024">
        <f t="shared" si="130"/>
        <v>3</v>
      </c>
      <c r="F1024">
        <f t="shared" si="135"/>
        <v>2</v>
      </c>
      <c r="G1024">
        <f t="shared" si="131"/>
        <v>8</v>
      </c>
      <c r="H1024">
        <f t="shared" si="132"/>
        <v>12</v>
      </c>
      <c r="I1024">
        <f t="shared" si="133"/>
        <v>100</v>
      </c>
      <c r="J1024" t="str">
        <f t="shared" si="134"/>
        <v>GrollMageBra</v>
      </c>
    </row>
    <row r="1025" spans="1:10" x14ac:dyDescent="0.3">
      <c r="A1025" s="1" t="str">
        <f t="shared" si="136"/>
        <v>Groll</v>
      </c>
      <c r="B1025" s="1" t="s">
        <v>92</v>
      </c>
      <c r="C1025" s="1" t="s">
        <v>7</v>
      </c>
      <c r="D1025">
        <f t="shared" si="129"/>
        <v>2</v>
      </c>
      <c r="E1025">
        <f t="shared" si="130"/>
        <v>-2</v>
      </c>
      <c r="F1025">
        <f t="shared" si="135"/>
        <v>0</v>
      </c>
      <c r="G1025">
        <f t="shared" si="131"/>
        <v>10</v>
      </c>
      <c r="H1025">
        <f t="shared" si="132"/>
        <v>0</v>
      </c>
      <c r="I1025">
        <f t="shared" si="133"/>
        <v>80</v>
      </c>
      <c r="J1025" t="str">
        <f t="shared" si="134"/>
        <v>GrollMageHP</v>
      </c>
    </row>
    <row r="1026" spans="1:10" x14ac:dyDescent="0.3">
      <c r="A1026" s="1" t="str">
        <f t="shared" si="136"/>
        <v>Groll</v>
      </c>
      <c r="B1026" s="1" t="s">
        <v>62</v>
      </c>
      <c r="C1026" s="1" t="s">
        <v>0</v>
      </c>
      <c r="D1026">
        <f t="shared" ref="D1026:D1089" si="137">INDEX(TblRaceValues,MATCH(C1026, TblAbilities, 0),MATCH(A1026,TblRaces,0))</f>
        <v>-3</v>
      </c>
      <c r="E1026">
        <f t="shared" ref="E1026:E1089" si="138">INDEX(TblProfessionValues,MATCH(C1026,TblAbilities,0),MATCH(B1026,TblProfessions,0))</f>
        <v>3</v>
      </c>
      <c r="F1026">
        <f t="shared" si="135"/>
        <v>0</v>
      </c>
      <c r="G1026">
        <f t="shared" ref="G1026:G1089" si="139">HLOOKUP(MIN(MAX(-7,F1026),7),TblPracticeCost,2)</f>
        <v>10</v>
      </c>
      <c r="H1026">
        <f t="shared" ref="H1026:H1089" si="140">HLOOKUP(MIN(MAX(-7,F1026),7),TblPracticeCost,3)</f>
        <v>0</v>
      </c>
      <c r="I1026">
        <f t="shared" ref="I1026:I1089" si="141">VLOOKUP(MIN(MAX(-7,F1026),7),TblBonusMaxSkill,2)</f>
        <v>80</v>
      </c>
      <c r="J1026" t="str">
        <f t="shared" si="134"/>
        <v>GrollSorcererMag</v>
      </c>
    </row>
    <row r="1027" spans="1:10" x14ac:dyDescent="0.3">
      <c r="A1027" s="1" t="str">
        <f t="shared" si="136"/>
        <v>Groll</v>
      </c>
      <c r="B1027" s="1" t="s">
        <v>62</v>
      </c>
      <c r="C1027" s="1" t="s">
        <v>1</v>
      </c>
      <c r="D1027">
        <f t="shared" si="137"/>
        <v>-2</v>
      </c>
      <c r="E1027">
        <f t="shared" si="138"/>
        <v>-7</v>
      </c>
      <c r="F1027">
        <f t="shared" si="135"/>
        <v>-9</v>
      </c>
      <c r="G1027">
        <f t="shared" si="139"/>
        <v>31</v>
      </c>
      <c r="H1027">
        <f t="shared" si="140"/>
        <v>0</v>
      </c>
      <c r="I1027">
        <f t="shared" si="141"/>
        <v>0</v>
      </c>
      <c r="J1027" t="str">
        <f t="shared" ref="J1027:J1090" si="142">A1027&amp;B1027&amp;C1027</f>
        <v>GrollSorcererDiv</v>
      </c>
    </row>
    <row r="1028" spans="1:10" x14ac:dyDescent="0.3">
      <c r="A1028" s="1" t="str">
        <f t="shared" si="136"/>
        <v>Groll</v>
      </c>
      <c r="B1028" s="1" t="s">
        <v>62</v>
      </c>
      <c r="C1028" s="1" t="s">
        <v>2</v>
      </c>
      <c r="D1028">
        <f t="shared" si="137"/>
        <v>4</v>
      </c>
      <c r="E1028">
        <f t="shared" si="138"/>
        <v>-3</v>
      </c>
      <c r="F1028">
        <f t="shared" si="135"/>
        <v>1</v>
      </c>
      <c r="G1028">
        <f t="shared" si="139"/>
        <v>9</v>
      </c>
      <c r="H1028">
        <f t="shared" si="140"/>
        <v>14</v>
      </c>
      <c r="I1028">
        <f t="shared" si="141"/>
        <v>90</v>
      </c>
      <c r="J1028" t="str">
        <f t="shared" si="142"/>
        <v>GrollSorcererStr</v>
      </c>
    </row>
    <row r="1029" spans="1:10" x14ac:dyDescent="0.3">
      <c r="A1029" s="1" t="str">
        <f t="shared" si="136"/>
        <v>Groll</v>
      </c>
      <c r="B1029" s="1" t="s">
        <v>62</v>
      </c>
      <c r="C1029" s="1" t="s">
        <v>3</v>
      </c>
      <c r="D1029">
        <f t="shared" si="137"/>
        <v>0</v>
      </c>
      <c r="E1029">
        <f t="shared" si="138"/>
        <v>0</v>
      </c>
      <c r="F1029">
        <f t="shared" si="135"/>
        <v>0</v>
      </c>
      <c r="G1029">
        <f t="shared" si="139"/>
        <v>10</v>
      </c>
      <c r="H1029">
        <f t="shared" si="140"/>
        <v>0</v>
      </c>
      <c r="I1029">
        <f t="shared" si="141"/>
        <v>80</v>
      </c>
      <c r="J1029" t="str">
        <f t="shared" si="142"/>
        <v>GrollSorcererDex</v>
      </c>
    </row>
    <row r="1030" spans="1:10" x14ac:dyDescent="0.3">
      <c r="A1030" s="1" t="str">
        <f t="shared" si="136"/>
        <v>Groll</v>
      </c>
      <c r="B1030" s="1" t="s">
        <v>62</v>
      </c>
      <c r="C1030" s="1" t="s">
        <v>4</v>
      </c>
      <c r="D1030">
        <f t="shared" si="137"/>
        <v>1</v>
      </c>
      <c r="E1030">
        <f t="shared" si="138"/>
        <v>-2</v>
      </c>
      <c r="F1030">
        <f t="shared" si="135"/>
        <v>-1</v>
      </c>
      <c r="G1030">
        <f t="shared" si="139"/>
        <v>13</v>
      </c>
      <c r="H1030">
        <f t="shared" si="140"/>
        <v>0</v>
      </c>
      <c r="I1030">
        <f t="shared" si="141"/>
        <v>70</v>
      </c>
      <c r="J1030" t="str">
        <f t="shared" si="142"/>
        <v>GrollSorcererCon</v>
      </c>
    </row>
    <row r="1031" spans="1:10" x14ac:dyDescent="0.3">
      <c r="A1031" s="1" t="str">
        <f t="shared" si="136"/>
        <v>Groll</v>
      </c>
      <c r="B1031" s="1" t="s">
        <v>62</v>
      </c>
      <c r="C1031" s="1" t="s">
        <v>5</v>
      </c>
      <c r="D1031">
        <f t="shared" si="137"/>
        <v>-1</v>
      </c>
      <c r="E1031">
        <f t="shared" si="138"/>
        <v>1</v>
      </c>
      <c r="F1031">
        <f t="shared" si="135"/>
        <v>0</v>
      </c>
      <c r="G1031">
        <f t="shared" si="139"/>
        <v>10</v>
      </c>
      <c r="H1031">
        <f t="shared" si="140"/>
        <v>0</v>
      </c>
      <c r="I1031">
        <f t="shared" si="141"/>
        <v>80</v>
      </c>
      <c r="J1031" t="str">
        <f t="shared" si="142"/>
        <v>GrollSorcererCha</v>
      </c>
    </row>
    <row r="1032" spans="1:10" x14ac:dyDescent="0.3">
      <c r="A1032" s="1" t="str">
        <f t="shared" si="136"/>
        <v>Groll</v>
      </c>
      <c r="B1032" s="1" t="s">
        <v>62</v>
      </c>
      <c r="C1032" s="1" t="s">
        <v>6</v>
      </c>
      <c r="D1032">
        <f t="shared" si="137"/>
        <v>-1</v>
      </c>
      <c r="E1032">
        <f t="shared" si="138"/>
        <v>2</v>
      </c>
      <c r="F1032">
        <f t="shared" si="135"/>
        <v>1</v>
      </c>
      <c r="G1032">
        <f t="shared" si="139"/>
        <v>9</v>
      </c>
      <c r="H1032">
        <f t="shared" si="140"/>
        <v>14</v>
      </c>
      <c r="I1032">
        <f t="shared" si="141"/>
        <v>90</v>
      </c>
      <c r="J1032" t="str">
        <f t="shared" si="142"/>
        <v>GrollSorcererBra</v>
      </c>
    </row>
    <row r="1033" spans="1:10" x14ac:dyDescent="0.3">
      <c r="A1033" s="1" t="str">
        <f t="shared" si="136"/>
        <v>Groll</v>
      </c>
      <c r="B1033" s="1" t="s">
        <v>62</v>
      </c>
      <c r="C1033" s="1" t="s">
        <v>7</v>
      </c>
      <c r="D1033">
        <f t="shared" si="137"/>
        <v>2</v>
      </c>
      <c r="E1033">
        <f t="shared" si="138"/>
        <v>-1</v>
      </c>
      <c r="F1033">
        <f t="shared" si="135"/>
        <v>1</v>
      </c>
      <c r="G1033">
        <f t="shared" si="139"/>
        <v>9</v>
      </c>
      <c r="H1033">
        <f t="shared" si="140"/>
        <v>14</v>
      </c>
      <c r="I1033">
        <f t="shared" si="141"/>
        <v>90</v>
      </c>
      <c r="J1033" t="str">
        <f t="shared" si="142"/>
        <v>GrollSorcererHP</v>
      </c>
    </row>
    <row r="1034" spans="1:10" x14ac:dyDescent="0.3">
      <c r="A1034" s="1" t="str">
        <f t="shared" si="136"/>
        <v>Groll</v>
      </c>
      <c r="B1034" s="1" t="s">
        <v>22</v>
      </c>
      <c r="C1034" s="1" t="s">
        <v>0</v>
      </c>
      <c r="D1034">
        <f t="shared" si="137"/>
        <v>-3</v>
      </c>
      <c r="E1034">
        <f t="shared" si="138"/>
        <v>-5</v>
      </c>
      <c r="F1034">
        <f t="shared" si="135"/>
        <v>-8</v>
      </c>
      <c r="G1034">
        <f t="shared" si="139"/>
        <v>31</v>
      </c>
      <c r="H1034">
        <f t="shared" si="140"/>
        <v>0</v>
      </c>
      <c r="I1034">
        <f t="shared" si="141"/>
        <v>0</v>
      </c>
      <c r="J1034" t="str">
        <f t="shared" si="142"/>
        <v>GrollBarbarianMag</v>
      </c>
    </row>
    <row r="1035" spans="1:10" x14ac:dyDescent="0.3">
      <c r="A1035" s="1" t="str">
        <f t="shared" si="136"/>
        <v>Groll</v>
      </c>
      <c r="B1035" s="1" t="s">
        <v>22</v>
      </c>
      <c r="C1035" s="1" t="s">
        <v>1</v>
      </c>
      <c r="D1035">
        <f t="shared" si="137"/>
        <v>-2</v>
      </c>
      <c r="E1035">
        <f t="shared" si="138"/>
        <v>-7</v>
      </c>
      <c r="F1035">
        <f t="shared" si="135"/>
        <v>-9</v>
      </c>
      <c r="G1035">
        <f t="shared" si="139"/>
        <v>31</v>
      </c>
      <c r="H1035">
        <f t="shared" si="140"/>
        <v>0</v>
      </c>
      <c r="I1035">
        <f t="shared" si="141"/>
        <v>0</v>
      </c>
      <c r="J1035" t="str">
        <f t="shared" si="142"/>
        <v>GrollBarbarianDiv</v>
      </c>
    </row>
    <row r="1036" spans="1:10" x14ac:dyDescent="0.3">
      <c r="A1036" s="1" t="str">
        <f t="shared" si="136"/>
        <v>Groll</v>
      </c>
      <c r="B1036" s="1" t="s">
        <v>22</v>
      </c>
      <c r="C1036" s="1" t="s">
        <v>2</v>
      </c>
      <c r="D1036">
        <f t="shared" si="137"/>
        <v>4</v>
      </c>
      <c r="E1036">
        <f t="shared" si="138"/>
        <v>3</v>
      </c>
      <c r="F1036">
        <f t="shared" si="135"/>
        <v>7</v>
      </c>
      <c r="G1036">
        <f t="shared" si="139"/>
        <v>5</v>
      </c>
      <c r="H1036">
        <f t="shared" si="140"/>
        <v>8</v>
      </c>
      <c r="I1036">
        <f t="shared" si="141"/>
        <v>112</v>
      </c>
      <c r="J1036" t="str">
        <f t="shared" si="142"/>
        <v>GrollBarbarianStr</v>
      </c>
    </row>
    <row r="1037" spans="1:10" x14ac:dyDescent="0.3">
      <c r="A1037" s="1" t="str">
        <f t="shared" si="136"/>
        <v>Groll</v>
      </c>
      <c r="B1037" s="1" t="s">
        <v>22</v>
      </c>
      <c r="C1037" s="1" t="s">
        <v>3</v>
      </c>
      <c r="D1037">
        <f t="shared" si="137"/>
        <v>0</v>
      </c>
      <c r="E1037">
        <f t="shared" si="138"/>
        <v>2</v>
      </c>
      <c r="F1037">
        <f t="shared" si="135"/>
        <v>2</v>
      </c>
      <c r="G1037">
        <f t="shared" si="139"/>
        <v>8</v>
      </c>
      <c r="H1037">
        <f t="shared" si="140"/>
        <v>12</v>
      </c>
      <c r="I1037">
        <f t="shared" si="141"/>
        <v>100</v>
      </c>
      <c r="J1037" t="str">
        <f t="shared" si="142"/>
        <v>GrollBarbarianDex</v>
      </c>
    </row>
    <row r="1038" spans="1:10" x14ac:dyDescent="0.3">
      <c r="A1038" s="1" t="str">
        <f t="shared" si="136"/>
        <v>Groll</v>
      </c>
      <c r="B1038" s="1" t="s">
        <v>22</v>
      </c>
      <c r="C1038" s="1" t="s">
        <v>4</v>
      </c>
      <c r="D1038">
        <f t="shared" si="137"/>
        <v>1</v>
      </c>
      <c r="E1038">
        <f t="shared" si="138"/>
        <v>0</v>
      </c>
      <c r="F1038">
        <f t="shared" si="135"/>
        <v>1</v>
      </c>
      <c r="G1038">
        <f t="shared" si="139"/>
        <v>9</v>
      </c>
      <c r="H1038">
        <f t="shared" si="140"/>
        <v>14</v>
      </c>
      <c r="I1038">
        <f t="shared" si="141"/>
        <v>90</v>
      </c>
      <c r="J1038" t="str">
        <f t="shared" si="142"/>
        <v>GrollBarbarianCon</v>
      </c>
    </row>
    <row r="1039" spans="1:10" x14ac:dyDescent="0.3">
      <c r="A1039" s="1" t="str">
        <f t="shared" si="136"/>
        <v>Groll</v>
      </c>
      <c r="B1039" s="1" t="s">
        <v>22</v>
      </c>
      <c r="C1039" s="1" t="s">
        <v>5</v>
      </c>
      <c r="D1039">
        <f t="shared" si="137"/>
        <v>-1</v>
      </c>
      <c r="E1039">
        <f t="shared" si="138"/>
        <v>-1</v>
      </c>
      <c r="F1039">
        <f t="shared" si="135"/>
        <v>-2</v>
      </c>
      <c r="G1039">
        <f t="shared" si="139"/>
        <v>16</v>
      </c>
      <c r="H1039">
        <f t="shared" si="140"/>
        <v>0</v>
      </c>
      <c r="I1039">
        <f t="shared" si="141"/>
        <v>60</v>
      </c>
      <c r="J1039" t="str">
        <f t="shared" si="142"/>
        <v>GrollBarbarianCha</v>
      </c>
    </row>
    <row r="1040" spans="1:10" x14ac:dyDescent="0.3">
      <c r="A1040" s="1" t="str">
        <f t="shared" si="136"/>
        <v>Groll</v>
      </c>
      <c r="B1040" s="1" t="s">
        <v>22</v>
      </c>
      <c r="C1040" s="1" t="s">
        <v>6</v>
      </c>
      <c r="D1040">
        <f t="shared" si="137"/>
        <v>-1</v>
      </c>
      <c r="E1040">
        <f t="shared" si="138"/>
        <v>-2</v>
      </c>
      <c r="F1040">
        <f t="shared" si="135"/>
        <v>-3</v>
      </c>
      <c r="G1040">
        <f t="shared" si="139"/>
        <v>19</v>
      </c>
      <c r="H1040">
        <f t="shared" si="140"/>
        <v>0</v>
      </c>
      <c r="I1040">
        <f t="shared" si="141"/>
        <v>50</v>
      </c>
      <c r="J1040" t="str">
        <f t="shared" si="142"/>
        <v>GrollBarbarianBra</v>
      </c>
    </row>
    <row r="1041" spans="1:10" x14ac:dyDescent="0.3">
      <c r="A1041" s="1" t="str">
        <f t="shared" si="136"/>
        <v>Groll</v>
      </c>
      <c r="B1041" s="1" t="s">
        <v>22</v>
      </c>
      <c r="C1041" s="1" t="s">
        <v>7</v>
      </c>
      <c r="D1041">
        <f t="shared" si="137"/>
        <v>2</v>
      </c>
      <c r="E1041">
        <f t="shared" si="138"/>
        <v>1</v>
      </c>
      <c r="F1041">
        <f t="shared" si="135"/>
        <v>3</v>
      </c>
      <c r="G1041">
        <f t="shared" si="139"/>
        <v>7</v>
      </c>
      <c r="H1041">
        <f t="shared" si="140"/>
        <v>11</v>
      </c>
      <c r="I1041">
        <f t="shared" si="141"/>
        <v>105</v>
      </c>
      <c r="J1041" t="str">
        <f t="shared" si="142"/>
        <v>GrollBarbarianHP</v>
      </c>
    </row>
    <row r="1042" spans="1:10" x14ac:dyDescent="0.3">
      <c r="A1042" s="1" t="s">
        <v>47</v>
      </c>
      <c r="B1042" s="1" t="s">
        <v>8</v>
      </c>
      <c r="C1042" s="1" t="s">
        <v>0</v>
      </c>
      <c r="D1042">
        <f t="shared" si="137"/>
        <v>-1</v>
      </c>
      <c r="E1042">
        <f t="shared" si="138"/>
        <v>-7</v>
      </c>
      <c r="F1042">
        <f t="shared" si="135"/>
        <v>-8</v>
      </c>
      <c r="G1042">
        <f t="shared" si="139"/>
        <v>31</v>
      </c>
      <c r="H1042">
        <f t="shared" si="140"/>
        <v>0</v>
      </c>
      <c r="I1042">
        <f t="shared" si="141"/>
        <v>0</v>
      </c>
      <c r="J1042" t="str">
        <f t="shared" si="142"/>
        <v>DarkelfFighterMag</v>
      </c>
    </row>
    <row r="1043" spans="1:10" x14ac:dyDescent="0.3">
      <c r="A1043" s="1" t="str">
        <f>A1042</f>
        <v>Darkelf</v>
      </c>
      <c r="B1043" s="1" t="s">
        <v>8</v>
      </c>
      <c r="C1043" s="1" t="s">
        <v>1</v>
      </c>
      <c r="D1043">
        <f t="shared" si="137"/>
        <v>2</v>
      </c>
      <c r="E1043">
        <f t="shared" si="138"/>
        <v>-5</v>
      </c>
      <c r="F1043">
        <f t="shared" si="135"/>
        <v>-3</v>
      </c>
      <c r="G1043">
        <f t="shared" si="139"/>
        <v>19</v>
      </c>
      <c r="H1043">
        <f t="shared" si="140"/>
        <v>0</v>
      </c>
      <c r="I1043">
        <f t="shared" si="141"/>
        <v>50</v>
      </c>
      <c r="J1043" t="str">
        <f t="shared" si="142"/>
        <v>DarkelfFighterDiv</v>
      </c>
    </row>
    <row r="1044" spans="1:10" x14ac:dyDescent="0.3">
      <c r="A1044" s="1" t="str">
        <f t="shared" ref="A1044:A1107" si="143">A1043</f>
        <v>Darkelf</v>
      </c>
      <c r="B1044" s="1" t="s">
        <v>8</v>
      </c>
      <c r="C1044" s="1" t="s">
        <v>2</v>
      </c>
      <c r="D1044">
        <f t="shared" si="137"/>
        <v>0</v>
      </c>
      <c r="E1044">
        <f t="shared" si="138"/>
        <v>2</v>
      </c>
      <c r="F1044">
        <f t="shared" si="135"/>
        <v>2</v>
      </c>
      <c r="G1044">
        <f t="shared" si="139"/>
        <v>8</v>
      </c>
      <c r="H1044">
        <f t="shared" si="140"/>
        <v>12</v>
      </c>
      <c r="I1044">
        <f t="shared" si="141"/>
        <v>100</v>
      </c>
      <c r="J1044" t="str">
        <f t="shared" si="142"/>
        <v>DarkelfFighterStr</v>
      </c>
    </row>
    <row r="1045" spans="1:10" x14ac:dyDescent="0.3">
      <c r="A1045" s="1" t="str">
        <f t="shared" si="143"/>
        <v>Darkelf</v>
      </c>
      <c r="B1045" s="1" t="s">
        <v>8</v>
      </c>
      <c r="C1045" s="1" t="s">
        <v>3</v>
      </c>
      <c r="D1045">
        <f t="shared" si="137"/>
        <v>1</v>
      </c>
      <c r="E1045">
        <f t="shared" si="138"/>
        <v>0</v>
      </c>
      <c r="F1045">
        <f t="shared" si="135"/>
        <v>1</v>
      </c>
      <c r="G1045">
        <f t="shared" si="139"/>
        <v>9</v>
      </c>
      <c r="H1045">
        <f t="shared" si="140"/>
        <v>14</v>
      </c>
      <c r="I1045">
        <f t="shared" si="141"/>
        <v>90</v>
      </c>
      <c r="J1045" t="str">
        <f t="shared" si="142"/>
        <v>DarkelfFighterDex</v>
      </c>
    </row>
    <row r="1046" spans="1:10" x14ac:dyDescent="0.3">
      <c r="A1046" s="1" t="str">
        <f t="shared" si="143"/>
        <v>Darkelf</v>
      </c>
      <c r="B1046" s="1" t="s">
        <v>8</v>
      </c>
      <c r="C1046" s="1" t="s">
        <v>4</v>
      </c>
      <c r="D1046">
        <f t="shared" si="137"/>
        <v>0</v>
      </c>
      <c r="E1046">
        <f t="shared" si="138"/>
        <v>1</v>
      </c>
      <c r="F1046">
        <f t="shared" si="135"/>
        <v>1</v>
      </c>
      <c r="G1046">
        <f t="shared" si="139"/>
        <v>9</v>
      </c>
      <c r="H1046">
        <f t="shared" si="140"/>
        <v>14</v>
      </c>
      <c r="I1046">
        <f t="shared" si="141"/>
        <v>90</v>
      </c>
      <c r="J1046" t="str">
        <f t="shared" si="142"/>
        <v>DarkelfFighterCon</v>
      </c>
    </row>
    <row r="1047" spans="1:10" x14ac:dyDescent="0.3">
      <c r="A1047" s="1" t="str">
        <f t="shared" si="143"/>
        <v>Darkelf</v>
      </c>
      <c r="B1047" s="1" t="s">
        <v>8</v>
      </c>
      <c r="C1047" s="1" t="s">
        <v>5</v>
      </c>
      <c r="D1047">
        <f t="shared" si="137"/>
        <v>-2</v>
      </c>
      <c r="E1047">
        <f t="shared" si="138"/>
        <v>-2</v>
      </c>
      <c r="F1047">
        <f t="shared" si="135"/>
        <v>-4</v>
      </c>
      <c r="G1047">
        <f t="shared" si="139"/>
        <v>22</v>
      </c>
      <c r="H1047">
        <f t="shared" si="140"/>
        <v>0</v>
      </c>
      <c r="I1047">
        <f t="shared" si="141"/>
        <v>40</v>
      </c>
      <c r="J1047" t="str">
        <f t="shared" si="142"/>
        <v>DarkelfFighterCha</v>
      </c>
    </row>
    <row r="1048" spans="1:10" x14ac:dyDescent="0.3">
      <c r="A1048" s="1" t="str">
        <f t="shared" si="143"/>
        <v>Darkelf</v>
      </c>
      <c r="B1048" s="1" t="s">
        <v>8</v>
      </c>
      <c r="C1048" s="1" t="s">
        <v>6</v>
      </c>
      <c r="D1048">
        <f t="shared" si="137"/>
        <v>0</v>
      </c>
      <c r="E1048">
        <f t="shared" si="138"/>
        <v>-1</v>
      </c>
      <c r="F1048">
        <f t="shared" si="135"/>
        <v>-1</v>
      </c>
      <c r="G1048">
        <f t="shared" si="139"/>
        <v>13</v>
      </c>
      <c r="H1048">
        <f t="shared" si="140"/>
        <v>0</v>
      </c>
      <c r="I1048">
        <f t="shared" si="141"/>
        <v>70</v>
      </c>
      <c r="J1048" t="str">
        <f t="shared" si="142"/>
        <v>DarkelfFighterBra</v>
      </c>
    </row>
    <row r="1049" spans="1:10" x14ac:dyDescent="0.3">
      <c r="A1049" s="1" t="str">
        <f t="shared" si="143"/>
        <v>Darkelf</v>
      </c>
      <c r="B1049" s="1" t="s">
        <v>8</v>
      </c>
      <c r="C1049" s="1" t="s">
        <v>7</v>
      </c>
      <c r="D1049">
        <f t="shared" si="137"/>
        <v>0</v>
      </c>
      <c r="E1049">
        <f t="shared" si="138"/>
        <v>3</v>
      </c>
      <c r="F1049">
        <f t="shared" si="135"/>
        <v>3</v>
      </c>
      <c r="G1049">
        <f t="shared" si="139"/>
        <v>7</v>
      </c>
      <c r="H1049">
        <f t="shared" si="140"/>
        <v>11</v>
      </c>
      <c r="I1049">
        <f t="shared" si="141"/>
        <v>105</v>
      </c>
      <c r="J1049" t="str">
        <f t="shared" si="142"/>
        <v>DarkelfFighterHP</v>
      </c>
    </row>
    <row r="1050" spans="1:10" x14ac:dyDescent="0.3">
      <c r="A1050" s="1" t="str">
        <f t="shared" si="143"/>
        <v>Darkelf</v>
      </c>
      <c r="B1050" s="1" t="s">
        <v>9</v>
      </c>
      <c r="C1050" s="1" t="s">
        <v>0</v>
      </c>
      <c r="D1050">
        <f t="shared" si="137"/>
        <v>-1</v>
      </c>
      <c r="E1050">
        <f t="shared" si="138"/>
        <v>-7</v>
      </c>
      <c r="F1050">
        <f t="shared" si="135"/>
        <v>-8</v>
      </c>
      <c r="G1050">
        <f t="shared" si="139"/>
        <v>31</v>
      </c>
      <c r="H1050">
        <f t="shared" si="140"/>
        <v>0</v>
      </c>
      <c r="I1050">
        <f t="shared" si="141"/>
        <v>0</v>
      </c>
      <c r="J1050" t="str">
        <f t="shared" si="142"/>
        <v>DarkelfKnightMag</v>
      </c>
    </row>
    <row r="1051" spans="1:10" x14ac:dyDescent="0.3">
      <c r="A1051" s="1" t="str">
        <f t="shared" si="143"/>
        <v>Darkelf</v>
      </c>
      <c r="B1051" s="1" t="s">
        <v>9</v>
      </c>
      <c r="C1051" s="1" t="s">
        <v>1</v>
      </c>
      <c r="D1051">
        <f t="shared" si="137"/>
        <v>2</v>
      </c>
      <c r="E1051">
        <f t="shared" si="138"/>
        <v>0</v>
      </c>
      <c r="F1051">
        <f t="shared" ref="F1051:F1114" si="144">E1051+D1051</f>
        <v>2</v>
      </c>
      <c r="G1051">
        <f t="shared" si="139"/>
        <v>8</v>
      </c>
      <c r="H1051">
        <f t="shared" si="140"/>
        <v>12</v>
      </c>
      <c r="I1051">
        <f t="shared" si="141"/>
        <v>100</v>
      </c>
      <c r="J1051" t="str">
        <f t="shared" si="142"/>
        <v>DarkelfKnightDiv</v>
      </c>
    </row>
    <row r="1052" spans="1:10" x14ac:dyDescent="0.3">
      <c r="A1052" s="1" t="str">
        <f t="shared" si="143"/>
        <v>Darkelf</v>
      </c>
      <c r="B1052" s="1" t="s">
        <v>9</v>
      </c>
      <c r="C1052" s="1" t="s">
        <v>2</v>
      </c>
      <c r="D1052">
        <f t="shared" si="137"/>
        <v>0</v>
      </c>
      <c r="E1052">
        <f t="shared" si="138"/>
        <v>2</v>
      </c>
      <c r="F1052">
        <f t="shared" si="144"/>
        <v>2</v>
      </c>
      <c r="G1052">
        <f t="shared" si="139"/>
        <v>8</v>
      </c>
      <c r="H1052">
        <f t="shared" si="140"/>
        <v>12</v>
      </c>
      <c r="I1052">
        <f t="shared" si="141"/>
        <v>100</v>
      </c>
      <c r="J1052" t="str">
        <f t="shared" si="142"/>
        <v>DarkelfKnightStr</v>
      </c>
    </row>
    <row r="1053" spans="1:10" x14ac:dyDescent="0.3">
      <c r="A1053" s="1" t="str">
        <f t="shared" si="143"/>
        <v>Darkelf</v>
      </c>
      <c r="B1053" s="1" t="s">
        <v>9</v>
      </c>
      <c r="C1053" s="1" t="s">
        <v>3</v>
      </c>
      <c r="D1053">
        <f t="shared" si="137"/>
        <v>1</v>
      </c>
      <c r="E1053">
        <f t="shared" si="138"/>
        <v>-1</v>
      </c>
      <c r="F1053">
        <f t="shared" si="144"/>
        <v>0</v>
      </c>
      <c r="G1053">
        <f t="shared" si="139"/>
        <v>10</v>
      </c>
      <c r="H1053">
        <f t="shared" si="140"/>
        <v>0</v>
      </c>
      <c r="I1053">
        <f t="shared" si="141"/>
        <v>80</v>
      </c>
      <c r="J1053" t="str">
        <f t="shared" si="142"/>
        <v>DarkelfKnightDex</v>
      </c>
    </row>
    <row r="1054" spans="1:10" x14ac:dyDescent="0.3">
      <c r="A1054" s="1" t="str">
        <f t="shared" si="143"/>
        <v>Darkelf</v>
      </c>
      <c r="B1054" s="1" t="s">
        <v>9</v>
      </c>
      <c r="C1054" s="1" t="s">
        <v>4</v>
      </c>
      <c r="D1054">
        <f t="shared" si="137"/>
        <v>0</v>
      </c>
      <c r="E1054">
        <f t="shared" si="138"/>
        <v>0</v>
      </c>
      <c r="F1054">
        <f t="shared" si="144"/>
        <v>0</v>
      </c>
      <c r="G1054">
        <f t="shared" si="139"/>
        <v>10</v>
      </c>
      <c r="H1054">
        <f t="shared" si="140"/>
        <v>0</v>
      </c>
      <c r="I1054">
        <f t="shared" si="141"/>
        <v>80</v>
      </c>
      <c r="J1054" t="str">
        <f t="shared" si="142"/>
        <v>DarkelfKnightCon</v>
      </c>
    </row>
    <row r="1055" spans="1:10" x14ac:dyDescent="0.3">
      <c r="A1055" s="1" t="str">
        <f t="shared" si="143"/>
        <v>Darkelf</v>
      </c>
      <c r="B1055" s="1" t="s">
        <v>9</v>
      </c>
      <c r="C1055" s="1" t="s">
        <v>5</v>
      </c>
      <c r="D1055">
        <f t="shared" si="137"/>
        <v>-2</v>
      </c>
      <c r="E1055">
        <f t="shared" si="138"/>
        <v>-2</v>
      </c>
      <c r="F1055">
        <f t="shared" si="144"/>
        <v>-4</v>
      </c>
      <c r="G1055">
        <f t="shared" si="139"/>
        <v>22</v>
      </c>
      <c r="H1055">
        <f t="shared" si="140"/>
        <v>0</v>
      </c>
      <c r="I1055">
        <f t="shared" si="141"/>
        <v>40</v>
      </c>
      <c r="J1055" t="str">
        <f t="shared" si="142"/>
        <v>DarkelfKnightCha</v>
      </c>
    </row>
    <row r="1056" spans="1:10" x14ac:dyDescent="0.3">
      <c r="A1056" s="1" t="str">
        <f t="shared" si="143"/>
        <v>Darkelf</v>
      </c>
      <c r="B1056" s="1" t="s">
        <v>9</v>
      </c>
      <c r="C1056" s="1" t="s">
        <v>6</v>
      </c>
      <c r="D1056">
        <f t="shared" si="137"/>
        <v>0</v>
      </c>
      <c r="E1056">
        <f t="shared" si="138"/>
        <v>0</v>
      </c>
      <c r="F1056">
        <f t="shared" si="144"/>
        <v>0</v>
      </c>
      <c r="G1056">
        <f t="shared" si="139"/>
        <v>10</v>
      </c>
      <c r="H1056">
        <f t="shared" si="140"/>
        <v>0</v>
      </c>
      <c r="I1056">
        <f t="shared" si="141"/>
        <v>80</v>
      </c>
      <c r="J1056" t="str">
        <f t="shared" si="142"/>
        <v>DarkelfKnightBra</v>
      </c>
    </row>
    <row r="1057" spans="1:10" x14ac:dyDescent="0.3">
      <c r="A1057" s="1" t="str">
        <f t="shared" si="143"/>
        <v>Darkelf</v>
      </c>
      <c r="B1057" s="1" t="s">
        <v>9</v>
      </c>
      <c r="C1057" s="1" t="s">
        <v>7</v>
      </c>
      <c r="D1057">
        <f t="shared" si="137"/>
        <v>0</v>
      </c>
      <c r="E1057">
        <f t="shared" si="138"/>
        <v>1</v>
      </c>
      <c r="F1057">
        <f t="shared" si="144"/>
        <v>1</v>
      </c>
      <c r="G1057">
        <f t="shared" si="139"/>
        <v>9</v>
      </c>
      <c r="H1057">
        <f t="shared" si="140"/>
        <v>14</v>
      </c>
      <c r="I1057">
        <f t="shared" si="141"/>
        <v>90</v>
      </c>
      <c r="J1057" t="str">
        <f t="shared" si="142"/>
        <v>DarkelfKnightHP</v>
      </c>
    </row>
    <row r="1058" spans="1:10" x14ac:dyDescent="0.3">
      <c r="A1058" s="1" t="str">
        <f t="shared" si="143"/>
        <v>Darkelf</v>
      </c>
      <c r="B1058" s="1" t="s">
        <v>10</v>
      </c>
      <c r="C1058" s="1" t="s">
        <v>0</v>
      </c>
      <c r="D1058">
        <f t="shared" si="137"/>
        <v>-1</v>
      </c>
      <c r="E1058">
        <f t="shared" si="138"/>
        <v>-7</v>
      </c>
      <c r="F1058">
        <f t="shared" si="144"/>
        <v>-8</v>
      </c>
      <c r="G1058">
        <f t="shared" si="139"/>
        <v>31</v>
      </c>
      <c r="H1058">
        <f t="shared" si="140"/>
        <v>0</v>
      </c>
      <c r="I1058">
        <f t="shared" si="141"/>
        <v>0</v>
      </c>
      <c r="J1058" t="str">
        <f t="shared" si="142"/>
        <v>DarkelfPaladinMag</v>
      </c>
    </row>
    <row r="1059" spans="1:10" x14ac:dyDescent="0.3">
      <c r="A1059" s="1" t="str">
        <f t="shared" si="143"/>
        <v>Darkelf</v>
      </c>
      <c r="B1059" s="1" t="s">
        <v>10</v>
      </c>
      <c r="C1059" s="1" t="s">
        <v>1</v>
      </c>
      <c r="D1059">
        <f t="shared" si="137"/>
        <v>2</v>
      </c>
      <c r="E1059">
        <f t="shared" si="138"/>
        <v>0</v>
      </c>
      <c r="F1059">
        <f t="shared" si="144"/>
        <v>2</v>
      </c>
      <c r="G1059">
        <f t="shared" si="139"/>
        <v>8</v>
      </c>
      <c r="H1059">
        <f t="shared" si="140"/>
        <v>12</v>
      </c>
      <c r="I1059">
        <f t="shared" si="141"/>
        <v>100</v>
      </c>
      <c r="J1059" t="str">
        <f t="shared" si="142"/>
        <v>DarkelfPaladinDiv</v>
      </c>
    </row>
    <row r="1060" spans="1:10" x14ac:dyDescent="0.3">
      <c r="A1060" s="1" t="str">
        <f t="shared" si="143"/>
        <v>Darkelf</v>
      </c>
      <c r="B1060" s="1" t="s">
        <v>10</v>
      </c>
      <c r="C1060" s="1" t="s">
        <v>2</v>
      </c>
      <c r="D1060">
        <f t="shared" si="137"/>
        <v>0</v>
      </c>
      <c r="E1060">
        <f t="shared" si="138"/>
        <v>2</v>
      </c>
      <c r="F1060">
        <f t="shared" si="144"/>
        <v>2</v>
      </c>
      <c r="G1060">
        <f t="shared" si="139"/>
        <v>8</v>
      </c>
      <c r="H1060">
        <f t="shared" si="140"/>
        <v>12</v>
      </c>
      <c r="I1060">
        <f t="shared" si="141"/>
        <v>100</v>
      </c>
      <c r="J1060" t="str">
        <f t="shared" si="142"/>
        <v>DarkelfPaladinStr</v>
      </c>
    </row>
    <row r="1061" spans="1:10" x14ac:dyDescent="0.3">
      <c r="A1061" s="1" t="str">
        <f t="shared" si="143"/>
        <v>Darkelf</v>
      </c>
      <c r="B1061" s="1" t="s">
        <v>10</v>
      </c>
      <c r="C1061" s="1" t="s">
        <v>3</v>
      </c>
      <c r="D1061">
        <f t="shared" si="137"/>
        <v>1</v>
      </c>
      <c r="E1061">
        <f t="shared" si="138"/>
        <v>-1</v>
      </c>
      <c r="F1061">
        <f t="shared" si="144"/>
        <v>0</v>
      </c>
      <c r="G1061">
        <f t="shared" si="139"/>
        <v>10</v>
      </c>
      <c r="H1061">
        <f t="shared" si="140"/>
        <v>0</v>
      </c>
      <c r="I1061">
        <f t="shared" si="141"/>
        <v>80</v>
      </c>
      <c r="J1061" t="str">
        <f t="shared" si="142"/>
        <v>DarkelfPaladinDex</v>
      </c>
    </row>
    <row r="1062" spans="1:10" x14ac:dyDescent="0.3">
      <c r="A1062" s="1" t="str">
        <f t="shared" si="143"/>
        <v>Darkelf</v>
      </c>
      <c r="B1062" s="1" t="s">
        <v>10</v>
      </c>
      <c r="C1062" s="1" t="s">
        <v>4</v>
      </c>
      <c r="D1062">
        <f t="shared" si="137"/>
        <v>0</v>
      </c>
      <c r="E1062">
        <f t="shared" si="138"/>
        <v>0</v>
      </c>
      <c r="F1062">
        <f t="shared" si="144"/>
        <v>0</v>
      </c>
      <c r="G1062">
        <f t="shared" si="139"/>
        <v>10</v>
      </c>
      <c r="H1062">
        <f t="shared" si="140"/>
        <v>0</v>
      </c>
      <c r="I1062">
        <f t="shared" si="141"/>
        <v>80</v>
      </c>
      <c r="J1062" t="str">
        <f t="shared" si="142"/>
        <v>DarkelfPaladinCon</v>
      </c>
    </row>
    <row r="1063" spans="1:10" x14ac:dyDescent="0.3">
      <c r="A1063" s="1" t="str">
        <f t="shared" si="143"/>
        <v>Darkelf</v>
      </c>
      <c r="B1063" s="1" t="s">
        <v>10</v>
      </c>
      <c r="C1063" s="1" t="s">
        <v>5</v>
      </c>
      <c r="D1063">
        <f t="shared" si="137"/>
        <v>-2</v>
      </c>
      <c r="E1063">
        <f t="shared" si="138"/>
        <v>-2</v>
      </c>
      <c r="F1063">
        <f t="shared" si="144"/>
        <v>-4</v>
      </c>
      <c r="G1063">
        <f t="shared" si="139"/>
        <v>22</v>
      </c>
      <c r="H1063">
        <f t="shared" si="140"/>
        <v>0</v>
      </c>
      <c r="I1063">
        <f t="shared" si="141"/>
        <v>40</v>
      </c>
      <c r="J1063" t="str">
        <f t="shared" si="142"/>
        <v>DarkelfPaladinCha</v>
      </c>
    </row>
    <row r="1064" spans="1:10" x14ac:dyDescent="0.3">
      <c r="A1064" s="1" t="str">
        <f t="shared" si="143"/>
        <v>Darkelf</v>
      </c>
      <c r="B1064" s="1" t="s">
        <v>10</v>
      </c>
      <c r="C1064" s="1" t="s">
        <v>6</v>
      </c>
      <c r="D1064">
        <f t="shared" si="137"/>
        <v>0</v>
      </c>
      <c r="E1064">
        <f t="shared" si="138"/>
        <v>0</v>
      </c>
      <c r="F1064">
        <f t="shared" si="144"/>
        <v>0</v>
      </c>
      <c r="G1064">
        <f t="shared" si="139"/>
        <v>10</v>
      </c>
      <c r="H1064">
        <f t="shared" si="140"/>
        <v>0</v>
      </c>
      <c r="I1064">
        <f t="shared" si="141"/>
        <v>80</v>
      </c>
      <c r="J1064" t="str">
        <f t="shared" si="142"/>
        <v>DarkelfPaladinBra</v>
      </c>
    </row>
    <row r="1065" spans="1:10" x14ac:dyDescent="0.3">
      <c r="A1065" s="1" t="str">
        <f t="shared" si="143"/>
        <v>Darkelf</v>
      </c>
      <c r="B1065" s="1" t="s">
        <v>10</v>
      </c>
      <c r="C1065" s="1" t="s">
        <v>7</v>
      </c>
      <c r="D1065">
        <f t="shared" si="137"/>
        <v>0</v>
      </c>
      <c r="E1065">
        <f t="shared" si="138"/>
        <v>1</v>
      </c>
      <c r="F1065">
        <f t="shared" si="144"/>
        <v>1</v>
      </c>
      <c r="G1065">
        <f t="shared" si="139"/>
        <v>9</v>
      </c>
      <c r="H1065">
        <f t="shared" si="140"/>
        <v>14</v>
      </c>
      <c r="I1065">
        <f t="shared" si="141"/>
        <v>90</v>
      </c>
      <c r="J1065" t="str">
        <f t="shared" si="142"/>
        <v>DarkelfPaladinHP</v>
      </c>
    </row>
    <row r="1066" spans="1:10" x14ac:dyDescent="0.3">
      <c r="A1066" s="1" t="str">
        <f t="shared" si="143"/>
        <v>Darkelf</v>
      </c>
      <c r="B1066" s="1" t="s">
        <v>11</v>
      </c>
      <c r="C1066" s="1" t="s">
        <v>0</v>
      </c>
      <c r="D1066">
        <f t="shared" si="137"/>
        <v>-1</v>
      </c>
      <c r="E1066">
        <f t="shared" si="138"/>
        <v>-7</v>
      </c>
      <c r="F1066">
        <f t="shared" si="144"/>
        <v>-8</v>
      </c>
      <c r="G1066">
        <f t="shared" si="139"/>
        <v>31</v>
      </c>
      <c r="H1066">
        <f t="shared" si="140"/>
        <v>0</v>
      </c>
      <c r="I1066">
        <f t="shared" si="141"/>
        <v>0</v>
      </c>
      <c r="J1066" t="str">
        <f t="shared" si="142"/>
        <v>DarkelfRangerMag</v>
      </c>
    </row>
    <row r="1067" spans="1:10" x14ac:dyDescent="0.3">
      <c r="A1067" s="1" t="str">
        <f t="shared" si="143"/>
        <v>Darkelf</v>
      </c>
      <c r="B1067" s="1" t="s">
        <v>11</v>
      </c>
      <c r="C1067" s="1" t="s">
        <v>1</v>
      </c>
      <c r="D1067">
        <f t="shared" si="137"/>
        <v>2</v>
      </c>
      <c r="E1067">
        <f t="shared" si="138"/>
        <v>0</v>
      </c>
      <c r="F1067">
        <f t="shared" si="144"/>
        <v>2</v>
      </c>
      <c r="G1067">
        <f t="shared" si="139"/>
        <v>8</v>
      </c>
      <c r="H1067">
        <f t="shared" si="140"/>
        <v>12</v>
      </c>
      <c r="I1067">
        <f t="shared" si="141"/>
        <v>100</v>
      </c>
      <c r="J1067" t="str">
        <f t="shared" si="142"/>
        <v>DarkelfRangerDiv</v>
      </c>
    </row>
    <row r="1068" spans="1:10" x14ac:dyDescent="0.3">
      <c r="A1068" s="1" t="str">
        <f t="shared" si="143"/>
        <v>Darkelf</v>
      </c>
      <c r="B1068" s="1" t="s">
        <v>11</v>
      </c>
      <c r="C1068" s="1" t="s">
        <v>2</v>
      </c>
      <c r="D1068">
        <f t="shared" si="137"/>
        <v>0</v>
      </c>
      <c r="E1068">
        <f t="shared" si="138"/>
        <v>1</v>
      </c>
      <c r="F1068">
        <f t="shared" si="144"/>
        <v>1</v>
      </c>
      <c r="G1068">
        <f t="shared" si="139"/>
        <v>9</v>
      </c>
      <c r="H1068">
        <f t="shared" si="140"/>
        <v>14</v>
      </c>
      <c r="I1068">
        <f t="shared" si="141"/>
        <v>90</v>
      </c>
      <c r="J1068" t="str">
        <f t="shared" si="142"/>
        <v>DarkelfRangerStr</v>
      </c>
    </row>
    <row r="1069" spans="1:10" x14ac:dyDescent="0.3">
      <c r="A1069" s="1" t="str">
        <f t="shared" si="143"/>
        <v>Darkelf</v>
      </c>
      <c r="B1069" s="1" t="s">
        <v>11</v>
      </c>
      <c r="C1069" s="1" t="s">
        <v>3</v>
      </c>
      <c r="D1069">
        <f t="shared" si="137"/>
        <v>1</v>
      </c>
      <c r="E1069">
        <f t="shared" si="138"/>
        <v>2</v>
      </c>
      <c r="F1069">
        <f t="shared" si="144"/>
        <v>3</v>
      </c>
      <c r="G1069">
        <f t="shared" si="139"/>
        <v>7</v>
      </c>
      <c r="H1069">
        <f t="shared" si="140"/>
        <v>11</v>
      </c>
      <c r="I1069">
        <f t="shared" si="141"/>
        <v>105</v>
      </c>
      <c r="J1069" t="str">
        <f t="shared" si="142"/>
        <v>DarkelfRangerDex</v>
      </c>
    </row>
    <row r="1070" spans="1:10" x14ac:dyDescent="0.3">
      <c r="A1070" s="1" t="str">
        <f t="shared" si="143"/>
        <v>Darkelf</v>
      </c>
      <c r="B1070" s="1" t="s">
        <v>11</v>
      </c>
      <c r="C1070" s="1" t="s">
        <v>4</v>
      </c>
      <c r="D1070">
        <f t="shared" si="137"/>
        <v>0</v>
      </c>
      <c r="E1070">
        <f t="shared" si="138"/>
        <v>0</v>
      </c>
      <c r="F1070">
        <f t="shared" si="144"/>
        <v>0</v>
      </c>
      <c r="G1070">
        <f t="shared" si="139"/>
        <v>10</v>
      </c>
      <c r="H1070">
        <f t="shared" si="140"/>
        <v>0</v>
      </c>
      <c r="I1070">
        <f t="shared" si="141"/>
        <v>80</v>
      </c>
      <c r="J1070" t="str">
        <f t="shared" si="142"/>
        <v>DarkelfRangerCon</v>
      </c>
    </row>
    <row r="1071" spans="1:10" x14ac:dyDescent="0.3">
      <c r="A1071" s="1" t="str">
        <f t="shared" si="143"/>
        <v>Darkelf</v>
      </c>
      <c r="B1071" s="1" t="s">
        <v>11</v>
      </c>
      <c r="C1071" s="1" t="s">
        <v>5</v>
      </c>
      <c r="D1071">
        <f t="shared" si="137"/>
        <v>-2</v>
      </c>
      <c r="E1071">
        <f t="shared" si="138"/>
        <v>-2</v>
      </c>
      <c r="F1071">
        <f t="shared" si="144"/>
        <v>-4</v>
      </c>
      <c r="G1071">
        <f t="shared" si="139"/>
        <v>22</v>
      </c>
      <c r="H1071">
        <f t="shared" si="140"/>
        <v>0</v>
      </c>
      <c r="I1071">
        <f t="shared" si="141"/>
        <v>40</v>
      </c>
      <c r="J1071" t="str">
        <f t="shared" si="142"/>
        <v>DarkelfRangerCha</v>
      </c>
    </row>
    <row r="1072" spans="1:10" x14ac:dyDescent="0.3">
      <c r="A1072" s="1" t="str">
        <f t="shared" si="143"/>
        <v>Darkelf</v>
      </c>
      <c r="B1072" s="1" t="s">
        <v>11</v>
      </c>
      <c r="C1072" s="1" t="s">
        <v>6</v>
      </c>
      <c r="D1072">
        <f t="shared" si="137"/>
        <v>0</v>
      </c>
      <c r="E1072">
        <f t="shared" si="138"/>
        <v>-1</v>
      </c>
      <c r="F1072">
        <f t="shared" si="144"/>
        <v>-1</v>
      </c>
      <c r="G1072">
        <f t="shared" si="139"/>
        <v>13</v>
      </c>
      <c r="H1072">
        <f t="shared" si="140"/>
        <v>0</v>
      </c>
      <c r="I1072">
        <f t="shared" si="141"/>
        <v>70</v>
      </c>
      <c r="J1072" t="str">
        <f t="shared" si="142"/>
        <v>DarkelfRangerBra</v>
      </c>
    </row>
    <row r="1073" spans="1:10" x14ac:dyDescent="0.3">
      <c r="A1073" s="1" t="str">
        <f t="shared" si="143"/>
        <v>Darkelf</v>
      </c>
      <c r="B1073" s="1" t="s">
        <v>11</v>
      </c>
      <c r="C1073" s="1" t="s">
        <v>7</v>
      </c>
      <c r="D1073">
        <f t="shared" si="137"/>
        <v>0</v>
      </c>
      <c r="E1073">
        <f t="shared" si="138"/>
        <v>0</v>
      </c>
      <c r="F1073">
        <f t="shared" si="144"/>
        <v>0</v>
      </c>
      <c r="G1073">
        <f t="shared" si="139"/>
        <v>10</v>
      </c>
      <c r="H1073">
        <f t="shared" si="140"/>
        <v>0</v>
      </c>
      <c r="I1073">
        <f t="shared" si="141"/>
        <v>80</v>
      </c>
      <c r="J1073" t="str">
        <f t="shared" si="142"/>
        <v>DarkelfRangerHP</v>
      </c>
    </row>
    <row r="1074" spans="1:10" x14ac:dyDescent="0.3">
      <c r="A1074" s="1" t="str">
        <f t="shared" si="143"/>
        <v>Darkelf</v>
      </c>
      <c r="B1074" s="1" t="s">
        <v>12</v>
      </c>
      <c r="C1074" s="1" t="s">
        <v>0</v>
      </c>
      <c r="D1074">
        <f t="shared" si="137"/>
        <v>-1</v>
      </c>
      <c r="E1074">
        <f t="shared" si="138"/>
        <v>0</v>
      </c>
      <c r="F1074">
        <f t="shared" si="144"/>
        <v>-1</v>
      </c>
      <c r="G1074">
        <f t="shared" si="139"/>
        <v>13</v>
      </c>
      <c r="H1074">
        <f t="shared" si="140"/>
        <v>0</v>
      </c>
      <c r="I1074">
        <f t="shared" si="141"/>
        <v>70</v>
      </c>
      <c r="J1074" t="str">
        <f t="shared" si="142"/>
        <v>DarkelfAssassinMag</v>
      </c>
    </row>
    <row r="1075" spans="1:10" x14ac:dyDescent="0.3">
      <c r="A1075" s="1" t="str">
        <f t="shared" si="143"/>
        <v>Darkelf</v>
      </c>
      <c r="B1075" s="1" t="s">
        <v>12</v>
      </c>
      <c r="C1075" s="1" t="s">
        <v>1</v>
      </c>
      <c r="D1075">
        <f t="shared" si="137"/>
        <v>2</v>
      </c>
      <c r="E1075">
        <f t="shared" si="138"/>
        <v>-7</v>
      </c>
      <c r="F1075">
        <f t="shared" si="144"/>
        <v>-5</v>
      </c>
      <c r="G1075">
        <f t="shared" si="139"/>
        <v>25</v>
      </c>
      <c r="H1075">
        <f t="shared" si="140"/>
        <v>0</v>
      </c>
      <c r="I1075">
        <f t="shared" si="141"/>
        <v>30</v>
      </c>
      <c r="J1075" t="str">
        <f t="shared" si="142"/>
        <v>DarkelfAssassinDiv</v>
      </c>
    </row>
    <row r="1076" spans="1:10" x14ac:dyDescent="0.3">
      <c r="A1076" s="1" t="str">
        <f t="shared" si="143"/>
        <v>Darkelf</v>
      </c>
      <c r="B1076" s="1" t="s">
        <v>12</v>
      </c>
      <c r="C1076" s="1" t="s">
        <v>2</v>
      </c>
      <c r="D1076">
        <f t="shared" si="137"/>
        <v>0</v>
      </c>
      <c r="E1076">
        <f t="shared" si="138"/>
        <v>0</v>
      </c>
      <c r="F1076">
        <f t="shared" si="144"/>
        <v>0</v>
      </c>
      <c r="G1076">
        <f t="shared" si="139"/>
        <v>10</v>
      </c>
      <c r="H1076">
        <f t="shared" si="140"/>
        <v>0</v>
      </c>
      <c r="I1076">
        <f t="shared" si="141"/>
        <v>80</v>
      </c>
      <c r="J1076" t="str">
        <f t="shared" si="142"/>
        <v>DarkelfAssassinStr</v>
      </c>
    </row>
    <row r="1077" spans="1:10" x14ac:dyDescent="0.3">
      <c r="A1077" s="1" t="str">
        <f t="shared" si="143"/>
        <v>Darkelf</v>
      </c>
      <c r="B1077" s="1" t="s">
        <v>12</v>
      </c>
      <c r="C1077" s="1" t="s">
        <v>3</v>
      </c>
      <c r="D1077">
        <f t="shared" si="137"/>
        <v>1</v>
      </c>
      <c r="E1077">
        <f t="shared" si="138"/>
        <v>2</v>
      </c>
      <c r="F1077">
        <f t="shared" si="144"/>
        <v>3</v>
      </c>
      <c r="G1077">
        <f t="shared" si="139"/>
        <v>7</v>
      </c>
      <c r="H1077">
        <f t="shared" si="140"/>
        <v>11</v>
      </c>
      <c r="I1077">
        <f t="shared" si="141"/>
        <v>105</v>
      </c>
      <c r="J1077" t="str">
        <f t="shared" si="142"/>
        <v>DarkelfAssassinDex</v>
      </c>
    </row>
    <row r="1078" spans="1:10" x14ac:dyDescent="0.3">
      <c r="A1078" s="1" t="str">
        <f t="shared" si="143"/>
        <v>Darkelf</v>
      </c>
      <c r="B1078" s="1" t="s">
        <v>12</v>
      </c>
      <c r="C1078" s="1" t="s">
        <v>4</v>
      </c>
      <c r="D1078">
        <f t="shared" si="137"/>
        <v>0</v>
      </c>
      <c r="E1078">
        <f t="shared" si="138"/>
        <v>0</v>
      </c>
      <c r="F1078">
        <f t="shared" si="144"/>
        <v>0</v>
      </c>
      <c r="G1078">
        <f t="shared" si="139"/>
        <v>10</v>
      </c>
      <c r="H1078">
        <f t="shared" si="140"/>
        <v>0</v>
      </c>
      <c r="I1078">
        <f t="shared" si="141"/>
        <v>80</v>
      </c>
      <c r="J1078" t="str">
        <f t="shared" si="142"/>
        <v>DarkelfAssassinCon</v>
      </c>
    </row>
    <row r="1079" spans="1:10" x14ac:dyDescent="0.3">
      <c r="A1079" s="1" t="str">
        <f t="shared" si="143"/>
        <v>Darkelf</v>
      </c>
      <c r="B1079" s="1" t="s">
        <v>12</v>
      </c>
      <c r="C1079" s="1" t="s">
        <v>5</v>
      </c>
      <c r="D1079">
        <f t="shared" si="137"/>
        <v>-2</v>
      </c>
      <c r="E1079">
        <f t="shared" si="138"/>
        <v>-2</v>
      </c>
      <c r="F1079">
        <f t="shared" si="144"/>
        <v>-4</v>
      </c>
      <c r="G1079">
        <f t="shared" si="139"/>
        <v>22</v>
      </c>
      <c r="H1079">
        <f t="shared" si="140"/>
        <v>0</v>
      </c>
      <c r="I1079">
        <f t="shared" si="141"/>
        <v>40</v>
      </c>
      <c r="J1079" t="str">
        <f t="shared" si="142"/>
        <v>DarkelfAssassinCha</v>
      </c>
    </row>
    <row r="1080" spans="1:10" x14ac:dyDescent="0.3">
      <c r="A1080" s="1" t="str">
        <f t="shared" si="143"/>
        <v>Darkelf</v>
      </c>
      <c r="B1080" s="1" t="s">
        <v>12</v>
      </c>
      <c r="C1080" s="1" t="s">
        <v>6</v>
      </c>
      <c r="D1080">
        <f t="shared" si="137"/>
        <v>0</v>
      </c>
      <c r="E1080">
        <f t="shared" si="138"/>
        <v>1</v>
      </c>
      <c r="F1080">
        <f t="shared" si="144"/>
        <v>1</v>
      </c>
      <c r="G1080">
        <f t="shared" si="139"/>
        <v>9</v>
      </c>
      <c r="H1080">
        <f t="shared" si="140"/>
        <v>14</v>
      </c>
      <c r="I1080">
        <f t="shared" si="141"/>
        <v>90</v>
      </c>
      <c r="J1080" t="str">
        <f t="shared" si="142"/>
        <v>DarkelfAssassinBra</v>
      </c>
    </row>
    <row r="1081" spans="1:10" x14ac:dyDescent="0.3">
      <c r="A1081" s="1" t="str">
        <f t="shared" si="143"/>
        <v>Darkelf</v>
      </c>
      <c r="B1081" s="1" t="s">
        <v>12</v>
      </c>
      <c r="C1081" s="1" t="s">
        <v>7</v>
      </c>
      <c r="D1081">
        <f t="shared" si="137"/>
        <v>0</v>
      </c>
      <c r="E1081">
        <f t="shared" si="138"/>
        <v>-1</v>
      </c>
      <c r="F1081">
        <f t="shared" si="144"/>
        <v>-1</v>
      </c>
      <c r="G1081">
        <f t="shared" si="139"/>
        <v>13</v>
      </c>
      <c r="H1081">
        <f t="shared" si="140"/>
        <v>0</v>
      </c>
      <c r="I1081">
        <f t="shared" si="141"/>
        <v>70</v>
      </c>
      <c r="J1081" t="str">
        <f t="shared" si="142"/>
        <v>DarkelfAssassinHP</v>
      </c>
    </row>
    <row r="1082" spans="1:10" x14ac:dyDescent="0.3">
      <c r="A1082" s="1" t="str">
        <f t="shared" si="143"/>
        <v>Darkelf</v>
      </c>
      <c r="B1082" s="1" t="s">
        <v>13</v>
      </c>
      <c r="C1082" s="1" t="s">
        <v>0</v>
      </c>
      <c r="D1082">
        <f t="shared" si="137"/>
        <v>-1</v>
      </c>
      <c r="E1082">
        <f t="shared" si="138"/>
        <v>-5</v>
      </c>
      <c r="F1082">
        <f t="shared" si="144"/>
        <v>-6</v>
      </c>
      <c r="G1082">
        <f t="shared" si="139"/>
        <v>28</v>
      </c>
      <c r="H1082">
        <f t="shared" si="140"/>
        <v>0</v>
      </c>
      <c r="I1082">
        <f t="shared" si="141"/>
        <v>15</v>
      </c>
      <c r="J1082" t="str">
        <f t="shared" si="142"/>
        <v>DarkelfThiefMag</v>
      </c>
    </row>
    <row r="1083" spans="1:10" x14ac:dyDescent="0.3">
      <c r="A1083" s="1" t="str">
        <f t="shared" si="143"/>
        <v>Darkelf</v>
      </c>
      <c r="B1083" s="1" t="s">
        <v>13</v>
      </c>
      <c r="C1083" s="1" t="s">
        <v>1</v>
      </c>
      <c r="D1083">
        <f t="shared" si="137"/>
        <v>2</v>
      </c>
      <c r="E1083">
        <f t="shared" si="138"/>
        <v>-7</v>
      </c>
      <c r="F1083">
        <f t="shared" si="144"/>
        <v>-5</v>
      </c>
      <c r="G1083">
        <f t="shared" si="139"/>
        <v>25</v>
      </c>
      <c r="H1083">
        <f t="shared" si="140"/>
        <v>0</v>
      </c>
      <c r="I1083">
        <f t="shared" si="141"/>
        <v>30</v>
      </c>
      <c r="J1083" t="str">
        <f t="shared" si="142"/>
        <v>DarkelfThiefDiv</v>
      </c>
    </row>
    <row r="1084" spans="1:10" x14ac:dyDescent="0.3">
      <c r="A1084" s="1" t="str">
        <f t="shared" si="143"/>
        <v>Darkelf</v>
      </c>
      <c r="B1084" s="1" t="s">
        <v>13</v>
      </c>
      <c r="C1084" s="1" t="s">
        <v>2</v>
      </c>
      <c r="D1084">
        <f t="shared" si="137"/>
        <v>0</v>
      </c>
      <c r="E1084">
        <f t="shared" si="138"/>
        <v>0</v>
      </c>
      <c r="F1084">
        <f t="shared" si="144"/>
        <v>0</v>
      </c>
      <c r="G1084">
        <f t="shared" si="139"/>
        <v>10</v>
      </c>
      <c r="H1084">
        <f t="shared" si="140"/>
        <v>0</v>
      </c>
      <c r="I1084">
        <f t="shared" si="141"/>
        <v>80</v>
      </c>
      <c r="J1084" t="str">
        <f t="shared" si="142"/>
        <v>DarkelfThiefStr</v>
      </c>
    </row>
    <row r="1085" spans="1:10" x14ac:dyDescent="0.3">
      <c r="A1085" s="1" t="str">
        <f t="shared" si="143"/>
        <v>Darkelf</v>
      </c>
      <c r="B1085" s="1" t="s">
        <v>13</v>
      </c>
      <c r="C1085" s="1" t="s">
        <v>3</v>
      </c>
      <c r="D1085">
        <f t="shared" si="137"/>
        <v>1</v>
      </c>
      <c r="E1085">
        <f t="shared" si="138"/>
        <v>3</v>
      </c>
      <c r="F1085">
        <f t="shared" si="144"/>
        <v>4</v>
      </c>
      <c r="G1085">
        <f t="shared" si="139"/>
        <v>6</v>
      </c>
      <c r="H1085">
        <f t="shared" si="140"/>
        <v>9</v>
      </c>
      <c r="I1085">
        <f t="shared" si="141"/>
        <v>108</v>
      </c>
      <c r="J1085" t="str">
        <f t="shared" si="142"/>
        <v>DarkelfThiefDex</v>
      </c>
    </row>
    <row r="1086" spans="1:10" x14ac:dyDescent="0.3">
      <c r="A1086" s="1" t="str">
        <f t="shared" si="143"/>
        <v>Darkelf</v>
      </c>
      <c r="B1086" s="1" t="s">
        <v>13</v>
      </c>
      <c r="C1086" s="1" t="s">
        <v>4</v>
      </c>
      <c r="D1086">
        <f t="shared" si="137"/>
        <v>0</v>
      </c>
      <c r="E1086">
        <f t="shared" si="138"/>
        <v>-1</v>
      </c>
      <c r="F1086">
        <f t="shared" si="144"/>
        <v>-1</v>
      </c>
      <c r="G1086">
        <f t="shared" si="139"/>
        <v>13</v>
      </c>
      <c r="H1086">
        <f t="shared" si="140"/>
        <v>0</v>
      </c>
      <c r="I1086">
        <f t="shared" si="141"/>
        <v>70</v>
      </c>
      <c r="J1086" t="str">
        <f t="shared" si="142"/>
        <v>DarkelfThiefCon</v>
      </c>
    </row>
    <row r="1087" spans="1:10" x14ac:dyDescent="0.3">
      <c r="A1087" s="1" t="str">
        <f t="shared" si="143"/>
        <v>Darkelf</v>
      </c>
      <c r="B1087" s="1" t="s">
        <v>13</v>
      </c>
      <c r="C1087" s="1" t="s">
        <v>5</v>
      </c>
      <c r="D1087">
        <f t="shared" si="137"/>
        <v>-2</v>
      </c>
      <c r="E1087">
        <f t="shared" si="138"/>
        <v>-2</v>
      </c>
      <c r="F1087">
        <f t="shared" si="144"/>
        <v>-4</v>
      </c>
      <c r="G1087">
        <f t="shared" si="139"/>
        <v>22</v>
      </c>
      <c r="H1087">
        <f t="shared" si="140"/>
        <v>0</v>
      </c>
      <c r="I1087">
        <f t="shared" si="141"/>
        <v>40</v>
      </c>
      <c r="J1087" t="str">
        <f t="shared" si="142"/>
        <v>DarkelfThiefCha</v>
      </c>
    </row>
    <row r="1088" spans="1:10" x14ac:dyDescent="0.3">
      <c r="A1088" s="1" t="str">
        <f t="shared" si="143"/>
        <v>Darkelf</v>
      </c>
      <c r="B1088" s="1" t="s">
        <v>13</v>
      </c>
      <c r="C1088" s="1" t="s">
        <v>6</v>
      </c>
      <c r="D1088">
        <f t="shared" si="137"/>
        <v>0</v>
      </c>
      <c r="E1088">
        <f t="shared" si="138"/>
        <v>2</v>
      </c>
      <c r="F1088">
        <f t="shared" si="144"/>
        <v>2</v>
      </c>
      <c r="G1088">
        <f t="shared" si="139"/>
        <v>8</v>
      </c>
      <c r="H1088">
        <f t="shared" si="140"/>
        <v>12</v>
      </c>
      <c r="I1088">
        <f t="shared" si="141"/>
        <v>100</v>
      </c>
      <c r="J1088" t="str">
        <f t="shared" si="142"/>
        <v>DarkelfThiefBra</v>
      </c>
    </row>
    <row r="1089" spans="1:10" x14ac:dyDescent="0.3">
      <c r="A1089" s="1" t="str">
        <f t="shared" si="143"/>
        <v>Darkelf</v>
      </c>
      <c r="B1089" s="1" t="s">
        <v>13</v>
      </c>
      <c r="C1089" s="1" t="s">
        <v>7</v>
      </c>
      <c r="D1089">
        <f t="shared" si="137"/>
        <v>0</v>
      </c>
      <c r="E1089">
        <f t="shared" si="138"/>
        <v>1</v>
      </c>
      <c r="F1089">
        <f t="shared" si="144"/>
        <v>1</v>
      </c>
      <c r="G1089">
        <f t="shared" si="139"/>
        <v>9</v>
      </c>
      <c r="H1089">
        <f t="shared" si="140"/>
        <v>14</v>
      </c>
      <c r="I1089">
        <f t="shared" si="141"/>
        <v>90</v>
      </c>
      <c r="J1089" t="str">
        <f t="shared" si="142"/>
        <v>DarkelfThiefHP</v>
      </c>
    </row>
    <row r="1090" spans="1:10" x14ac:dyDescent="0.3">
      <c r="A1090" s="1" t="str">
        <f t="shared" si="143"/>
        <v>Darkelf</v>
      </c>
      <c r="B1090" s="1" t="s">
        <v>14</v>
      </c>
      <c r="C1090" s="1" t="s">
        <v>0</v>
      </c>
      <c r="D1090">
        <f t="shared" ref="D1090:D1145" si="145">INDEX(TblRaceValues,MATCH(C1090, TblAbilities, 0),MATCH(A1090,TblRaces,0))</f>
        <v>-1</v>
      </c>
      <c r="E1090">
        <f t="shared" ref="E1090:E1145" si="146">INDEX(TblProfessionValues,MATCH(C1090,TblAbilities,0),MATCH(B1090,TblProfessions,0))</f>
        <v>-7</v>
      </c>
      <c r="F1090">
        <f t="shared" si="144"/>
        <v>-8</v>
      </c>
      <c r="G1090">
        <f t="shared" ref="G1090:G1145" si="147">HLOOKUP(MIN(MAX(-7,F1090),7),TblPracticeCost,2)</f>
        <v>31</v>
      </c>
      <c r="H1090">
        <f t="shared" ref="H1090:H1145" si="148">HLOOKUP(MIN(MAX(-7,F1090),7),TblPracticeCost,3)</f>
        <v>0</v>
      </c>
      <c r="I1090">
        <f t="shared" ref="I1090:I1145" si="149">VLOOKUP(MIN(MAX(-7,F1090),7),TblBonusMaxSkill,2)</f>
        <v>0</v>
      </c>
      <c r="J1090" t="str">
        <f t="shared" si="142"/>
        <v>DarkelfDruidMag</v>
      </c>
    </row>
    <row r="1091" spans="1:10" x14ac:dyDescent="0.3">
      <c r="A1091" s="1" t="str">
        <f t="shared" si="143"/>
        <v>Darkelf</v>
      </c>
      <c r="B1091" s="1" t="s">
        <v>14</v>
      </c>
      <c r="C1091" s="1" t="s">
        <v>1</v>
      </c>
      <c r="D1091">
        <f t="shared" si="145"/>
        <v>2</v>
      </c>
      <c r="E1091">
        <f t="shared" si="146"/>
        <v>2</v>
      </c>
      <c r="F1091">
        <f t="shared" si="144"/>
        <v>4</v>
      </c>
      <c r="G1091">
        <f t="shared" si="147"/>
        <v>6</v>
      </c>
      <c r="H1091">
        <f t="shared" si="148"/>
        <v>9</v>
      </c>
      <c r="I1091">
        <f t="shared" si="149"/>
        <v>108</v>
      </c>
      <c r="J1091" t="str">
        <f t="shared" ref="J1091:J1145" si="150">A1091&amp;B1091&amp;C1091</f>
        <v>DarkelfDruidDiv</v>
      </c>
    </row>
    <row r="1092" spans="1:10" x14ac:dyDescent="0.3">
      <c r="A1092" s="1" t="str">
        <f t="shared" si="143"/>
        <v>Darkelf</v>
      </c>
      <c r="B1092" s="1" t="s">
        <v>14</v>
      </c>
      <c r="C1092" s="1" t="s">
        <v>2</v>
      </c>
      <c r="D1092">
        <f t="shared" si="145"/>
        <v>0</v>
      </c>
      <c r="E1092">
        <f t="shared" si="146"/>
        <v>-2</v>
      </c>
      <c r="F1092">
        <f t="shared" si="144"/>
        <v>-2</v>
      </c>
      <c r="G1092">
        <f t="shared" si="147"/>
        <v>16</v>
      </c>
      <c r="H1092">
        <f t="shared" si="148"/>
        <v>0</v>
      </c>
      <c r="I1092">
        <f t="shared" si="149"/>
        <v>60</v>
      </c>
      <c r="J1092" t="str">
        <f t="shared" si="150"/>
        <v>DarkelfDruidStr</v>
      </c>
    </row>
    <row r="1093" spans="1:10" x14ac:dyDescent="0.3">
      <c r="A1093" s="1" t="str">
        <f t="shared" si="143"/>
        <v>Darkelf</v>
      </c>
      <c r="B1093" s="1" t="s">
        <v>14</v>
      </c>
      <c r="C1093" s="1" t="s">
        <v>3</v>
      </c>
      <c r="D1093">
        <f t="shared" si="145"/>
        <v>1</v>
      </c>
      <c r="E1093">
        <f t="shared" si="146"/>
        <v>0</v>
      </c>
      <c r="F1093">
        <f t="shared" si="144"/>
        <v>1</v>
      </c>
      <c r="G1093">
        <f t="shared" si="147"/>
        <v>9</v>
      </c>
      <c r="H1093">
        <f t="shared" si="148"/>
        <v>14</v>
      </c>
      <c r="I1093">
        <f t="shared" si="149"/>
        <v>90</v>
      </c>
      <c r="J1093" t="str">
        <f t="shared" si="150"/>
        <v>DarkelfDruidDex</v>
      </c>
    </row>
    <row r="1094" spans="1:10" x14ac:dyDescent="0.3">
      <c r="A1094" s="1" t="str">
        <f t="shared" si="143"/>
        <v>Darkelf</v>
      </c>
      <c r="B1094" s="1" t="s">
        <v>14</v>
      </c>
      <c r="C1094" s="1" t="s">
        <v>4</v>
      </c>
      <c r="D1094">
        <f t="shared" si="145"/>
        <v>0</v>
      </c>
      <c r="E1094">
        <f t="shared" si="146"/>
        <v>-3</v>
      </c>
      <c r="F1094">
        <f t="shared" si="144"/>
        <v>-3</v>
      </c>
      <c r="G1094">
        <f t="shared" si="147"/>
        <v>19</v>
      </c>
      <c r="H1094">
        <f t="shared" si="148"/>
        <v>0</v>
      </c>
      <c r="I1094">
        <f t="shared" si="149"/>
        <v>50</v>
      </c>
      <c r="J1094" t="str">
        <f t="shared" si="150"/>
        <v>DarkelfDruidCon</v>
      </c>
    </row>
    <row r="1095" spans="1:10" x14ac:dyDescent="0.3">
      <c r="A1095" s="1" t="str">
        <f t="shared" si="143"/>
        <v>Darkelf</v>
      </c>
      <c r="B1095" s="1" t="s">
        <v>14</v>
      </c>
      <c r="C1095" s="1" t="s">
        <v>5</v>
      </c>
      <c r="D1095">
        <f t="shared" si="145"/>
        <v>-2</v>
      </c>
      <c r="E1095">
        <f t="shared" si="146"/>
        <v>1</v>
      </c>
      <c r="F1095">
        <f t="shared" si="144"/>
        <v>-1</v>
      </c>
      <c r="G1095">
        <f t="shared" si="147"/>
        <v>13</v>
      </c>
      <c r="H1095">
        <f t="shared" si="148"/>
        <v>0</v>
      </c>
      <c r="I1095">
        <f t="shared" si="149"/>
        <v>70</v>
      </c>
      <c r="J1095" t="str">
        <f t="shared" si="150"/>
        <v>DarkelfDruidCha</v>
      </c>
    </row>
    <row r="1096" spans="1:10" x14ac:dyDescent="0.3">
      <c r="A1096" s="1" t="str">
        <f t="shared" si="143"/>
        <v>Darkelf</v>
      </c>
      <c r="B1096" s="1" t="s">
        <v>14</v>
      </c>
      <c r="C1096" s="1" t="s">
        <v>6</v>
      </c>
      <c r="D1096">
        <f t="shared" si="145"/>
        <v>0</v>
      </c>
      <c r="E1096">
        <f t="shared" si="146"/>
        <v>3</v>
      </c>
      <c r="F1096">
        <f t="shared" si="144"/>
        <v>3</v>
      </c>
      <c r="G1096">
        <f t="shared" si="147"/>
        <v>7</v>
      </c>
      <c r="H1096">
        <f t="shared" si="148"/>
        <v>11</v>
      </c>
      <c r="I1096">
        <f t="shared" si="149"/>
        <v>105</v>
      </c>
      <c r="J1096" t="str">
        <f t="shared" si="150"/>
        <v>DarkelfDruidBra</v>
      </c>
    </row>
    <row r="1097" spans="1:10" x14ac:dyDescent="0.3">
      <c r="A1097" s="1" t="str">
        <f t="shared" si="143"/>
        <v>Darkelf</v>
      </c>
      <c r="B1097" s="1" t="s">
        <v>14</v>
      </c>
      <c r="C1097" s="1" t="s">
        <v>7</v>
      </c>
      <c r="D1097">
        <f t="shared" si="145"/>
        <v>0</v>
      </c>
      <c r="E1097">
        <f t="shared" si="146"/>
        <v>-1</v>
      </c>
      <c r="F1097">
        <f t="shared" si="144"/>
        <v>-1</v>
      </c>
      <c r="G1097">
        <f t="shared" si="147"/>
        <v>13</v>
      </c>
      <c r="H1097">
        <f t="shared" si="148"/>
        <v>0</v>
      </c>
      <c r="I1097">
        <f t="shared" si="149"/>
        <v>70</v>
      </c>
      <c r="J1097" t="str">
        <f t="shared" si="150"/>
        <v>DarkelfDruidHP</v>
      </c>
    </row>
    <row r="1098" spans="1:10" x14ac:dyDescent="0.3">
      <c r="A1098" s="1" t="str">
        <f t="shared" si="143"/>
        <v>Darkelf</v>
      </c>
      <c r="B1098" s="1" t="s">
        <v>31</v>
      </c>
      <c r="C1098" s="1" t="s">
        <v>0</v>
      </c>
      <c r="D1098">
        <f t="shared" si="145"/>
        <v>-1</v>
      </c>
      <c r="E1098">
        <f t="shared" si="146"/>
        <v>2</v>
      </c>
      <c r="F1098">
        <f t="shared" si="144"/>
        <v>1</v>
      </c>
      <c r="G1098">
        <f t="shared" si="147"/>
        <v>9</v>
      </c>
      <c r="H1098">
        <f t="shared" si="148"/>
        <v>14</v>
      </c>
      <c r="I1098">
        <f t="shared" si="149"/>
        <v>90</v>
      </c>
      <c r="J1098" t="str">
        <f t="shared" si="150"/>
        <v>DarkelfObsoleteMag</v>
      </c>
    </row>
    <row r="1099" spans="1:10" x14ac:dyDescent="0.3">
      <c r="A1099" s="1" t="str">
        <f t="shared" si="143"/>
        <v>Darkelf</v>
      </c>
      <c r="B1099" s="1" t="s">
        <v>31</v>
      </c>
      <c r="C1099" s="1" t="s">
        <v>1</v>
      </c>
      <c r="D1099">
        <f t="shared" si="145"/>
        <v>2</v>
      </c>
      <c r="E1099">
        <f t="shared" si="146"/>
        <v>2</v>
      </c>
      <c r="F1099">
        <f t="shared" si="144"/>
        <v>4</v>
      </c>
      <c r="G1099">
        <f t="shared" si="147"/>
        <v>6</v>
      </c>
      <c r="H1099">
        <f t="shared" si="148"/>
        <v>9</v>
      </c>
      <c r="I1099">
        <f t="shared" si="149"/>
        <v>108</v>
      </c>
      <c r="J1099" t="str">
        <f t="shared" si="150"/>
        <v>DarkelfObsoleteDiv</v>
      </c>
    </row>
    <row r="1100" spans="1:10" x14ac:dyDescent="0.3">
      <c r="A1100" s="1" t="str">
        <f t="shared" si="143"/>
        <v>Darkelf</v>
      </c>
      <c r="B1100" s="1" t="s">
        <v>31</v>
      </c>
      <c r="C1100" s="1" t="s">
        <v>2</v>
      </c>
      <c r="D1100">
        <f t="shared" si="145"/>
        <v>0</v>
      </c>
      <c r="E1100">
        <f t="shared" si="146"/>
        <v>-2</v>
      </c>
      <c r="F1100">
        <f t="shared" si="144"/>
        <v>-2</v>
      </c>
      <c r="G1100">
        <f t="shared" si="147"/>
        <v>16</v>
      </c>
      <c r="H1100">
        <f t="shared" si="148"/>
        <v>0</v>
      </c>
      <c r="I1100">
        <f t="shared" si="149"/>
        <v>60</v>
      </c>
      <c r="J1100" t="str">
        <f t="shared" si="150"/>
        <v>DarkelfObsoleteStr</v>
      </c>
    </row>
    <row r="1101" spans="1:10" x14ac:dyDescent="0.3">
      <c r="A1101" s="1" t="str">
        <f t="shared" si="143"/>
        <v>Darkelf</v>
      </c>
      <c r="B1101" s="1" t="s">
        <v>31</v>
      </c>
      <c r="C1101" s="1" t="s">
        <v>3</v>
      </c>
      <c r="D1101">
        <f t="shared" si="145"/>
        <v>1</v>
      </c>
      <c r="E1101">
        <f t="shared" si="146"/>
        <v>-1</v>
      </c>
      <c r="F1101">
        <f t="shared" si="144"/>
        <v>0</v>
      </c>
      <c r="G1101">
        <f t="shared" si="147"/>
        <v>10</v>
      </c>
      <c r="H1101">
        <f t="shared" si="148"/>
        <v>0</v>
      </c>
      <c r="I1101">
        <f t="shared" si="149"/>
        <v>80</v>
      </c>
      <c r="J1101" t="str">
        <f t="shared" si="150"/>
        <v>DarkelfObsoleteDex</v>
      </c>
    </row>
    <row r="1102" spans="1:10" x14ac:dyDescent="0.3">
      <c r="A1102" s="1" t="str">
        <f t="shared" si="143"/>
        <v>Darkelf</v>
      </c>
      <c r="B1102" s="1" t="s">
        <v>31</v>
      </c>
      <c r="C1102" s="1" t="s">
        <v>4</v>
      </c>
      <c r="D1102">
        <f t="shared" si="145"/>
        <v>0</v>
      </c>
      <c r="E1102">
        <f t="shared" si="146"/>
        <v>-2</v>
      </c>
      <c r="F1102">
        <f t="shared" si="144"/>
        <v>-2</v>
      </c>
      <c r="G1102">
        <f t="shared" si="147"/>
        <v>16</v>
      </c>
      <c r="H1102">
        <f t="shared" si="148"/>
        <v>0</v>
      </c>
      <c r="I1102">
        <f t="shared" si="149"/>
        <v>60</v>
      </c>
      <c r="J1102" t="str">
        <f t="shared" si="150"/>
        <v>DarkelfObsoleteCon</v>
      </c>
    </row>
    <row r="1103" spans="1:10" x14ac:dyDescent="0.3">
      <c r="A1103" s="1" t="str">
        <f t="shared" si="143"/>
        <v>Darkelf</v>
      </c>
      <c r="B1103" s="1" t="s">
        <v>31</v>
      </c>
      <c r="C1103" s="1" t="s">
        <v>5</v>
      </c>
      <c r="D1103">
        <f t="shared" si="145"/>
        <v>-2</v>
      </c>
      <c r="E1103">
        <f t="shared" si="146"/>
        <v>1</v>
      </c>
      <c r="F1103">
        <f t="shared" si="144"/>
        <v>-1</v>
      </c>
      <c r="G1103">
        <f t="shared" si="147"/>
        <v>13</v>
      </c>
      <c r="H1103">
        <f t="shared" si="148"/>
        <v>0</v>
      </c>
      <c r="I1103">
        <f t="shared" si="149"/>
        <v>70</v>
      </c>
      <c r="J1103" t="str">
        <f t="shared" si="150"/>
        <v>DarkelfObsoleteCha</v>
      </c>
    </row>
    <row r="1104" spans="1:10" x14ac:dyDescent="0.3">
      <c r="A1104" s="1" t="str">
        <f t="shared" si="143"/>
        <v>Darkelf</v>
      </c>
      <c r="B1104" s="1" t="s">
        <v>31</v>
      </c>
      <c r="C1104" s="1" t="s">
        <v>6</v>
      </c>
      <c r="D1104">
        <f t="shared" si="145"/>
        <v>0</v>
      </c>
      <c r="E1104">
        <f t="shared" si="146"/>
        <v>2</v>
      </c>
      <c r="F1104">
        <f t="shared" si="144"/>
        <v>2</v>
      </c>
      <c r="G1104">
        <f t="shared" si="147"/>
        <v>8</v>
      </c>
      <c r="H1104">
        <f t="shared" si="148"/>
        <v>12</v>
      </c>
      <c r="I1104">
        <f t="shared" si="149"/>
        <v>100</v>
      </c>
      <c r="J1104" t="str">
        <f t="shared" si="150"/>
        <v>DarkelfObsoleteBra</v>
      </c>
    </row>
    <row r="1105" spans="1:10" x14ac:dyDescent="0.3">
      <c r="A1105" s="1" t="str">
        <f t="shared" si="143"/>
        <v>Darkelf</v>
      </c>
      <c r="B1105" s="1" t="s">
        <v>31</v>
      </c>
      <c r="C1105" s="1" t="s">
        <v>7</v>
      </c>
      <c r="D1105">
        <f t="shared" si="145"/>
        <v>0</v>
      </c>
      <c r="E1105">
        <f t="shared" si="146"/>
        <v>0</v>
      </c>
      <c r="F1105">
        <f t="shared" si="144"/>
        <v>0</v>
      </c>
      <c r="G1105">
        <f t="shared" si="147"/>
        <v>10</v>
      </c>
      <c r="H1105">
        <f t="shared" si="148"/>
        <v>0</v>
      </c>
      <c r="I1105">
        <f t="shared" si="149"/>
        <v>80</v>
      </c>
      <c r="J1105" t="str">
        <f t="shared" si="150"/>
        <v>DarkelfObsoleteHP</v>
      </c>
    </row>
    <row r="1106" spans="1:10" x14ac:dyDescent="0.3">
      <c r="A1106" s="1" t="str">
        <f t="shared" si="143"/>
        <v>Darkelf</v>
      </c>
      <c r="B1106" s="1" t="s">
        <v>91</v>
      </c>
      <c r="C1106" s="1" t="s">
        <v>0</v>
      </c>
      <c r="D1106">
        <f t="shared" si="145"/>
        <v>-1</v>
      </c>
      <c r="E1106">
        <f t="shared" si="146"/>
        <v>-7</v>
      </c>
      <c r="F1106">
        <f t="shared" si="144"/>
        <v>-8</v>
      </c>
      <c r="G1106">
        <f t="shared" si="147"/>
        <v>31</v>
      </c>
      <c r="H1106">
        <f t="shared" si="148"/>
        <v>0</v>
      </c>
      <c r="I1106">
        <f t="shared" si="149"/>
        <v>0</v>
      </c>
      <c r="J1106" t="str">
        <f t="shared" si="150"/>
        <v>DarkelfNecromancerMag</v>
      </c>
    </row>
    <row r="1107" spans="1:10" x14ac:dyDescent="0.3">
      <c r="A1107" s="1" t="str">
        <f t="shared" si="143"/>
        <v>Darkelf</v>
      </c>
      <c r="B1107" s="1" t="s">
        <v>91</v>
      </c>
      <c r="C1107" s="1" t="s">
        <v>1</v>
      </c>
      <c r="D1107">
        <f t="shared" si="145"/>
        <v>2</v>
      </c>
      <c r="E1107">
        <f t="shared" si="146"/>
        <v>0</v>
      </c>
      <c r="F1107">
        <f t="shared" si="144"/>
        <v>2</v>
      </c>
      <c r="G1107">
        <f t="shared" si="147"/>
        <v>8</v>
      </c>
      <c r="H1107">
        <f t="shared" si="148"/>
        <v>12</v>
      </c>
      <c r="I1107">
        <f t="shared" si="149"/>
        <v>100</v>
      </c>
      <c r="J1107" t="str">
        <f t="shared" si="150"/>
        <v>DarkelfNecromancerDiv</v>
      </c>
    </row>
    <row r="1108" spans="1:10" x14ac:dyDescent="0.3">
      <c r="A1108" s="1" t="str">
        <f t="shared" ref="A1108:A1145" si="151">A1107</f>
        <v>Darkelf</v>
      </c>
      <c r="B1108" s="1" t="s">
        <v>91</v>
      </c>
      <c r="C1108" s="1" t="s">
        <v>2</v>
      </c>
      <c r="D1108">
        <f t="shared" si="145"/>
        <v>0</v>
      </c>
      <c r="E1108">
        <f t="shared" si="146"/>
        <v>-1</v>
      </c>
      <c r="F1108">
        <f t="shared" si="144"/>
        <v>-1</v>
      </c>
      <c r="G1108">
        <f t="shared" si="147"/>
        <v>13</v>
      </c>
      <c r="H1108">
        <f t="shared" si="148"/>
        <v>0</v>
      </c>
      <c r="I1108">
        <f t="shared" si="149"/>
        <v>70</v>
      </c>
      <c r="J1108" t="str">
        <f t="shared" si="150"/>
        <v>DarkelfNecromancerStr</v>
      </c>
    </row>
    <row r="1109" spans="1:10" x14ac:dyDescent="0.3">
      <c r="A1109" s="1" t="str">
        <f t="shared" si="151"/>
        <v>Darkelf</v>
      </c>
      <c r="B1109" s="1" t="s">
        <v>91</v>
      </c>
      <c r="C1109" s="1" t="s">
        <v>3</v>
      </c>
      <c r="D1109">
        <f t="shared" si="145"/>
        <v>1</v>
      </c>
      <c r="E1109">
        <f t="shared" si="146"/>
        <v>1</v>
      </c>
      <c r="F1109">
        <f t="shared" si="144"/>
        <v>2</v>
      </c>
      <c r="G1109">
        <f t="shared" si="147"/>
        <v>8</v>
      </c>
      <c r="H1109">
        <f t="shared" si="148"/>
        <v>12</v>
      </c>
      <c r="I1109">
        <f t="shared" si="149"/>
        <v>100</v>
      </c>
      <c r="J1109" t="str">
        <f t="shared" si="150"/>
        <v>DarkelfNecromancerDex</v>
      </c>
    </row>
    <row r="1110" spans="1:10" x14ac:dyDescent="0.3">
      <c r="A1110" s="1" t="str">
        <f t="shared" si="151"/>
        <v>Darkelf</v>
      </c>
      <c r="B1110" s="1" t="s">
        <v>91</v>
      </c>
      <c r="C1110" s="1" t="s">
        <v>4</v>
      </c>
      <c r="D1110">
        <f t="shared" si="145"/>
        <v>0</v>
      </c>
      <c r="E1110">
        <f t="shared" si="146"/>
        <v>-3</v>
      </c>
      <c r="F1110">
        <f t="shared" si="144"/>
        <v>-3</v>
      </c>
      <c r="G1110">
        <f t="shared" si="147"/>
        <v>19</v>
      </c>
      <c r="H1110">
        <f t="shared" si="148"/>
        <v>0</v>
      </c>
      <c r="I1110">
        <f t="shared" si="149"/>
        <v>50</v>
      </c>
      <c r="J1110" t="str">
        <f t="shared" si="150"/>
        <v>DarkelfNecromancerCon</v>
      </c>
    </row>
    <row r="1111" spans="1:10" x14ac:dyDescent="0.3">
      <c r="A1111" s="1" t="str">
        <f t="shared" si="151"/>
        <v>Darkelf</v>
      </c>
      <c r="B1111" s="1" t="s">
        <v>91</v>
      </c>
      <c r="C1111" s="1" t="s">
        <v>5</v>
      </c>
      <c r="D1111">
        <f t="shared" si="145"/>
        <v>-2</v>
      </c>
      <c r="E1111">
        <f t="shared" si="146"/>
        <v>2</v>
      </c>
      <c r="F1111">
        <f t="shared" si="144"/>
        <v>0</v>
      </c>
      <c r="G1111">
        <f t="shared" si="147"/>
        <v>10</v>
      </c>
      <c r="H1111">
        <f t="shared" si="148"/>
        <v>0</v>
      </c>
      <c r="I1111">
        <f t="shared" si="149"/>
        <v>80</v>
      </c>
      <c r="J1111" t="str">
        <f t="shared" si="150"/>
        <v>DarkelfNecromancerCha</v>
      </c>
    </row>
    <row r="1112" spans="1:10" x14ac:dyDescent="0.3">
      <c r="A1112" s="1" t="str">
        <f t="shared" si="151"/>
        <v>Darkelf</v>
      </c>
      <c r="B1112" s="1" t="s">
        <v>91</v>
      </c>
      <c r="C1112" s="1" t="s">
        <v>6</v>
      </c>
      <c r="D1112">
        <f t="shared" si="145"/>
        <v>0</v>
      </c>
      <c r="E1112">
        <f t="shared" si="146"/>
        <v>3</v>
      </c>
      <c r="F1112">
        <f t="shared" si="144"/>
        <v>3</v>
      </c>
      <c r="G1112">
        <f t="shared" si="147"/>
        <v>7</v>
      </c>
      <c r="H1112">
        <f t="shared" si="148"/>
        <v>11</v>
      </c>
      <c r="I1112">
        <f t="shared" si="149"/>
        <v>105</v>
      </c>
      <c r="J1112" t="str">
        <f t="shared" si="150"/>
        <v>DarkelfNecromancerBra</v>
      </c>
    </row>
    <row r="1113" spans="1:10" x14ac:dyDescent="0.3">
      <c r="A1113" s="1" t="str">
        <f t="shared" si="151"/>
        <v>Darkelf</v>
      </c>
      <c r="B1113" s="1" t="s">
        <v>91</v>
      </c>
      <c r="C1113" s="1" t="s">
        <v>7</v>
      </c>
      <c r="D1113">
        <f t="shared" si="145"/>
        <v>0</v>
      </c>
      <c r="E1113">
        <f t="shared" si="146"/>
        <v>-2</v>
      </c>
      <c r="F1113">
        <f t="shared" si="144"/>
        <v>-2</v>
      </c>
      <c r="G1113">
        <f t="shared" si="147"/>
        <v>16</v>
      </c>
      <c r="H1113">
        <f t="shared" si="148"/>
        <v>0</v>
      </c>
      <c r="I1113">
        <f t="shared" si="149"/>
        <v>60</v>
      </c>
      <c r="J1113" t="str">
        <f t="shared" si="150"/>
        <v>DarkelfNecromancerHP</v>
      </c>
    </row>
    <row r="1114" spans="1:10" x14ac:dyDescent="0.3">
      <c r="A1114" s="1" t="str">
        <f t="shared" si="151"/>
        <v>Darkelf</v>
      </c>
      <c r="B1114" s="1" t="s">
        <v>15</v>
      </c>
      <c r="C1114" s="1" t="s">
        <v>0</v>
      </c>
      <c r="D1114">
        <f t="shared" si="145"/>
        <v>-1</v>
      </c>
      <c r="E1114">
        <f t="shared" si="146"/>
        <v>-7</v>
      </c>
      <c r="F1114">
        <f t="shared" si="144"/>
        <v>-8</v>
      </c>
      <c r="G1114">
        <f t="shared" si="147"/>
        <v>31</v>
      </c>
      <c r="H1114">
        <f t="shared" si="148"/>
        <v>0</v>
      </c>
      <c r="I1114">
        <f t="shared" si="149"/>
        <v>0</v>
      </c>
      <c r="J1114" t="str">
        <f t="shared" si="150"/>
        <v>DarkelfPriestMag</v>
      </c>
    </row>
    <row r="1115" spans="1:10" x14ac:dyDescent="0.3">
      <c r="A1115" s="1" t="str">
        <f t="shared" si="151"/>
        <v>Darkelf</v>
      </c>
      <c r="B1115" s="1" t="s">
        <v>15</v>
      </c>
      <c r="C1115" s="1" t="s">
        <v>1</v>
      </c>
      <c r="D1115">
        <f t="shared" si="145"/>
        <v>2</v>
      </c>
      <c r="E1115">
        <f t="shared" si="146"/>
        <v>3</v>
      </c>
      <c r="F1115">
        <f t="shared" ref="F1115:F1145" si="152">E1115+D1115</f>
        <v>5</v>
      </c>
      <c r="G1115">
        <f t="shared" si="147"/>
        <v>5</v>
      </c>
      <c r="H1115">
        <f t="shared" si="148"/>
        <v>8</v>
      </c>
      <c r="I1115">
        <f t="shared" si="149"/>
        <v>110</v>
      </c>
      <c r="J1115" t="str">
        <f t="shared" si="150"/>
        <v>DarkelfPriestDiv</v>
      </c>
    </row>
    <row r="1116" spans="1:10" x14ac:dyDescent="0.3">
      <c r="A1116" s="1" t="str">
        <f t="shared" si="151"/>
        <v>Darkelf</v>
      </c>
      <c r="B1116" s="1" t="s">
        <v>15</v>
      </c>
      <c r="C1116" s="1" t="s">
        <v>2</v>
      </c>
      <c r="D1116">
        <f t="shared" si="145"/>
        <v>0</v>
      </c>
      <c r="E1116">
        <f t="shared" si="146"/>
        <v>0</v>
      </c>
      <c r="F1116">
        <f t="shared" si="152"/>
        <v>0</v>
      </c>
      <c r="G1116">
        <f t="shared" si="147"/>
        <v>10</v>
      </c>
      <c r="H1116">
        <f t="shared" si="148"/>
        <v>0</v>
      </c>
      <c r="I1116">
        <f t="shared" si="149"/>
        <v>80</v>
      </c>
      <c r="J1116" t="str">
        <f t="shared" si="150"/>
        <v>DarkelfPriestStr</v>
      </c>
    </row>
    <row r="1117" spans="1:10" x14ac:dyDescent="0.3">
      <c r="A1117" s="1" t="str">
        <f t="shared" si="151"/>
        <v>Darkelf</v>
      </c>
      <c r="B1117" s="1" t="s">
        <v>15</v>
      </c>
      <c r="C1117" s="1" t="s">
        <v>3</v>
      </c>
      <c r="D1117">
        <f t="shared" si="145"/>
        <v>1</v>
      </c>
      <c r="E1117">
        <f t="shared" si="146"/>
        <v>-2</v>
      </c>
      <c r="F1117">
        <f t="shared" si="152"/>
        <v>-1</v>
      </c>
      <c r="G1117">
        <f t="shared" si="147"/>
        <v>13</v>
      </c>
      <c r="H1117">
        <f t="shared" si="148"/>
        <v>0</v>
      </c>
      <c r="I1117">
        <f t="shared" si="149"/>
        <v>70</v>
      </c>
      <c r="J1117" t="str">
        <f t="shared" si="150"/>
        <v>DarkelfPriestDex</v>
      </c>
    </row>
    <row r="1118" spans="1:10" x14ac:dyDescent="0.3">
      <c r="A1118" s="1" t="str">
        <f t="shared" si="151"/>
        <v>Darkelf</v>
      </c>
      <c r="B1118" s="1" t="s">
        <v>15</v>
      </c>
      <c r="C1118" s="1" t="s">
        <v>4</v>
      </c>
      <c r="D1118">
        <f t="shared" si="145"/>
        <v>0</v>
      </c>
      <c r="E1118">
        <f t="shared" si="146"/>
        <v>-3</v>
      </c>
      <c r="F1118">
        <f t="shared" si="152"/>
        <v>-3</v>
      </c>
      <c r="G1118">
        <f t="shared" si="147"/>
        <v>19</v>
      </c>
      <c r="H1118">
        <f t="shared" si="148"/>
        <v>0</v>
      </c>
      <c r="I1118">
        <f t="shared" si="149"/>
        <v>50</v>
      </c>
      <c r="J1118" t="str">
        <f t="shared" si="150"/>
        <v>DarkelfPriestCon</v>
      </c>
    </row>
    <row r="1119" spans="1:10" x14ac:dyDescent="0.3">
      <c r="A1119" s="1" t="str">
        <f t="shared" si="151"/>
        <v>Darkelf</v>
      </c>
      <c r="B1119" s="1" t="s">
        <v>15</v>
      </c>
      <c r="C1119" s="1" t="s">
        <v>5</v>
      </c>
      <c r="D1119">
        <f t="shared" si="145"/>
        <v>-2</v>
      </c>
      <c r="E1119">
        <f t="shared" si="146"/>
        <v>2</v>
      </c>
      <c r="F1119">
        <f t="shared" si="152"/>
        <v>0</v>
      </c>
      <c r="G1119">
        <f t="shared" si="147"/>
        <v>10</v>
      </c>
      <c r="H1119">
        <f t="shared" si="148"/>
        <v>0</v>
      </c>
      <c r="I1119">
        <f t="shared" si="149"/>
        <v>80</v>
      </c>
      <c r="J1119" t="str">
        <f t="shared" si="150"/>
        <v>DarkelfPriestCha</v>
      </c>
    </row>
    <row r="1120" spans="1:10" x14ac:dyDescent="0.3">
      <c r="A1120" s="1" t="str">
        <f t="shared" si="151"/>
        <v>Darkelf</v>
      </c>
      <c r="B1120" s="1" t="s">
        <v>15</v>
      </c>
      <c r="C1120" s="1" t="s">
        <v>6</v>
      </c>
      <c r="D1120">
        <f t="shared" si="145"/>
        <v>0</v>
      </c>
      <c r="E1120">
        <f t="shared" si="146"/>
        <v>1</v>
      </c>
      <c r="F1120">
        <f t="shared" si="152"/>
        <v>1</v>
      </c>
      <c r="G1120">
        <f t="shared" si="147"/>
        <v>9</v>
      </c>
      <c r="H1120">
        <f t="shared" si="148"/>
        <v>14</v>
      </c>
      <c r="I1120">
        <f t="shared" si="149"/>
        <v>90</v>
      </c>
      <c r="J1120" t="str">
        <f t="shared" si="150"/>
        <v>DarkelfPriestBra</v>
      </c>
    </row>
    <row r="1121" spans="1:10" x14ac:dyDescent="0.3">
      <c r="A1121" s="1" t="str">
        <f t="shared" si="151"/>
        <v>Darkelf</v>
      </c>
      <c r="B1121" s="1" t="s">
        <v>15</v>
      </c>
      <c r="C1121" s="1" t="s">
        <v>7</v>
      </c>
      <c r="D1121">
        <f t="shared" si="145"/>
        <v>0</v>
      </c>
      <c r="E1121">
        <f t="shared" si="146"/>
        <v>-1</v>
      </c>
      <c r="F1121">
        <f t="shared" si="152"/>
        <v>-1</v>
      </c>
      <c r="G1121">
        <f t="shared" si="147"/>
        <v>13</v>
      </c>
      <c r="H1121">
        <f t="shared" si="148"/>
        <v>0</v>
      </c>
      <c r="I1121">
        <f t="shared" si="149"/>
        <v>70</v>
      </c>
      <c r="J1121" t="str">
        <f t="shared" si="150"/>
        <v>DarkelfPriestHP</v>
      </c>
    </row>
    <row r="1122" spans="1:10" x14ac:dyDescent="0.3">
      <c r="A1122" s="1" t="str">
        <f t="shared" si="151"/>
        <v>Darkelf</v>
      </c>
      <c r="B1122" s="1" t="s">
        <v>92</v>
      </c>
      <c r="C1122" s="1" t="s">
        <v>0</v>
      </c>
      <c r="D1122">
        <f t="shared" si="145"/>
        <v>-1</v>
      </c>
      <c r="E1122">
        <f t="shared" si="146"/>
        <v>2</v>
      </c>
      <c r="F1122">
        <f t="shared" si="152"/>
        <v>1</v>
      </c>
      <c r="G1122">
        <f t="shared" si="147"/>
        <v>9</v>
      </c>
      <c r="H1122">
        <f t="shared" si="148"/>
        <v>14</v>
      </c>
      <c r="I1122">
        <f t="shared" si="149"/>
        <v>90</v>
      </c>
      <c r="J1122" t="str">
        <f t="shared" si="150"/>
        <v>DarkelfMageMag</v>
      </c>
    </row>
    <row r="1123" spans="1:10" x14ac:dyDescent="0.3">
      <c r="A1123" s="1" t="str">
        <f t="shared" si="151"/>
        <v>Darkelf</v>
      </c>
      <c r="B1123" s="1" t="s">
        <v>92</v>
      </c>
      <c r="C1123" s="1" t="s">
        <v>1</v>
      </c>
      <c r="D1123">
        <f t="shared" si="145"/>
        <v>2</v>
      </c>
      <c r="E1123">
        <f t="shared" si="146"/>
        <v>-7</v>
      </c>
      <c r="F1123">
        <f t="shared" si="152"/>
        <v>-5</v>
      </c>
      <c r="G1123">
        <f t="shared" si="147"/>
        <v>25</v>
      </c>
      <c r="H1123">
        <f t="shared" si="148"/>
        <v>0</v>
      </c>
      <c r="I1123">
        <f t="shared" si="149"/>
        <v>30</v>
      </c>
      <c r="J1123" t="str">
        <f t="shared" si="150"/>
        <v>DarkelfMageDiv</v>
      </c>
    </row>
    <row r="1124" spans="1:10" x14ac:dyDescent="0.3">
      <c r="A1124" s="1" t="str">
        <f t="shared" si="151"/>
        <v>Darkelf</v>
      </c>
      <c r="B1124" s="1" t="s">
        <v>92</v>
      </c>
      <c r="C1124" s="1" t="s">
        <v>2</v>
      </c>
      <c r="D1124">
        <f t="shared" si="145"/>
        <v>0</v>
      </c>
      <c r="E1124">
        <f t="shared" si="146"/>
        <v>-3</v>
      </c>
      <c r="F1124">
        <f t="shared" si="152"/>
        <v>-3</v>
      </c>
      <c r="G1124">
        <f t="shared" si="147"/>
        <v>19</v>
      </c>
      <c r="H1124">
        <f t="shared" si="148"/>
        <v>0</v>
      </c>
      <c r="I1124">
        <f t="shared" si="149"/>
        <v>50</v>
      </c>
      <c r="J1124" t="str">
        <f t="shared" si="150"/>
        <v>DarkelfMageStr</v>
      </c>
    </row>
    <row r="1125" spans="1:10" x14ac:dyDescent="0.3">
      <c r="A1125" s="1" t="str">
        <f t="shared" si="151"/>
        <v>Darkelf</v>
      </c>
      <c r="B1125" s="1" t="s">
        <v>92</v>
      </c>
      <c r="C1125" s="1" t="s">
        <v>3</v>
      </c>
      <c r="D1125">
        <f t="shared" si="145"/>
        <v>1</v>
      </c>
      <c r="E1125">
        <f t="shared" si="146"/>
        <v>0</v>
      </c>
      <c r="F1125">
        <f t="shared" si="152"/>
        <v>1</v>
      </c>
      <c r="G1125">
        <f t="shared" si="147"/>
        <v>9</v>
      </c>
      <c r="H1125">
        <f t="shared" si="148"/>
        <v>14</v>
      </c>
      <c r="I1125">
        <f t="shared" si="149"/>
        <v>90</v>
      </c>
      <c r="J1125" t="str">
        <f t="shared" si="150"/>
        <v>DarkelfMageDex</v>
      </c>
    </row>
    <row r="1126" spans="1:10" x14ac:dyDescent="0.3">
      <c r="A1126" s="1" t="str">
        <f t="shared" si="151"/>
        <v>Darkelf</v>
      </c>
      <c r="B1126" s="1" t="s">
        <v>92</v>
      </c>
      <c r="C1126" s="1" t="s">
        <v>4</v>
      </c>
      <c r="D1126">
        <f t="shared" si="145"/>
        <v>0</v>
      </c>
      <c r="E1126">
        <f t="shared" si="146"/>
        <v>-1</v>
      </c>
      <c r="F1126">
        <f t="shared" si="152"/>
        <v>-1</v>
      </c>
      <c r="G1126">
        <f t="shared" si="147"/>
        <v>13</v>
      </c>
      <c r="H1126">
        <f t="shared" si="148"/>
        <v>0</v>
      </c>
      <c r="I1126">
        <f t="shared" si="149"/>
        <v>70</v>
      </c>
      <c r="J1126" t="str">
        <f t="shared" si="150"/>
        <v>DarkelfMageCon</v>
      </c>
    </row>
    <row r="1127" spans="1:10" x14ac:dyDescent="0.3">
      <c r="A1127" s="1" t="str">
        <f t="shared" si="151"/>
        <v>Darkelf</v>
      </c>
      <c r="B1127" s="1" t="s">
        <v>92</v>
      </c>
      <c r="C1127" s="1" t="s">
        <v>5</v>
      </c>
      <c r="D1127">
        <f t="shared" si="145"/>
        <v>-2</v>
      </c>
      <c r="E1127">
        <f t="shared" si="146"/>
        <v>1</v>
      </c>
      <c r="F1127">
        <f t="shared" si="152"/>
        <v>-1</v>
      </c>
      <c r="G1127">
        <f t="shared" si="147"/>
        <v>13</v>
      </c>
      <c r="H1127">
        <f t="shared" si="148"/>
        <v>0</v>
      </c>
      <c r="I1127">
        <f t="shared" si="149"/>
        <v>70</v>
      </c>
      <c r="J1127" t="str">
        <f t="shared" si="150"/>
        <v>DarkelfMageCha</v>
      </c>
    </row>
    <row r="1128" spans="1:10" x14ac:dyDescent="0.3">
      <c r="A1128" s="1" t="str">
        <f t="shared" si="151"/>
        <v>Darkelf</v>
      </c>
      <c r="B1128" s="1" t="s">
        <v>92</v>
      </c>
      <c r="C1128" s="1" t="s">
        <v>6</v>
      </c>
      <c r="D1128">
        <f t="shared" si="145"/>
        <v>0</v>
      </c>
      <c r="E1128">
        <f t="shared" si="146"/>
        <v>3</v>
      </c>
      <c r="F1128">
        <f t="shared" si="152"/>
        <v>3</v>
      </c>
      <c r="G1128">
        <f t="shared" si="147"/>
        <v>7</v>
      </c>
      <c r="H1128">
        <f t="shared" si="148"/>
        <v>11</v>
      </c>
      <c r="I1128">
        <f t="shared" si="149"/>
        <v>105</v>
      </c>
      <c r="J1128" t="str">
        <f t="shared" si="150"/>
        <v>DarkelfMageBra</v>
      </c>
    </row>
    <row r="1129" spans="1:10" x14ac:dyDescent="0.3">
      <c r="A1129" s="1" t="str">
        <f t="shared" si="151"/>
        <v>Darkelf</v>
      </c>
      <c r="B1129" s="1" t="s">
        <v>92</v>
      </c>
      <c r="C1129" s="1" t="s">
        <v>7</v>
      </c>
      <c r="D1129">
        <f t="shared" si="145"/>
        <v>0</v>
      </c>
      <c r="E1129">
        <f t="shared" si="146"/>
        <v>-2</v>
      </c>
      <c r="F1129">
        <f t="shared" si="152"/>
        <v>-2</v>
      </c>
      <c r="G1129">
        <f t="shared" si="147"/>
        <v>16</v>
      </c>
      <c r="H1129">
        <f t="shared" si="148"/>
        <v>0</v>
      </c>
      <c r="I1129">
        <f t="shared" si="149"/>
        <v>60</v>
      </c>
      <c r="J1129" t="str">
        <f t="shared" si="150"/>
        <v>DarkelfMageHP</v>
      </c>
    </row>
    <row r="1130" spans="1:10" x14ac:dyDescent="0.3">
      <c r="A1130" s="1" t="str">
        <f t="shared" si="151"/>
        <v>Darkelf</v>
      </c>
      <c r="B1130" s="1" t="s">
        <v>62</v>
      </c>
      <c r="C1130" s="1" t="s">
        <v>0</v>
      </c>
      <c r="D1130">
        <f t="shared" si="145"/>
        <v>-1</v>
      </c>
      <c r="E1130">
        <f t="shared" si="146"/>
        <v>3</v>
      </c>
      <c r="F1130">
        <f t="shared" si="152"/>
        <v>2</v>
      </c>
      <c r="G1130">
        <f t="shared" si="147"/>
        <v>8</v>
      </c>
      <c r="H1130">
        <f t="shared" si="148"/>
        <v>12</v>
      </c>
      <c r="I1130">
        <f t="shared" si="149"/>
        <v>100</v>
      </c>
      <c r="J1130" t="str">
        <f t="shared" si="150"/>
        <v>DarkelfSorcererMag</v>
      </c>
    </row>
    <row r="1131" spans="1:10" x14ac:dyDescent="0.3">
      <c r="A1131" s="1" t="str">
        <f t="shared" si="151"/>
        <v>Darkelf</v>
      </c>
      <c r="B1131" s="1" t="s">
        <v>62</v>
      </c>
      <c r="C1131" s="1" t="s">
        <v>1</v>
      </c>
      <c r="D1131">
        <f t="shared" si="145"/>
        <v>2</v>
      </c>
      <c r="E1131">
        <f t="shared" si="146"/>
        <v>-7</v>
      </c>
      <c r="F1131">
        <f t="shared" si="152"/>
        <v>-5</v>
      </c>
      <c r="G1131">
        <f t="shared" si="147"/>
        <v>25</v>
      </c>
      <c r="H1131">
        <f t="shared" si="148"/>
        <v>0</v>
      </c>
      <c r="I1131">
        <f t="shared" si="149"/>
        <v>30</v>
      </c>
      <c r="J1131" t="str">
        <f t="shared" si="150"/>
        <v>DarkelfSorcererDiv</v>
      </c>
    </row>
    <row r="1132" spans="1:10" x14ac:dyDescent="0.3">
      <c r="A1132" s="1" t="str">
        <f t="shared" si="151"/>
        <v>Darkelf</v>
      </c>
      <c r="B1132" s="1" t="s">
        <v>62</v>
      </c>
      <c r="C1132" s="1" t="s">
        <v>2</v>
      </c>
      <c r="D1132">
        <f t="shared" si="145"/>
        <v>0</v>
      </c>
      <c r="E1132">
        <f t="shared" si="146"/>
        <v>-3</v>
      </c>
      <c r="F1132">
        <f t="shared" si="152"/>
        <v>-3</v>
      </c>
      <c r="G1132">
        <f t="shared" si="147"/>
        <v>19</v>
      </c>
      <c r="H1132">
        <f t="shared" si="148"/>
        <v>0</v>
      </c>
      <c r="I1132">
        <f t="shared" si="149"/>
        <v>50</v>
      </c>
      <c r="J1132" t="str">
        <f t="shared" si="150"/>
        <v>DarkelfSorcererStr</v>
      </c>
    </row>
    <row r="1133" spans="1:10" x14ac:dyDescent="0.3">
      <c r="A1133" s="1" t="str">
        <f t="shared" si="151"/>
        <v>Darkelf</v>
      </c>
      <c r="B1133" s="1" t="s">
        <v>62</v>
      </c>
      <c r="C1133" s="1" t="s">
        <v>3</v>
      </c>
      <c r="D1133">
        <f t="shared" si="145"/>
        <v>1</v>
      </c>
      <c r="E1133">
        <f t="shared" si="146"/>
        <v>0</v>
      </c>
      <c r="F1133">
        <f t="shared" si="152"/>
        <v>1</v>
      </c>
      <c r="G1133">
        <f t="shared" si="147"/>
        <v>9</v>
      </c>
      <c r="H1133">
        <f t="shared" si="148"/>
        <v>14</v>
      </c>
      <c r="I1133">
        <f t="shared" si="149"/>
        <v>90</v>
      </c>
      <c r="J1133" t="str">
        <f t="shared" si="150"/>
        <v>DarkelfSorcererDex</v>
      </c>
    </row>
    <row r="1134" spans="1:10" x14ac:dyDescent="0.3">
      <c r="A1134" s="1" t="str">
        <f t="shared" si="151"/>
        <v>Darkelf</v>
      </c>
      <c r="B1134" s="1" t="s">
        <v>62</v>
      </c>
      <c r="C1134" s="1" t="s">
        <v>4</v>
      </c>
      <c r="D1134">
        <f t="shared" si="145"/>
        <v>0</v>
      </c>
      <c r="E1134">
        <f t="shared" si="146"/>
        <v>-2</v>
      </c>
      <c r="F1134">
        <f t="shared" si="152"/>
        <v>-2</v>
      </c>
      <c r="G1134">
        <f t="shared" si="147"/>
        <v>16</v>
      </c>
      <c r="H1134">
        <f t="shared" si="148"/>
        <v>0</v>
      </c>
      <c r="I1134">
        <f t="shared" si="149"/>
        <v>60</v>
      </c>
      <c r="J1134" t="str">
        <f t="shared" si="150"/>
        <v>DarkelfSorcererCon</v>
      </c>
    </row>
    <row r="1135" spans="1:10" x14ac:dyDescent="0.3">
      <c r="A1135" s="1" t="str">
        <f t="shared" si="151"/>
        <v>Darkelf</v>
      </c>
      <c r="B1135" s="1" t="s">
        <v>62</v>
      </c>
      <c r="C1135" s="1" t="s">
        <v>5</v>
      </c>
      <c r="D1135">
        <f t="shared" si="145"/>
        <v>-2</v>
      </c>
      <c r="E1135">
        <f t="shared" si="146"/>
        <v>1</v>
      </c>
      <c r="F1135">
        <f t="shared" si="152"/>
        <v>-1</v>
      </c>
      <c r="G1135">
        <f t="shared" si="147"/>
        <v>13</v>
      </c>
      <c r="H1135">
        <f t="shared" si="148"/>
        <v>0</v>
      </c>
      <c r="I1135">
        <f t="shared" si="149"/>
        <v>70</v>
      </c>
      <c r="J1135" t="str">
        <f t="shared" si="150"/>
        <v>DarkelfSorcererCha</v>
      </c>
    </row>
    <row r="1136" spans="1:10" x14ac:dyDescent="0.3">
      <c r="A1136" s="1" t="str">
        <f t="shared" si="151"/>
        <v>Darkelf</v>
      </c>
      <c r="B1136" s="1" t="s">
        <v>62</v>
      </c>
      <c r="C1136" s="1" t="s">
        <v>6</v>
      </c>
      <c r="D1136">
        <f t="shared" si="145"/>
        <v>0</v>
      </c>
      <c r="E1136">
        <f t="shared" si="146"/>
        <v>2</v>
      </c>
      <c r="F1136">
        <f t="shared" si="152"/>
        <v>2</v>
      </c>
      <c r="G1136">
        <f t="shared" si="147"/>
        <v>8</v>
      </c>
      <c r="H1136">
        <f t="shared" si="148"/>
        <v>12</v>
      </c>
      <c r="I1136">
        <f t="shared" si="149"/>
        <v>100</v>
      </c>
      <c r="J1136" t="str">
        <f t="shared" si="150"/>
        <v>DarkelfSorcererBra</v>
      </c>
    </row>
    <row r="1137" spans="1:10" x14ac:dyDescent="0.3">
      <c r="A1137" s="1" t="str">
        <f t="shared" si="151"/>
        <v>Darkelf</v>
      </c>
      <c r="B1137" s="1" t="s">
        <v>62</v>
      </c>
      <c r="C1137" s="1" t="s">
        <v>7</v>
      </c>
      <c r="D1137">
        <f t="shared" si="145"/>
        <v>0</v>
      </c>
      <c r="E1137">
        <f t="shared" si="146"/>
        <v>-1</v>
      </c>
      <c r="F1137">
        <f t="shared" si="152"/>
        <v>-1</v>
      </c>
      <c r="G1137">
        <f t="shared" si="147"/>
        <v>13</v>
      </c>
      <c r="H1137">
        <f t="shared" si="148"/>
        <v>0</v>
      </c>
      <c r="I1137">
        <f t="shared" si="149"/>
        <v>70</v>
      </c>
      <c r="J1137" t="str">
        <f t="shared" si="150"/>
        <v>DarkelfSorcererHP</v>
      </c>
    </row>
    <row r="1138" spans="1:10" x14ac:dyDescent="0.3">
      <c r="A1138" s="1" t="str">
        <f t="shared" si="151"/>
        <v>Darkelf</v>
      </c>
      <c r="B1138" s="1" t="s">
        <v>22</v>
      </c>
      <c r="C1138" s="1" t="s">
        <v>0</v>
      </c>
      <c r="D1138">
        <f t="shared" si="145"/>
        <v>-1</v>
      </c>
      <c r="E1138">
        <f t="shared" si="146"/>
        <v>-5</v>
      </c>
      <c r="F1138">
        <f t="shared" si="152"/>
        <v>-6</v>
      </c>
      <c r="G1138">
        <f t="shared" si="147"/>
        <v>28</v>
      </c>
      <c r="H1138">
        <f t="shared" si="148"/>
        <v>0</v>
      </c>
      <c r="I1138">
        <f t="shared" si="149"/>
        <v>15</v>
      </c>
      <c r="J1138" t="str">
        <f t="shared" si="150"/>
        <v>DarkelfBarbarianMag</v>
      </c>
    </row>
    <row r="1139" spans="1:10" x14ac:dyDescent="0.3">
      <c r="A1139" s="1" t="str">
        <f t="shared" si="151"/>
        <v>Darkelf</v>
      </c>
      <c r="B1139" s="1" t="s">
        <v>22</v>
      </c>
      <c r="C1139" s="1" t="s">
        <v>1</v>
      </c>
      <c r="D1139">
        <f t="shared" si="145"/>
        <v>2</v>
      </c>
      <c r="E1139">
        <f t="shared" si="146"/>
        <v>-7</v>
      </c>
      <c r="F1139">
        <f t="shared" si="152"/>
        <v>-5</v>
      </c>
      <c r="G1139">
        <f t="shared" si="147"/>
        <v>25</v>
      </c>
      <c r="H1139">
        <f t="shared" si="148"/>
        <v>0</v>
      </c>
      <c r="I1139">
        <f t="shared" si="149"/>
        <v>30</v>
      </c>
      <c r="J1139" t="str">
        <f t="shared" si="150"/>
        <v>DarkelfBarbarianDiv</v>
      </c>
    </row>
    <row r="1140" spans="1:10" x14ac:dyDescent="0.3">
      <c r="A1140" s="1" t="str">
        <f t="shared" si="151"/>
        <v>Darkelf</v>
      </c>
      <c r="B1140" s="1" t="s">
        <v>22</v>
      </c>
      <c r="C1140" s="1" t="s">
        <v>2</v>
      </c>
      <c r="D1140">
        <f t="shared" si="145"/>
        <v>0</v>
      </c>
      <c r="E1140">
        <f t="shared" si="146"/>
        <v>3</v>
      </c>
      <c r="F1140">
        <f t="shared" si="152"/>
        <v>3</v>
      </c>
      <c r="G1140">
        <f t="shared" si="147"/>
        <v>7</v>
      </c>
      <c r="H1140">
        <f t="shared" si="148"/>
        <v>11</v>
      </c>
      <c r="I1140">
        <f t="shared" si="149"/>
        <v>105</v>
      </c>
      <c r="J1140" t="str">
        <f t="shared" si="150"/>
        <v>DarkelfBarbarianStr</v>
      </c>
    </row>
    <row r="1141" spans="1:10" x14ac:dyDescent="0.3">
      <c r="A1141" s="1" t="str">
        <f t="shared" si="151"/>
        <v>Darkelf</v>
      </c>
      <c r="B1141" s="1" t="s">
        <v>22</v>
      </c>
      <c r="C1141" s="1" t="s">
        <v>3</v>
      </c>
      <c r="D1141">
        <f t="shared" si="145"/>
        <v>1</v>
      </c>
      <c r="E1141">
        <f t="shared" si="146"/>
        <v>2</v>
      </c>
      <c r="F1141">
        <f t="shared" si="152"/>
        <v>3</v>
      </c>
      <c r="G1141">
        <f t="shared" si="147"/>
        <v>7</v>
      </c>
      <c r="H1141">
        <f t="shared" si="148"/>
        <v>11</v>
      </c>
      <c r="I1141">
        <f t="shared" si="149"/>
        <v>105</v>
      </c>
      <c r="J1141" t="str">
        <f t="shared" si="150"/>
        <v>DarkelfBarbarianDex</v>
      </c>
    </row>
    <row r="1142" spans="1:10" x14ac:dyDescent="0.3">
      <c r="A1142" s="1" t="str">
        <f t="shared" si="151"/>
        <v>Darkelf</v>
      </c>
      <c r="B1142" s="1" t="s">
        <v>22</v>
      </c>
      <c r="C1142" s="1" t="s">
        <v>4</v>
      </c>
      <c r="D1142">
        <f t="shared" si="145"/>
        <v>0</v>
      </c>
      <c r="E1142">
        <f t="shared" si="146"/>
        <v>0</v>
      </c>
      <c r="F1142">
        <f t="shared" si="152"/>
        <v>0</v>
      </c>
      <c r="G1142">
        <f t="shared" si="147"/>
        <v>10</v>
      </c>
      <c r="H1142">
        <f t="shared" si="148"/>
        <v>0</v>
      </c>
      <c r="I1142">
        <f t="shared" si="149"/>
        <v>80</v>
      </c>
      <c r="J1142" t="str">
        <f t="shared" si="150"/>
        <v>DarkelfBarbarianCon</v>
      </c>
    </row>
    <row r="1143" spans="1:10" x14ac:dyDescent="0.3">
      <c r="A1143" s="1" t="str">
        <f t="shared" si="151"/>
        <v>Darkelf</v>
      </c>
      <c r="B1143" s="1" t="s">
        <v>22</v>
      </c>
      <c r="C1143" s="1" t="s">
        <v>5</v>
      </c>
      <c r="D1143">
        <f t="shared" si="145"/>
        <v>-2</v>
      </c>
      <c r="E1143">
        <f t="shared" si="146"/>
        <v>-1</v>
      </c>
      <c r="F1143">
        <f t="shared" si="152"/>
        <v>-3</v>
      </c>
      <c r="G1143">
        <f t="shared" si="147"/>
        <v>19</v>
      </c>
      <c r="H1143">
        <f t="shared" si="148"/>
        <v>0</v>
      </c>
      <c r="I1143">
        <f t="shared" si="149"/>
        <v>50</v>
      </c>
      <c r="J1143" t="str">
        <f t="shared" si="150"/>
        <v>DarkelfBarbarianCha</v>
      </c>
    </row>
    <row r="1144" spans="1:10" x14ac:dyDescent="0.3">
      <c r="A1144" s="1" t="str">
        <f t="shared" si="151"/>
        <v>Darkelf</v>
      </c>
      <c r="B1144" s="1" t="s">
        <v>22</v>
      </c>
      <c r="C1144" s="1" t="s">
        <v>6</v>
      </c>
      <c r="D1144">
        <f t="shared" si="145"/>
        <v>0</v>
      </c>
      <c r="E1144">
        <f t="shared" si="146"/>
        <v>-2</v>
      </c>
      <c r="F1144">
        <f t="shared" si="152"/>
        <v>-2</v>
      </c>
      <c r="G1144">
        <f t="shared" si="147"/>
        <v>16</v>
      </c>
      <c r="H1144">
        <f t="shared" si="148"/>
        <v>0</v>
      </c>
      <c r="I1144">
        <f t="shared" si="149"/>
        <v>60</v>
      </c>
      <c r="J1144" t="str">
        <f t="shared" si="150"/>
        <v>DarkelfBarbarianBra</v>
      </c>
    </row>
    <row r="1145" spans="1:10" x14ac:dyDescent="0.3">
      <c r="A1145" s="1" t="str">
        <f t="shared" si="151"/>
        <v>Darkelf</v>
      </c>
      <c r="B1145" s="1" t="s">
        <v>22</v>
      </c>
      <c r="C1145" s="1" t="s">
        <v>7</v>
      </c>
      <c r="D1145">
        <f t="shared" si="145"/>
        <v>0</v>
      </c>
      <c r="E1145">
        <f t="shared" si="146"/>
        <v>1</v>
      </c>
      <c r="F1145">
        <f t="shared" si="152"/>
        <v>1</v>
      </c>
      <c r="G1145">
        <f t="shared" si="147"/>
        <v>9</v>
      </c>
      <c r="H1145">
        <f t="shared" si="148"/>
        <v>14</v>
      </c>
      <c r="I1145">
        <f t="shared" si="149"/>
        <v>90</v>
      </c>
      <c r="J1145" t="str">
        <f t="shared" si="150"/>
        <v>DarkelfBarbarianHP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2A9C5-3160-429D-9150-C58F49CF382B}">
  <sheetPr codeName="Sheet9"/>
  <dimension ref="A1:AI84"/>
  <sheetViews>
    <sheetView tabSelected="1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N62" sqref="N62"/>
    </sheetView>
  </sheetViews>
  <sheetFormatPr defaultRowHeight="14.4" x14ac:dyDescent="0.3"/>
  <cols>
    <col min="1" max="1" width="18.44140625" style="1" bestFit="1" customWidth="1"/>
    <col min="10" max="10" width="8.77734375" customWidth="1"/>
    <col min="15" max="15" width="8.77734375" style="47"/>
  </cols>
  <sheetData>
    <row r="1" spans="1:35" x14ac:dyDescent="0.3">
      <c r="A1" s="35" t="s">
        <v>109</v>
      </c>
      <c r="C1" t="s">
        <v>502</v>
      </c>
      <c r="O1" s="47" t="s">
        <v>508</v>
      </c>
      <c r="P1" t="s">
        <v>110</v>
      </c>
    </row>
    <row r="2" spans="1:35" s="1" customFormat="1" x14ac:dyDescent="0.3">
      <c r="A2" s="35"/>
      <c r="B2" s="1" t="s">
        <v>111</v>
      </c>
      <c r="C2" s="1" t="s">
        <v>112</v>
      </c>
      <c r="D2" s="1" t="s">
        <v>113</v>
      </c>
      <c r="E2" s="1" t="s">
        <v>114</v>
      </c>
      <c r="F2" s="1" t="s">
        <v>115</v>
      </c>
      <c r="G2" s="1" t="s">
        <v>116</v>
      </c>
      <c r="H2" s="1" t="s">
        <v>117</v>
      </c>
      <c r="I2" s="1" t="s">
        <v>118</v>
      </c>
      <c r="J2" s="1" t="s">
        <v>119</v>
      </c>
      <c r="K2" s="1" t="s">
        <v>120</v>
      </c>
      <c r="L2" s="1" t="s">
        <v>121</v>
      </c>
      <c r="M2" s="1" t="s">
        <v>122</v>
      </c>
      <c r="N2" s="1" t="s">
        <v>123</v>
      </c>
      <c r="P2" s="1" t="s">
        <v>124</v>
      </c>
      <c r="Q2" s="1" t="s">
        <v>125</v>
      </c>
      <c r="R2" s="1" t="s">
        <v>126</v>
      </c>
      <c r="S2" s="1" t="s">
        <v>127</v>
      </c>
      <c r="T2" s="1" t="s">
        <v>128</v>
      </c>
      <c r="U2" s="1" t="s">
        <v>129</v>
      </c>
      <c r="V2" s="1" t="s">
        <v>130</v>
      </c>
      <c r="W2" s="1" t="s">
        <v>131</v>
      </c>
      <c r="X2" s="1" t="s">
        <v>132</v>
      </c>
      <c r="Y2" s="1" t="s">
        <v>133</v>
      </c>
      <c r="Z2" s="1" t="s">
        <v>134</v>
      </c>
      <c r="AA2" s="1" t="s">
        <v>135</v>
      </c>
      <c r="AB2" s="1" t="s">
        <v>136</v>
      </c>
      <c r="AC2" s="1" t="s">
        <v>137</v>
      </c>
      <c r="AD2" s="1" t="s">
        <v>138</v>
      </c>
      <c r="AE2" s="1" t="s">
        <v>139</v>
      </c>
      <c r="AF2" s="1" t="s">
        <v>140</v>
      </c>
      <c r="AG2" s="1" t="s">
        <v>141</v>
      </c>
      <c r="AH2" s="1" t="s">
        <v>142</v>
      </c>
      <c r="AI2" s="1" t="s">
        <v>143</v>
      </c>
    </row>
    <row r="3" spans="1:35" x14ac:dyDescent="0.3">
      <c r="A3" s="35" t="s">
        <v>144</v>
      </c>
      <c r="B3" s="30">
        <v>-7</v>
      </c>
      <c r="C3" s="30">
        <v>-7</v>
      </c>
      <c r="D3" s="30">
        <v>1</v>
      </c>
      <c r="E3" s="30">
        <v>-7</v>
      </c>
      <c r="F3" s="30">
        <v>-7</v>
      </c>
      <c r="G3" s="30">
        <v>-7</v>
      </c>
      <c r="H3" s="30">
        <v>5</v>
      </c>
      <c r="I3" s="30">
        <v>3</v>
      </c>
      <c r="J3" s="30">
        <v>-7</v>
      </c>
      <c r="K3" s="30">
        <v>-7</v>
      </c>
      <c r="L3" s="30">
        <v>-7</v>
      </c>
      <c r="M3" s="30">
        <v>-7</v>
      </c>
      <c r="N3" s="30">
        <v>-7</v>
      </c>
      <c r="O3" s="50"/>
      <c r="P3" s="30">
        <v>5</v>
      </c>
      <c r="Q3" s="30">
        <v>2</v>
      </c>
      <c r="R3" s="30">
        <v>1</v>
      </c>
      <c r="S3" s="30">
        <v>1</v>
      </c>
      <c r="T3" s="30"/>
      <c r="U3" s="30"/>
      <c r="V3" s="30">
        <v>-1</v>
      </c>
      <c r="W3" s="30">
        <v>-1</v>
      </c>
      <c r="X3" s="30">
        <v>1</v>
      </c>
      <c r="Y3" s="30">
        <v>0</v>
      </c>
      <c r="Z3" s="30">
        <v>-1</v>
      </c>
      <c r="AA3" s="30">
        <v>-1</v>
      </c>
      <c r="AC3">
        <v>20</v>
      </c>
    </row>
    <row r="4" spans="1:35" x14ac:dyDescent="0.3">
      <c r="A4" s="35" t="s">
        <v>145</v>
      </c>
      <c r="B4" s="30">
        <v>-7</v>
      </c>
      <c r="C4" s="30">
        <v>0</v>
      </c>
      <c r="D4" s="30">
        <v>0</v>
      </c>
      <c r="E4" s="30">
        <v>0</v>
      </c>
      <c r="F4" s="30">
        <v>-3</v>
      </c>
      <c r="G4" s="30">
        <v>0</v>
      </c>
      <c r="H4" s="30">
        <v>2</v>
      </c>
      <c r="I4" s="30">
        <v>2</v>
      </c>
      <c r="J4" s="30">
        <v>-7</v>
      </c>
      <c r="K4" s="30">
        <v>2</v>
      </c>
      <c r="L4" s="30">
        <v>5</v>
      </c>
      <c r="M4" s="30">
        <v>5</v>
      </c>
      <c r="N4" s="30">
        <v>-7</v>
      </c>
      <c r="O4" s="50"/>
      <c r="P4" s="30"/>
      <c r="Q4" s="30"/>
      <c r="R4" s="30">
        <v>1</v>
      </c>
      <c r="S4" s="30"/>
      <c r="T4" s="30"/>
      <c r="U4" s="30">
        <v>1</v>
      </c>
      <c r="V4" s="30"/>
      <c r="W4" s="30"/>
      <c r="X4" s="30">
        <v>1</v>
      </c>
      <c r="Y4" s="30">
        <v>1</v>
      </c>
      <c r="Z4" s="30"/>
      <c r="AA4" s="30">
        <v>2</v>
      </c>
      <c r="AH4">
        <v>35</v>
      </c>
    </row>
    <row r="5" spans="1:35" x14ac:dyDescent="0.3">
      <c r="A5" s="35" t="s">
        <v>146</v>
      </c>
      <c r="B5" s="30">
        <v>-7</v>
      </c>
      <c r="C5" s="30">
        <v>-7</v>
      </c>
      <c r="D5" s="30">
        <v>-7</v>
      </c>
      <c r="E5" s="30">
        <v>-7</v>
      </c>
      <c r="F5" s="30">
        <v>-7</v>
      </c>
      <c r="G5" s="30">
        <v>-7</v>
      </c>
      <c r="H5" s="30">
        <v>-7</v>
      </c>
      <c r="I5" s="30">
        <v>3</v>
      </c>
      <c r="J5" s="30">
        <v>-7</v>
      </c>
      <c r="K5" s="30">
        <v>0</v>
      </c>
      <c r="L5" s="30">
        <v>5</v>
      </c>
      <c r="M5" s="30">
        <v>5</v>
      </c>
      <c r="N5" s="30">
        <v>-7</v>
      </c>
      <c r="O5" s="50"/>
      <c r="P5" s="30"/>
      <c r="Q5" s="30">
        <v>1</v>
      </c>
      <c r="R5" s="30"/>
      <c r="S5" s="30"/>
      <c r="T5" s="30">
        <v>1</v>
      </c>
      <c r="U5" s="30">
        <v>1</v>
      </c>
      <c r="V5" s="30"/>
      <c r="W5" s="30"/>
      <c r="X5" s="30"/>
      <c r="Y5" s="30">
        <v>2</v>
      </c>
      <c r="Z5" s="30"/>
      <c r="AA5" s="30">
        <v>1</v>
      </c>
      <c r="AH5">
        <v>20</v>
      </c>
    </row>
    <row r="6" spans="1:35" x14ac:dyDescent="0.3">
      <c r="A6" s="35" t="s">
        <v>147</v>
      </c>
      <c r="B6" s="30">
        <v>0</v>
      </c>
      <c r="C6" s="30">
        <v>1</v>
      </c>
      <c r="D6" s="30">
        <v>1</v>
      </c>
      <c r="E6" s="30">
        <v>5</v>
      </c>
      <c r="F6" s="30">
        <v>5</v>
      </c>
      <c r="G6" s="30">
        <v>5</v>
      </c>
      <c r="H6" s="30">
        <v>2</v>
      </c>
      <c r="I6" s="30">
        <v>3</v>
      </c>
      <c r="J6" s="30">
        <v>-7</v>
      </c>
      <c r="K6" s="30">
        <v>0</v>
      </c>
      <c r="L6" s="30">
        <v>2</v>
      </c>
      <c r="M6" s="30">
        <v>1</v>
      </c>
      <c r="N6" s="30">
        <v>0</v>
      </c>
      <c r="O6" s="5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</row>
    <row r="7" spans="1:35" x14ac:dyDescent="0.3">
      <c r="A7" s="35" t="s">
        <v>148</v>
      </c>
      <c r="B7" s="30">
        <v>0</v>
      </c>
      <c r="C7" s="30">
        <v>0</v>
      </c>
      <c r="D7" s="30">
        <v>1</v>
      </c>
      <c r="E7" s="30">
        <v>1</v>
      </c>
      <c r="F7" s="30">
        <v>3</v>
      </c>
      <c r="G7" s="30">
        <v>3</v>
      </c>
      <c r="H7" s="30">
        <v>5</v>
      </c>
      <c r="I7" s="30">
        <v>4</v>
      </c>
      <c r="J7" s="30">
        <v>-7</v>
      </c>
      <c r="K7" s="30">
        <v>0</v>
      </c>
      <c r="L7" s="30">
        <v>0</v>
      </c>
      <c r="M7" s="30">
        <v>0</v>
      </c>
      <c r="N7" s="30">
        <v>0</v>
      </c>
      <c r="O7" s="5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35" x14ac:dyDescent="0.3">
      <c r="A8" s="35" t="s">
        <v>149</v>
      </c>
      <c r="B8" s="30">
        <v>-7</v>
      </c>
      <c r="C8" s="30">
        <v>-7</v>
      </c>
      <c r="D8" s="30">
        <v>-7</v>
      </c>
      <c r="E8" s="30">
        <v>0</v>
      </c>
      <c r="F8" s="30">
        <v>5</v>
      </c>
      <c r="G8" s="30">
        <v>4</v>
      </c>
      <c r="H8" s="30">
        <v>-1</v>
      </c>
      <c r="I8" s="30">
        <v>-2</v>
      </c>
      <c r="J8" s="30">
        <v>-7</v>
      </c>
      <c r="K8" s="30">
        <v>-2</v>
      </c>
      <c r="L8" s="30">
        <v>1</v>
      </c>
      <c r="M8" s="30">
        <v>2</v>
      </c>
      <c r="N8" s="30">
        <v>-7</v>
      </c>
      <c r="O8" s="5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</row>
    <row r="9" spans="1:35" x14ac:dyDescent="0.3">
      <c r="A9" s="35" t="s">
        <v>150</v>
      </c>
      <c r="B9" s="30">
        <v>-7</v>
      </c>
      <c r="C9" s="30">
        <v>-7</v>
      </c>
      <c r="D9" s="30">
        <v>-7</v>
      </c>
      <c r="E9" s="30">
        <v>-7</v>
      </c>
      <c r="F9" s="30">
        <v>5</v>
      </c>
      <c r="G9" s="30">
        <v>3</v>
      </c>
      <c r="H9" s="30">
        <v>-7</v>
      </c>
      <c r="I9" s="30">
        <v>-7</v>
      </c>
      <c r="J9" s="30">
        <v>-7</v>
      </c>
      <c r="K9" s="30">
        <v>-7</v>
      </c>
      <c r="L9" s="30">
        <v>-7</v>
      </c>
      <c r="M9" s="30">
        <v>-7</v>
      </c>
      <c r="N9" s="30">
        <v>-7</v>
      </c>
      <c r="O9" s="50"/>
      <c r="P9" s="30"/>
      <c r="Q9" s="30"/>
      <c r="R9" s="30"/>
      <c r="S9" s="30"/>
      <c r="T9" s="30">
        <v>1</v>
      </c>
      <c r="U9" s="30">
        <v>1</v>
      </c>
      <c r="V9" s="30"/>
      <c r="W9" s="30"/>
      <c r="X9" s="30"/>
      <c r="Y9" s="30">
        <v>1</v>
      </c>
      <c r="Z9" s="30"/>
      <c r="AA9" s="30"/>
    </row>
    <row r="10" spans="1:35" x14ac:dyDescent="0.3">
      <c r="A10" s="35" t="s">
        <v>151</v>
      </c>
      <c r="B10" s="30">
        <v>-7</v>
      </c>
      <c r="C10" s="30">
        <v>-7</v>
      </c>
      <c r="D10" s="30">
        <v>-7</v>
      </c>
      <c r="E10" s="30">
        <v>-7</v>
      </c>
      <c r="F10" s="30">
        <v>-7</v>
      </c>
      <c r="G10" s="30">
        <v>-7</v>
      </c>
      <c r="H10" s="30">
        <v>-7</v>
      </c>
      <c r="I10" s="30">
        <v>5</v>
      </c>
      <c r="J10" s="30">
        <v>-7</v>
      </c>
      <c r="K10" s="30">
        <v>-7</v>
      </c>
      <c r="L10" s="30">
        <v>-7</v>
      </c>
      <c r="M10" s="30">
        <v>2</v>
      </c>
      <c r="N10" s="30">
        <v>-7</v>
      </c>
      <c r="O10" s="50"/>
      <c r="P10" s="30"/>
      <c r="Q10" s="30">
        <v>1</v>
      </c>
      <c r="R10" s="30">
        <v>2</v>
      </c>
      <c r="S10" s="30"/>
      <c r="T10" s="30"/>
      <c r="U10" s="30"/>
      <c r="V10" s="30"/>
      <c r="W10" s="30">
        <v>1</v>
      </c>
      <c r="X10" s="30">
        <v>1</v>
      </c>
      <c r="Y10" s="30">
        <v>1</v>
      </c>
      <c r="Z10" s="30"/>
      <c r="AA10" s="30">
        <v>1</v>
      </c>
      <c r="AH10">
        <v>30</v>
      </c>
    </row>
    <row r="11" spans="1:35" x14ac:dyDescent="0.3">
      <c r="A11" s="35" t="s">
        <v>152</v>
      </c>
      <c r="B11" s="30">
        <v>1</v>
      </c>
      <c r="C11" s="30">
        <v>-2</v>
      </c>
      <c r="D11" s="30">
        <v>-4</v>
      </c>
      <c r="E11" s="30">
        <v>2</v>
      </c>
      <c r="F11" s="30">
        <v>4</v>
      </c>
      <c r="G11" s="30">
        <v>4</v>
      </c>
      <c r="H11" s="30">
        <v>0</v>
      </c>
      <c r="I11" s="30">
        <v>0</v>
      </c>
      <c r="J11" s="30">
        <v>-7</v>
      </c>
      <c r="K11" s="30">
        <v>0</v>
      </c>
      <c r="L11" s="30">
        <v>0</v>
      </c>
      <c r="M11" s="30">
        <v>0</v>
      </c>
      <c r="N11" s="30">
        <v>0</v>
      </c>
      <c r="O11" s="50"/>
      <c r="P11" s="30"/>
      <c r="Q11" s="30"/>
      <c r="R11" s="30">
        <v>1</v>
      </c>
      <c r="S11" s="30"/>
      <c r="T11" s="30">
        <v>1</v>
      </c>
      <c r="U11" s="30"/>
      <c r="V11" s="30">
        <v>1</v>
      </c>
      <c r="W11" s="30"/>
      <c r="X11" s="30"/>
      <c r="Y11" s="30">
        <v>2</v>
      </c>
      <c r="Z11" s="30"/>
      <c r="AA11" s="30">
        <v>2</v>
      </c>
    </row>
    <row r="12" spans="1:35" x14ac:dyDescent="0.3">
      <c r="A12" s="35" t="s">
        <v>153</v>
      </c>
      <c r="B12" s="30">
        <v>-7</v>
      </c>
      <c r="C12" s="30">
        <v>-7</v>
      </c>
      <c r="D12" s="30">
        <v>-7</v>
      </c>
      <c r="E12" s="30">
        <v>0</v>
      </c>
      <c r="F12" s="30">
        <v>3</v>
      </c>
      <c r="G12" s="30">
        <v>5</v>
      </c>
      <c r="H12" s="30">
        <v>-7</v>
      </c>
      <c r="I12" s="30">
        <v>-7</v>
      </c>
      <c r="J12" s="30">
        <v>-7</v>
      </c>
      <c r="K12" s="30">
        <v>-7</v>
      </c>
      <c r="L12" s="30">
        <v>-7</v>
      </c>
      <c r="M12" s="30">
        <v>-7</v>
      </c>
      <c r="N12" s="30">
        <v>-7</v>
      </c>
      <c r="O12" s="50"/>
      <c r="P12" s="30"/>
      <c r="Q12" s="30"/>
      <c r="R12" s="30">
        <v>2</v>
      </c>
      <c r="S12" s="30"/>
      <c r="T12" s="30">
        <v>2</v>
      </c>
      <c r="U12" s="30"/>
      <c r="V12" s="30"/>
      <c r="W12" s="30"/>
      <c r="X12" s="30">
        <v>1</v>
      </c>
      <c r="Y12" s="30">
        <v>1</v>
      </c>
      <c r="Z12" s="30"/>
      <c r="AA12" s="30"/>
    </row>
    <row r="13" spans="1:35" x14ac:dyDescent="0.3">
      <c r="A13" s="35" t="s">
        <v>154</v>
      </c>
      <c r="B13" s="30">
        <v>-7</v>
      </c>
      <c r="C13" s="30">
        <v>-7</v>
      </c>
      <c r="D13" s="30">
        <v>-7</v>
      </c>
      <c r="E13" s="30">
        <v>-7</v>
      </c>
      <c r="F13" s="30">
        <v>2</v>
      </c>
      <c r="G13" s="30">
        <v>5</v>
      </c>
      <c r="H13" s="30">
        <v>-7</v>
      </c>
      <c r="I13" s="30">
        <v>-7</v>
      </c>
      <c r="J13" s="30">
        <v>-7</v>
      </c>
      <c r="K13" s="30">
        <v>-7</v>
      </c>
      <c r="L13" s="30">
        <v>-7</v>
      </c>
      <c r="M13" s="30">
        <v>-7</v>
      </c>
      <c r="N13" s="30">
        <v>-7</v>
      </c>
      <c r="O13" s="50"/>
      <c r="P13" s="30"/>
      <c r="Q13" s="30"/>
      <c r="R13" s="30"/>
      <c r="S13" s="30"/>
      <c r="T13" s="30">
        <v>1</v>
      </c>
      <c r="U13" s="30"/>
      <c r="V13" s="30">
        <v>2</v>
      </c>
      <c r="W13" s="30"/>
      <c r="X13" s="30"/>
      <c r="Y13" s="30">
        <v>1</v>
      </c>
      <c r="Z13" s="30"/>
      <c r="AA13" s="30"/>
      <c r="AE13">
        <v>10</v>
      </c>
    </row>
    <row r="14" spans="1:35" x14ac:dyDescent="0.3">
      <c r="A14" s="35" t="s">
        <v>155</v>
      </c>
      <c r="B14" s="30">
        <v>-7</v>
      </c>
      <c r="C14" s="30">
        <v>-7</v>
      </c>
      <c r="D14" s="30">
        <v>-7</v>
      </c>
      <c r="E14" s="30">
        <v>0</v>
      </c>
      <c r="F14" s="30">
        <v>2</v>
      </c>
      <c r="G14" s="30">
        <v>5</v>
      </c>
      <c r="H14" s="30">
        <v>-7</v>
      </c>
      <c r="I14" s="30">
        <v>-7</v>
      </c>
      <c r="J14" s="30">
        <v>-7</v>
      </c>
      <c r="K14" s="30">
        <v>-7</v>
      </c>
      <c r="L14" s="30">
        <v>-7</v>
      </c>
      <c r="M14" s="30">
        <v>-7</v>
      </c>
      <c r="N14" s="30">
        <v>-7</v>
      </c>
      <c r="O14" s="50"/>
      <c r="P14" s="30"/>
      <c r="Q14" s="30"/>
      <c r="R14" s="30">
        <v>2</v>
      </c>
      <c r="S14" s="30"/>
      <c r="T14" s="30">
        <v>2</v>
      </c>
      <c r="U14" s="30"/>
      <c r="V14" s="30">
        <v>1</v>
      </c>
      <c r="W14" s="30"/>
      <c r="X14" s="30">
        <v>1</v>
      </c>
      <c r="Y14" s="30">
        <v>3</v>
      </c>
      <c r="Z14" s="30"/>
      <c r="AA14" s="30">
        <v>1</v>
      </c>
    </row>
    <row r="15" spans="1:35" x14ac:dyDescent="0.3">
      <c r="A15" s="35" t="s">
        <v>156</v>
      </c>
      <c r="B15" s="30">
        <v>-7</v>
      </c>
      <c r="C15" s="30">
        <v>1</v>
      </c>
      <c r="D15" s="30">
        <v>2</v>
      </c>
      <c r="E15" s="30">
        <v>2</v>
      </c>
      <c r="F15" s="30">
        <v>0</v>
      </c>
      <c r="G15" s="30">
        <v>-1</v>
      </c>
      <c r="H15" s="30">
        <v>5</v>
      </c>
      <c r="I15" s="30">
        <v>2</v>
      </c>
      <c r="J15" s="30">
        <v>-7</v>
      </c>
      <c r="K15" s="30">
        <v>-7</v>
      </c>
      <c r="L15" s="30">
        <v>-7</v>
      </c>
      <c r="M15" s="30">
        <v>-7</v>
      </c>
      <c r="N15" s="30">
        <v>-7</v>
      </c>
      <c r="O15" s="50"/>
      <c r="P15" s="30"/>
      <c r="Q15" s="30">
        <v>1</v>
      </c>
      <c r="R15" s="30"/>
      <c r="S15" s="30"/>
      <c r="T15" s="30"/>
      <c r="U15" s="30"/>
      <c r="V15" s="30"/>
      <c r="W15" s="30"/>
      <c r="X15" s="30"/>
      <c r="Y15" s="30"/>
      <c r="Z15" s="30"/>
      <c r="AA15" s="30"/>
      <c r="AH15">
        <v>15</v>
      </c>
    </row>
    <row r="16" spans="1:35" x14ac:dyDescent="0.3">
      <c r="A16" s="35" t="s">
        <v>157</v>
      </c>
      <c r="B16" s="30">
        <v>-7</v>
      </c>
      <c r="C16" s="30">
        <v>-7</v>
      </c>
      <c r="D16" s="30">
        <v>-7</v>
      </c>
      <c r="E16" s="30">
        <v>-7</v>
      </c>
      <c r="F16" s="30">
        <v>3</v>
      </c>
      <c r="G16" s="30">
        <v>1</v>
      </c>
      <c r="H16" s="30">
        <v>-7</v>
      </c>
      <c r="I16" s="30">
        <v>-7</v>
      </c>
      <c r="J16" s="30">
        <v>-7</v>
      </c>
      <c r="K16" s="30">
        <v>-7</v>
      </c>
      <c r="L16" s="30">
        <v>-7</v>
      </c>
      <c r="M16" s="30">
        <v>-7</v>
      </c>
      <c r="N16" s="30">
        <v>-7</v>
      </c>
      <c r="O16" s="50"/>
      <c r="P16" s="30"/>
      <c r="Q16" s="30"/>
      <c r="R16" s="30"/>
      <c r="S16" s="30">
        <v>2</v>
      </c>
      <c r="T16" s="30">
        <v>1</v>
      </c>
      <c r="U16" s="30"/>
      <c r="V16" s="30"/>
      <c r="W16" s="30"/>
      <c r="X16" s="30"/>
      <c r="Y16" s="30">
        <v>1</v>
      </c>
      <c r="Z16" s="30"/>
      <c r="AA16" s="30"/>
      <c r="AE16">
        <v>10</v>
      </c>
    </row>
    <row r="17" spans="1:33" x14ac:dyDescent="0.3">
      <c r="A17" s="35" t="s">
        <v>158</v>
      </c>
      <c r="B17" s="30">
        <v>-7</v>
      </c>
      <c r="C17" s="30">
        <v>-7</v>
      </c>
      <c r="D17" s="30">
        <v>-7</v>
      </c>
      <c r="E17" s="30">
        <v>-7</v>
      </c>
      <c r="F17" s="30">
        <v>0</v>
      </c>
      <c r="G17" s="30">
        <v>-7</v>
      </c>
      <c r="H17" s="30">
        <v>-7</v>
      </c>
      <c r="I17" s="30">
        <v>-7</v>
      </c>
      <c r="J17" s="30">
        <v>-7</v>
      </c>
      <c r="K17" s="30">
        <v>-7</v>
      </c>
      <c r="L17" s="30">
        <v>-7</v>
      </c>
      <c r="M17" s="30">
        <v>-7</v>
      </c>
      <c r="N17" s="30">
        <v>-7</v>
      </c>
      <c r="O17" s="50"/>
      <c r="P17" s="30"/>
      <c r="Q17" s="30"/>
      <c r="R17" s="30"/>
      <c r="S17" s="30"/>
      <c r="T17" s="30">
        <v>2</v>
      </c>
      <c r="U17" s="30"/>
      <c r="V17" s="30"/>
      <c r="W17" s="30"/>
      <c r="X17" s="30"/>
      <c r="Y17" s="30"/>
      <c r="Z17" s="30"/>
      <c r="AA17" s="30"/>
      <c r="AE17">
        <v>30</v>
      </c>
    </row>
    <row r="18" spans="1:33" x14ac:dyDescent="0.3">
      <c r="A18" s="35" t="s">
        <v>159</v>
      </c>
      <c r="B18" s="30">
        <v>0</v>
      </c>
      <c r="C18" s="30">
        <v>4</v>
      </c>
      <c r="D18" s="30">
        <v>5</v>
      </c>
      <c r="E18" s="30">
        <v>3</v>
      </c>
      <c r="F18" s="30">
        <v>-7</v>
      </c>
      <c r="G18" s="30">
        <v>-7</v>
      </c>
      <c r="H18" s="30">
        <v>-7</v>
      </c>
      <c r="I18" s="30">
        <v>-7</v>
      </c>
      <c r="J18" s="30">
        <v>-7</v>
      </c>
      <c r="K18" s="30">
        <v>-7</v>
      </c>
      <c r="L18" s="30">
        <v>-7</v>
      </c>
      <c r="M18" s="30">
        <v>-7</v>
      </c>
      <c r="N18" s="30">
        <v>5</v>
      </c>
      <c r="O18" s="50"/>
      <c r="P18" s="30"/>
      <c r="Q18" s="30">
        <v>1</v>
      </c>
      <c r="R18" s="30"/>
      <c r="S18" s="30">
        <v>2</v>
      </c>
      <c r="T18" s="30"/>
      <c r="U18" s="30"/>
      <c r="V18" s="30"/>
      <c r="W18" s="30">
        <v>2</v>
      </c>
      <c r="X18" s="30"/>
      <c r="Y18" s="30"/>
      <c r="Z18" s="30"/>
      <c r="AA18" s="30"/>
    </row>
    <row r="19" spans="1:33" x14ac:dyDescent="0.3">
      <c r="A19" s="35" t="s">
        <v>160</v>
      </c>
      <c r="B19" s="30">
        <v>-1</v>
      </c>
      <c r="C19" s="30">
        <v>-1</v>
      </c>
      <c r="D19" s="30">
        <v>-1</v>
      </c>
      <c r="E19" s="30">
        <v>3</v>
      </c>
      <c r="F19" s="30">
        <v>5</v>
      </c>
      <c r="G19" s="30">
        <v>3</v>
      </c>
      <c r="H19" s="30">
        <v>0</v>
      </c>
      <c r="I19" s="30">
        <v>0</v>
      </c>
      <c r="J19" s="30">
        <v>-7</v>
      </c>
      <c r="K19" s="30">
        <v>0</v>
      </c>
      <c r="L19" s="30">
        <v>0</v>
      </c>
      <c r="M19" s="30">
        <v>0</v>
      </c>
      <c r="N19" s="30">
        <v>-2</v>
      </c>
      <c r="O19" s="50"/>
      <c r="P19" s="30"/>
      <c r="Q19" s="30"/>
      <c r="R19" s="30">
        <v>2</v>
      </c>
      <c r="S19" s="30">
        <v>2</v>
      </c>
      <c r="T19" s="30">
        <v>1</v>
      </c>
      <c r="U19" s="30"/>
      <c r="V19" s="30"/>
      <c r="W19" s="30"/>
      <c r="X19" s="30">
        <v>1</v>
      </c>
      <c r="Y19" s="30">
        <v>2</v>
      </c>
      <c r="Z19" s="30"/>
      <c r="AA19" s="30">
        <v>1</v>
      </c>
    </row>
    <row r="20" spans="1:33" x14ac:dyDescent="0.3">
      <c r="A20" s="35" t="s">
        <v>161</v>
      </c>
      <c r="B20" s="30">
        <v>2</v>
      </c>
      <c r="C20" s="30">
        <v>5</v>
      </c>
      <c r="D20" s="30">
        <v>5</v>
      </c>
      <c r="E20" s="30">
        <v>0</v>
      </c>
      <c r="F20" s="30">
        <v>-7</v>
      </c>
      <c r="G20" s="30">
        <v>-7</v>
      </c>
      <c r="H20" s="30">
        <v>0</v>
      </c>
      <c r="I20" s="30">
        <v>-7</v>
      </c>
      <c r="J20" s="30">
        <v>-7</v>
      </c>
      <c r="K20" s="30">
        <v>0</v>
      </c>
      <c r="L20" s="30">
        <v>-7</v>
      </c>
      <c r="M20" s="30">
        <v>-7</v>
      </c>
      <c r="N20" s="30">
        <v>3</v>
      </c>
      <c r="O20" s="50"/>
      <c r="P20" s="30"/>
      <c r="Q20" s="30">
        <v>1</v>
      </c>
      <c r="R20" s="30"/>
      <c r="S20" s="30">
        <v>2</v>
      </c>
      <c r="T20" s="30"/>
      <c r="U20" s="30"/>
      <c r="V20" s="30"/>
      <c r="W20" s="30"/>
      <c r="X20" s="30"/>
      <c r="Y20" s="30"/>
      <c r="Z20" s="30"/>
      <c r="AA20" s="30">
        <v>2</v>
      </c>
      <c r="AG20">
        <v>20</v>
      </c>
    </row>
    <row r="21" spans="1:33" x14ac:dyDescent="0.3">
      <c r="A21" s="35" t="s">
        <v>162</v>
      </c>
      <c r="B21" s="30">
        <v>0</v>
      </c>
      <c r="C21" s="30">
        <v>-1</v>
      </c>
      <c r="D21" s="30">
        <v>-2</v>
      </c>
      <c r="E21" s="30">
        <v>-2</v>
      </c>
      <c r="F21" s="30">
        <v>2</v>
      </c>
      <c r="G21" s="30">
        <v>0</v>
      </c>
      <c r="H21" s="30">
        <v>-7</v>
      </c>
      <c r="I21" s="30">
        <v>-7</v>
      </c>
      <c r="J21" s="30">
        <v>-7</v>
      </c>
      <c r="K21" s="30">
        <v>-7</v>
      </c>
      <c r="L21" s="30">
        <v>-7</v>
      </c>
      <c r="M21" s="30">
        <v>-7</v>
      </c>
      <c r="N21" s="30">
        <v>0</v>
      </c>
      <c r="O21" s="5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>
        <v>1</v>
      </c>
      <c r="AA21" s="30"/>
    </row>
    <row r="22" spans="1:33" x14ac:dyDescent="0.3">
      <c r="A22" s="35" t="s">
        <v>163</v>
      </c>
      <c r="B22" s="30">
        <v>0</v>
      </c>
      <c r="C22" s="30">
        <v>0</v>
      </c>
      <c r="D22" s="30">
        <v>0</v>
      </c>
      <c r="E22" s="30">
        <v>1</v>
      </c>
      <c r="F22" s="30">
        <v>1</v>
      </c>
      <c r="G22" s="30">
        <v>1</v>
      </c>
      <c r="H22" s="30">
        <v>-1</v>
      </c>
      <c r="I22" s="30">
        <v>2</v>
      </c>
      <c r="J22" s="30">
        <v>-7</v>
      </c>
      <c r="K22" s="30">
        <v>-2</v>
      </c>
      <c r="L22" s="30">
        <v>-2</v>
      </c>
      <c r="M22" s="30">
        <v>-2</v>
      </c>
      <c r="N22" s="30">
        <v>0</v>
      </c>
      <c r="O22" s="50"/>
      <c r="P22" s="30"/>
      <c r="Q22" s="30"/>
      <c r="R22" s="30">
        <v>1</v>
      </c>
      <c r="S22" s="30">
        <v>-3</v>
      </c>
      <c r="T22" s="30"/>
      <c r="U22" s="30"/>
      <c r="V22" s="30"/>
      <c r="W22" s="30"/>
      <c r="X22" s="30"/>
      <c r="Y22" s="30"/>
      <c r="Z22" s="30"/>
      <c r="AA22" s="30"/>
    </row>
    <row r="23" spans="1:33" x14ac:dyDescent="0.3">
      <c r="A23" s="35" t="s">
        <v>164</v>
      </c>
      <c r="B23" s="30">
        <v>2</v>
      </c>
      <c r="C23" s="30">
        <v>2</v>
      </c>
      <c r="D23" s="30">
        <v>2</v>
      </c>
      <c r="E23" s="30">
        <v>0</v>
      </c>
      <c r="F23" s="30">
        <v>-7</v>
      </c>
      <c r="G23" s="30">
        <v>-7</v>
      </c>
      <c r="H23" s="30">
        <v>-7</v>
      </c>
      <c r="I23" s="30">
        <v>-7</v>
      </c>
      <c r="J23" s="30">
        <v>-7</v>
      </c>
      <c r="K23" s="30">
        <v>-7</v>
      </c>
      <c r="L23" s="30">
        <v>-7</v>
      </c>
      <c r="M23" s="30">
        <v>-7</v>
      </c>
      <c r="N23" s="30">
        <v>-7</v>
      </c>
      <c r="O23" s="50"/>
      <c r="P23" s="30"/>
      <c r="Q23" s="30">
        <v>1</v>
      </c>
      <c r="R23" s="30"/>
      <c r="S23" s="30">
        <v>1</v>
      </c>
      <c r="T23" s="30"/>
      <c r="U23" s="30"/>
      <c r="V23" s="30">
        <v>1</v>
      </c>
      <c r="W23" s="30">
        <v>2</v>
      </c>
      <c r="X23" s="30"/>
      <c r="Y23" s="30"/>
      <c r="Z23" s="30">
        <v>1</v>
      </c>
      <c r="AA23" s="30"/>
      <c r="AD23">
        <v>10</v>
      </c>
    </row>
    <row r="24" spans="1:33" x14ac:dyDescent="0.3">
      <c r="A24" s="35" t="s">
        <v>165</v>
      </c>
      <c r="B24" s="30">
        <v>0</v>
      </c>
      <c r="C24" s="30">
        <v>-2</v>
      </c>
      <c r="D24" s="30">
        <v>-2</v>
      </c>
      <c r="E24" s="30">
        <v>0</v>
      </c>
      <c r="F24" s="30">
        <v>3</v>
      </c>
      <c r="G24" s="30">
        <v>5</v>
      </c>
      <c r="H24" s="30">
        <v>-3</v>
      </c>
      <c r="I24" s="30">
        <v>-2</v>
      </c>
      <c r="J24" s="30">
        <v>-7</v>
      </c>
      <c r="K24" s="30">
        <v>-3</v>
      </c>
      <c r="L24" s="30">
        <v>-3</v>
      </c>
      <c r="M24" s="30">
        <v>-3</v>
      </c>
      <c r="N24" s="30">
        <v>0</v>
      </c>
      <c r="O24" s="50"/>
      <c r="P24" s="30"/>
      <c r="Q24" s="30"/>
      <c r="R24" s="30">
        <v>1</v>
      </c>
      <c r="S24" s="30"/>
      <c r="T24" s="30">
        <v>2</v>
      </c>
      <c r="U24" s="30"/>
      <c r="V24" s="30"/>
      <c r="W24" s="30"/>
      <c r="X24" s="30"/>
      <c r="Y24" s="30">
        <v>1</v>
      </c>
      <c r="Z24" s="30"/>
      <c r="AA24" s="30"/>
    </row>
    <row r="25" spans="1:33" x14ac:dyDescent="0.3">
      <c r="A25" s="35" t="s">
        <v>166</v>
      </c>
      <c r="B25" s="30">
        <v>5</v>
      </c>
      <c r="C25" s="30">
        <v>2</v>
      </c>
      <c r="D25" s="30">
        <v>2</v>
      </c>
      <c r="E25" s="30">
        <v>2</v>
      </c>
      <c r="F25" s="30">
        <v>0</v>
      </c>
      <c r="G25" s="30">
        <v>0</v>
      </c>
      <c r="H25" s="30">
        <v>0</v>
      </c>
      <c r="I25" s="30">
        <v>-4</v>
      </c>
      <c r="J25" s="30">
        <v>-7</v>
      </c>
      <c r="K25" s="30">
        <v>-7</v>
      </c>
      <c r="L25" s="30">
        <v>-7</v>
      </c>
      <c r="M25" s="30">
        <v>-7</v>
      </c>
      <c r="N25" s="30">
        <v>-7</v>
      </c>
      <c r="O25" s="5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D25">
        <v>10</v>
      </c>
    </row>
    <row r="26" spans="1:33" x14ac:dyDescent="0.3">
      <c r="A26" s="35" t="s">
        <v>167</v>
      </c>
      <c r="B26" s="30">
        <v>-7</v>
      </c>
      <c r="C26" s="30">
        <v>-7</v>
      </c>
      <c r="D26" s="30">
        <v>-7</v>
      </c>
      <c r="E26" s="30">
        <v>-7</v>
      </c>
      <c r="F26" s="30">
        <v>3</v>
      </c>
      <c r="G26" s="30">
        <v>-7</v>
      </c>
      <c r="H26" s="30">
        <v>-7</v>
      </c>
      <c r="I26" s="30">
        <v>-7</v>
      </c>
      <c r="J26" s="30">
        <v>-7</v>
      </c>
      <c r="K26" s="30">
        <v>-7</v>
      </c>
      <c r="L26" s="30">
        <v>-7</v>
      </c>
      <c r="M26" s="30">
        <v>-7</v>
      </c>
      <c r="N26" s="30">
        <v>-7</v>
      </c>
      <c r="O26" s="50"/>
      <c r="P26" s="30"/>
      <c r="Q26" s="30"/>
      <c r="R26" s="30">
        <v>1</v>
      </c>
      <c r="S26" s="30">
        <v>3</v>
      </c>
      <c r="T26" s="30">
        <v>1</v>
      </c>
      <c r="U26" s="30">
        <v>1</v>
      </c>
      <c r="V26" s="30"/>
      <c r="W26" s="30"/>
      <c r="X26" s="30">
        <v>1</v>
      </c>
      <c r="Y26" s="30"/>
      <c r="Z26" s="30"/>
      <c r="AA26" s="30">
        <v>1</v>
      </c>
      <c r="AE26">
        <v>20</v>
      </c>
    </row>
    <row r="27" spans="1:33" x14ac:dyDescent="0.3">
      <c r="A27" s="35" t="s">
        <v>168</v>
      </c>
      <c r="B27" s="30">
        <v>-1</v>
      </c>
      <c r="C27" s="30">
        <v>-7</v>
      </c>
      <c r="D27" s="30">
        <v>-7</v>
      </c>
      <c r="E27" s="30">
        <v>3</v>
      </c>
      <c r="F27" s="30">
        <v>0</v>
      </c>
      <c r="G27" s="30">
        <v>2</v>
      </c>
      <c r="H27" s="30">
        <v>-7</v>
      </c>
      <c r="I27" s="30">
        <v>-7</v>
      </c>
      <c r="J27" s="30">
        <v>-7</v>
      </c>
      <c r="K27" s="30">
        <v>-7</v>
      </c>
      <c r="L27" s="30">
        <v>-7</v>
      </c>
      <c r="M27" s="30">
        <v>-7</v>
      </c>
      <c r="N27" s="30">
        <v>-1</v>
      </c>
      <c r="O27" s="50"/>
      <c r="P27" s="30"/>
      <c r="Q27" s="30"/>
      <c r="R27" s="30">
        <v>1</v>
      </c>
      <c r="S27" s="30"/>
      <c r="T27" s="30">
        <v>1</v>
      </c>
      <c r="U27" s="30"/>
      <c r="V27" s="30"/>
      <c r="W27" s="30">
        <v>2</v>
      </c>
      <c r="X27" s="30"/>
      <c r="Y27" s="30"/>
      <c r="Z27" s="30"/>
      <c r="AA27" s="30">
        <v>1</v>
      </c>
      <c r="AE27">
        <v>30</v>
      </c>
    </row>
    <row r="28" spans="1:33" x14ac:dyDescent="0.3">
      <c r="A28" s="35" t="s">
        <v>169</v>
      </c>
      <c r="B28" s="30">
        <v>0</v>
      </c>
      <c r="C28" s="30">
        <v>0</v>
      </c>
      <c r="D28" s="30">
        <v>0</v>
      </c>
      <c r="E28" s="30">
        <v>0</v>
      </c>
      <c r="F28" s="30">
        <v>0</v>
      </c>
      <c r="G28" s="30">
        <v>0</v>
      </c>
      <c r="H28" s="30">
        <v>0</v>
      </c>
      <c r="I28" s="30">
        <v>0</v>
      </c>
      <c r="J28" s="30">
        <v>-7</v>
      </c>
      <c r="K28" s="30">
        <v>-7</v>
      </c>
      <c r="L28" s="30">
        <v>0</v>
      </c>
      <c r="M28" s="30">
        <v>0</v>
      </c>
      <c r="N28" s="30">
        <v>0</v>
      </c>
      <c r="O28" s="50"/>
      <c r="P28" s="30"/>
      <c r="Q28" s="30"/>
      <c r="R28" s="30"/>
      <c r="S28" s="30"/>
      <c r="T28" s="30"/>
      <c r="U28" s="30"/>
      <c r="V28" s="30"/>
      <c r="W28" s="30">
        <v>1</v>
      </c>
      <c r="X28" s="30"/>
      <c r="Y28" s="30"/>
      <c r="Z28" s="30"/>
      <c r="AA28" s="30"/>
    </row>
    <row r="29" spans="1:33" x14ac:dyDescent="0.3">
      <c r="A29" s="35" t="s">
        <v>170</v>
      </c>
      <c r="B29" s="30">
        <v>0</v>
      </c>
      <c r="C29" s="30">
        <v>0</v>
      </c>
      <c r="D29" s="30">
        <v>0</v>
      </c>
      <c r="E29" s="30">
        <v>0</v>
      </c>
      <c r="F29" s="30">
        <v>0</v>
      </c>
      <c r="G29" s="30">
        <v>0</v>
      </c>
      <c r="H29" s="30">
        <v>0</v>
      </c>
      <c r="I29" s="30">
        <v>0</v>
      </c>
      <c r="J29" s="30">
        <v>-7</v>
      </c>
      <c r="K29" s="30">
        <v>0</v>
      </c>
      <c r="L29" s="30">
        <v>0</v>
      </c>
      <c r="M29" s="30">
        <v>0</v>
      </c>
      <c r="N29" s="30">
        <v>0</v>
      </c>
      <c r="O29" s="50"/>
      <c r="P29" s="30"/>
      <c r="Q29" s="30"/>
      <c r="R29" s="30">
        <v>2</v>
      </c>
      <c r="S29" s="30"/>
      <c r="T29" s="30"/>
      <c r="U29" s="30"/>
      <c r="V29" s="30"/>
      <c r="W29" s="30"/>
      <c r="X29" s="30">
        <v>1</v>
      </c>
      <c r="Y29" s="30">
        <v>2</v>
      </c>
      <c r="Z29" s="30"/>
      <c r="AA29" s="30">
        <v>1</v>
      </c>
    </row>
    <row r="30" spans="1:33" x14ac:dyDescent="0.3">
      <c r="A30" s="35" t="s">
        <v>171</v>
      </c>
      <c r="B30" s="30">
        <v>0</v>
      </c>
      <c r="C30" s="30">
        <v>0</v>
      </c>
      <c r="D30" s="30">
        <v>0</v>
      </c>
      <c r="E30" s="30">
        <v>0</v>
      </c>
      <c r="F30" s="30">
        <v>0</v>
      </c>
      <c r="G30" s="30">
        <v>0</v>
      </c>
      <c r="H30" s="30">
        <v>0</v>
      </c>
      <c r="I30" s="30">
        <v>0</v>
      </c>
      <c r="J30" s="30">
        <v>-7</v>
      </c>
      <c r="K30" s="30">
        <v>0</v>
      </c>
      <c r="L30" s="30">
        <v>0</v>
      </c>
      <c r="M30" s="30">
        <v>0</v>
      </c>
      <c r="N30" s="30">
        <v>0</v>
      </c>
      <c r="O30" s="50"/>
      <c r="P30" s="30"/>
      <c r="Q30" s="30"/>
      <c r="R30" s="30"/>
      <c r="S30" s="30"/>
      <c r="T30" s="30"/>
      <c r="U30" s="30"/>
      <c r="V30" s="30"/>
      <c r="W30" s="30"/>
      <c r="X30" s="30">
        <v>1</v>
      </c>
      <c r="Y30" s="30">
        <v>1</v>
      </c>
      <c r="Z30" s="30"/>
      <c r="AA30" s="30">
        <v>1</v>
      </c>
    </row>
    <row r="31" spans="1:33" x14ac:dyDescent="0.3">
      <c r="A31" s="35" t="s">
        <v>172</v>
      </c>
      <c r="B31" s="30">
        <v>0</v>
      </c>
      <c r="C31" s="30">
        <v>0</v>
      </c>
      <c r="D31" s="30">
        <v>0</v>
      </c>
      <c r="E31" s="30">
        <v>0</v>
      </c>
      <c r="F31" s="30">
        <v>0</v>
      </c>
      <c r="G31" s="30">
        <v>0</v>
      </c>
      <c r="H31" s="30">
        <v>0</v>
      </c>
      <c r="I31" s="30">
        <v>0</v>
      </c>
      <c r="J31" s="30">
        <v>-7</v>
      </c>
      <c r="K31" s="30">
        <v>0</v>
      </c>
      <c r="L31" s="30">
        <v>0</v>
      </c>
      <c r="M31" s="30">
        <v>0</v>
      </c>
      <c r="N31" s="30">
        <v>0</v>
      </c>
      <c r="O31" s="50"/>
      <c r="P31" s="30"/>
      <c r="Q31" s="30"/>
      <c r="R31" s="30"/>
      <c r="S31" s="30">
        <v>3</v>
      </c>
      <c r="T31" s="30"/>
      <c r="U31" s="30"/>
      <c r="V31" s="30"/>
      <c r="W31" s="30">
        <v>1</v>
      </c>
      <c r="X31" s="30">
        <v>1</v>
      </c>
      <c r="Y31" s="30"/>
      <c r="Z31" s="30"/>
      <c r="AA31" s="30">
        <v>1</v>
      </c>
    </row>
    <row r="32" spans="1:33" x14ac:dyDescent="0.3">
      <c r="A32" s="35" t="s">
        <v>173</v>
      </c>
      <c r="B32" s="30">
        <v>-1</v>
      </c>
      <c r="C32" s="30">
        <v>-1</v>
      </c>
      <c r="D32" s="30">
        <v>-1</v>
      </c>
      <c r="E32" s="30">
        <v>0</v>
      </c>
      <c r="F32" s="30">
        <v>3</v>
      </c>
      <c r="G32" s="30">
        <v>3</v>
      </c>
      <c r="H32" s="30">
        <v>-2</v>
      </c>
      <c r="I32" s="30">
        <v>-2</v>
      </c>
      <c r="J32" s="30">
        <v>-7</v>
      </c>
      <c r="K32" s="30">
        <v>-1</v>
      </c>
      <c r="L32" s="30">
        <v>-1</v>
      </c>
      <c r="M32" s="30">
        <v>-1</v>
      </c>
      <c r="N32" s="30">
        <v>-3</v>
      </c>
      <c r="O32" s="50"/>
      <c r="P32" s="30"/>
      <c r="Q32" s="30"/>
      <c r="R32" s="30"/>
      <c r="S32" s="30"/>
      <c r="T32" s="30"/>
      <c r="U32" s="30"/>
      <c r="V32" s="30"/>
      <c r="W32" s="30">
        <v>1</v>
      </c>
      <c r="X32" s="30"/>
      <c r="Y32" s="30"/>
      <c r="Z32" s="30"/>
      <c r="AA32" s="30"/>
    </row>
    <row r="33" spans="1:34" x14ac:dyDescent="0.3">
      <c r="A33" s="35" t="s">
        <v>174</v>
      </c>
      <c r="B33" s="30">
        <v>-7</v>
      </c>
      <c r="C33" s="30">
        <v>-7</v>
      </c>
      <c r="D33" s="30">
        <v>-7</v>
      </c>
      <c r="E33" s="30">
        <v>-7</v>
      </c>
      <c r="F33" s="30">
        <v>3</v>
      </c>
      <c r="G33" s="30">
        <v>-7</v>
      </c>
      <c r="H33" s="30">
        <v>-7</v>
      </c>
      <c r="I33" s="30">
        <v>-7</v>
      </c>
      <c r="J33" s="30">
        <v>-7</v>
      </c>
      <c r="K33" s="30">
        <v>-7</v>
      </c>
      <c r="L33" s="30">
        <v>-7</v>
      </c>
      <c r="M33" s="30">
        <v>-7</v>
      </c>
      <c r="N33" s="30">
        <v>-7</v>
      </c>
      <c r="O33" s="50"/>
      <c r="P33" s="30"/>
      <c r="Q33" s="30"/>
      <c r="R33" s="30"/>
      <c r="S33" s="30"/>
      <c r="T33" s="30">
        <v>2</v>
      </c>
      <c r="U33" s="30"/>
      <c r="V33" s="30">
        <v>1</v>
      </c>
      <c r="W33" s="30"/>
      <c r="X33" s="30"/>
      <c r="Y33" s="30">
        <v>1</v>
      </c>
      <c r="Z33" s="30"/>
      <c r="AA33" s="30"/>
      <c r="AH33">
        <v>15</v>
      </c>
    </row>
    <row r="34" spans="1:34" x14ac:dyDescent="0.3">
      <c r="A34" s="35" t="s">
        <v>175</v>
      </c>
      <c r="B34" s="30">
        <v>-7</v>
      </c>
      <c r="C34" s="30">
        <v>-7</v>
      </c>
      <c r="D34" s="30">
        <v>-7</v>
      </c>
      <c r="E34" s="30">
        <v>-7</v>
      </c>
      <c r="F34" s="30">
        <v>2</v>
      </c>
      <c r="G34" s="30">
        <v>-7</v>
      </c>
      <c r="H34" s="30">
        <v>-7</v>
      </c>
      <c r="I34" s="30">
        <v>-7</v>
      </c>
      <c r="J34" s="30">
        <v>-7</v>
      </c>
      <c r="K34" s="30">
        <v>-7</v>
      </c>
      <c r="L34" s="30">
        <v>-7</v>
      </c>
      <c r="M34" s="30">
        <v>-7</v>
      </c>
      <c r="N34" s="30">
        <v>-7</v>
      </c>
      <c r="O34" s="50"/>
      <c r="P34" s="30"/>
      <c r="Q34" s="30"/>
      <c r="R34" s="30">
        <v>1</v>
      </c>
      <c r="S34" s="30"/>
      <c r="T34" s="30">
        <v>3</v>
      </c>
      <c r="U34" s="30"/>
      <c r="V34" s="30"/>
      <c r="W34" s="30"/>
      <c r="X34" s="30"/>
      <c r="Y34" s="30"/>
      <c r="Z34" s="30"/>
      <c r="AA34" s="30"/>
      <c r="AE34">
        <v>20</v>
      </c>
    </row>
    <row r="35" spans="1:34" x14ac:dyDescent="0.3">
      <c r="A35" s="35" t="s">
        <v>176</v>
      </c>
      <c r="B35" s="30">
        <v>-7</v>
      </c>
      <c r="C35" s="30">
        <v>-7</v>
      </c>
      <c r="D35" s="30">
        <v>-7</v>
      </c>
      <c r="E35" s="30">
        <v>-7</v>
      </c>
      <c r="F35" s="30">
        <v>5</v>
      </c>
      <c r="G35" s="30">
        <v>-7</v>
      </c>
      <c r="H35" s="30">
        <v>-7</v>
      </c>
      <c r="I35" s="30">
        <v>-7</v>
      </c>
      <c r="J35" s="30">
        <v>-7</v>
      </c>
      <c r="K35" s="30">
        <v>-7</v>
      </c>
      <c r="L35" s="30">
        <v>-7</v>
      </c>
      <c r="M35" s="30">
        <v>-7</v>
      </c>
      <c r="N35" s="30">
        <v>-7</v>
      </c>
      <c r="O35" s="50"/>
      <c r="P35" s="30">
        <v>5</v>
      </c>
      <c r="Q35" s="30"/>
      <c r="R35" s="30">
        <v>1</v>
      </c>
      <c r="S35" s="30"/>
      <c r="T35" s="30">
        <v>3</v>
      </c>
      <c r="U35" s="30"/>
      <c r="V35" s="30"/>
      <c r="W35" s="30"/>
      <c r="X35" s="30"/>
      <c r="Y35" s="30">
        <v>2</v>
      </c>
      <c r="Z35" s="30"/>
      <c r="AA35" s="30"/>
    </row>
    <row r="36" spans="1:34" x14ac:dyDescent="0.3">
      <c r="A36" s="35" t="s">
        <v>177</v>
      </c>
      <c r="B36" s="30">
        <v>2</v>
      </c>
      <c r="C36" s="30">
        <v>-7</v>
      </c>
      <c r="D36" s="30">
        <v>-7</v>
      </c>
      <c r="E36" s="30">
        <v>-7</v>
      </c>
      <c r="F36" s="30">
        <v>-1</v>
      </c>
      <c r="G36" s="30">
        <v>0</v>
      </c>
      <c r="H36" s="30">
        <v>-7</v>
      </c>
      <c r="I36" s="30">
        <v>-7</v>
      </c>
      <c r="J36" s="30">
        <v>-7</v>
      </c>
      <c r="K36" s="30">
        <v>-7</v>
      </c>
      <c r="L36" s="30">
        <v>-7</v>
      </c>
      <c r="M36" s="30">
        <v>-7</v>
      </c>
      <c r="N36" s="30">
        <v>-7</v>
      </c>
      <c r="O36" s="50"/>
      <c r="P36" s="30"/>
      <c r="Q36" s="30"/>
      <c r="R36" s="30"/>
      <c r="S36" s="30">
        <v>2</v>
      </c>
      <c r="T36" s="30"/>
      <c r="U36" s="30"/>
      <c r="V36" s="30">
        <v>2</v>
      </c>
      <c r="W36" s="30">
        <v>3</v>
      </c>
      <c r="X36" s="30"/>
      <c r="Y36" s="30"/>
      <c r="Z36" s="30"/>
      <c r="AA36" s="30"/>
      <c r="AE36">
        <v>10</v>
      </c>
    </row>
    <row r="37" spans="1:34" x14ac:dyDescent="0.3">
      <c r="A37" s="35" t="s">
        <v>178</v>
      </c>
      <c r="B37" s="30">
        <v>-7</v>
      </c>
      <c r="C37" s="30">
        <v>-7</v>
      </c>
      <c r="D37" s="30">
        <v>-7</v>
      </c>
      <c r="E37" s="30">
        <v>5</v>
      </c>
      <c r="F37" s="30">
        <v>-7</v>
      </c>
      <c r="G37" s="30">
        <v>-7</v>
      </c>
      <c r="H37" s="30">
        <v>-7</v>
      </c>
      <c r="I37" s="30">
        <v>3</v>
      </c>
      <c r="J37" s="30">
        <v>-7</v>
      </c>
      <c r="K37" s="30">
        <v>-7</v>
      </c>
      <c r="L37" s="30">
        <v>-7</v>
      </c>
      <c r="M37" s="30">
        <v>-7</v>
      </c>
      <c r="N37" s="30">
        <v>-7</v>
      </c>
      <c r="O37" s="50"/>
      <c r="P37" s="30"/>
      <c r="Q37" s="30"/>
      <c r="R37" s="30">
        <v>1</v>
      </c>
      <c r="S37" s="30"/>
      <c r="T37" s="30">
        <v>2</v>
      </c>
      <c r="U37" s="30"/>
      <c r="V37" s="30"/>
      <c r="W37" s="30"/>
      <c r="X37" s="30"/>
      <c r="Y37" s="30">
        <v>1</v>
      </c>
      <c r="Z37" s="30"/>
      <c r="AA37" s="30"/>
      <c r="AE37">
        <v>10</v>
      </c>
    </row>
    <row r="38" spans="1:34" x14ac:dyDescent="0.3">
      <c r="A38" s="35" t="s">
        <v>179</v>
      </c>
      <c r="B38" s="30">
        <v>-7</v>
      </c>
      <c r="C38" s="30">
        <v>-7</v>
      </c>
      <c r="D38" s="30">
        <v>-7</v>
      </c>
      <c r="E38" s="30">
        <v>5</v>
      </c>
      <c r="F38" s="30">
        <v>-7</v>
      </c>
      <c r="G38" s="30">
        <v>-7</v>
      </c>
      <c r="H38" s="30">
        <v>-7</v>
      </c>
      <c r="I38" s="30">
        <v>-7</v>
      </c>
      <c r="J38" s="30">
        <v>-7</v>
      </c>
      <c r="K38" s="30">
        <v>-7</v>
      </c>
      <c r="L38" s="30">
        <v>-7</v>
      </c>
      <c r="M38" s="30">
        <v>-7</v>
      </c>
      <c r="N38" s="30">
        <v>-7</v>
      </c>
      <c r="O38" s="50"/>
      <c r="P38" s="30">
        <v>8</v>
      </c>
      <c r="Q38" s="30"/>
      <c r="R38" s="30">
        <v>1</v>
      </c>
      <c r="S38" s="30"/>
      <c r="T38" s="30">
        <v>2</v>
      </c>
      <c r="U38" s="30"/>
      <c r="V38" s="30"/>
      <c r="W38" s="30"/>
      <c r="X38" s="30"/>
      <c r="Y38" s="30">
        <v>1</v>
      </c>
      <c r="Z38" s="30"/>
      <c r="AA38" s="30"/>
    </row>
    <row r="39" spans="1:34" x14ac:dyDescent="0.3">
      <c r="A39" s="35" t="s">
        <v>180</v>
      </c>
      <c r="B39" s="30">
        <v>-7</v>
      </c>
      <c r="C39" s="30">
        <v>-7</v>
      </c>
      <c r="D39" s="30">
        <v>-7</v>
      </c>
      <c r="E39" s="30">
        <v>2</v>
      </c>
      <c r="F39" s="30">
        <v>-7</v>
      </c>
      <c r="G39" s="30">
        <v>-7</v>
      </c>
      <c r="H39" s="30">
        <v>-7</v>
      </c>
      <c r="I39" s="30">
        <v>2</v>
      </c>
      <c r="J39" s="30">
        <v>-7</v>
      </c>
      <c r="K39" s="30">
        <v>-7</v>
      </c>
      <c r="L39" s="30">
        <v>-7</v>
      </c>
      <c r="M39" s="30">
        <v>-7</v>
      </c>
      <c r="N39" s="30">
        <v>-7</v>
      </c>
      <c r="O39" s="50"/>
      <c r="P39" s="30">
        <v>3</v>
      </c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</row>
    <row r="40" spans="1:34" x14ac:dyDescent="0.3">
      <c r="A40" s="35" t="s">
        <v>181</v>
      </c>
      <c r="B40" s="30">
        <v>-7</v>
      </c>
      <c r="C40" s="30">
        <v>-7</v>
      </c>
      <c r="D40" s="30">
        <v>-7</v>
      </c>
      <c r="E40" s="30">
        <v>5</v>
      </c>
      <c r="F40" s="30">
        <v>-7</v>
      </c>
      <c r="G40" s="30">
        <v>-7</v>
      </c>
      <c r="H40" s="30">
        <v>-7</v>
      </c>
      <c r="I40" s="30">
        <v>-7</v>
      </c>
      <c r="J40" s="30">
        <v>-7</v>
      </c>
      <c r="K40" s="30">
        <v>-7</v>
      </c>
      <c r="L40" s="30">
        <v>-7</v>
      </c>
      <c r="M40" s="30">
        <v>-7</v>
      </c>
      <c r="N40" s="30">
        <v>-7</v>
      </c>
      <c r="O40" s="50"/>
      <c r="P40" s="30">
        <v>18</v>
      </c>
      <c r="Q40" s="30">
        <v>3</v>
      </c>
      <c r="R40" s="30">
        <v>1</v>
      </c>
      <c r="S40" s="30"/>
      <c r="T40" s="30">
        <v>1</v>
      </c>
      <c r="U40" s="30"/>
      <c r="V40" s="30">
        <v>2</v>
      </c>
      <c r="W40" s="30"/>
      <c r="X40" s="30"/>
      <c r="Y40" s="30"/>
      <c r="Z40" s="30"/>
      <c r="AA40" s="30"/>
    </row>
    <row r="41" spans="1:34" x14ac:dyDescent="0.3">
      <c r="A41" s="35" t="s">
        <v>182</v>
      </c>
      <c r="B41" s="30">
        <v>-7</v>
      </c>
      <c r="C41" s="30">
        <v>-7</v>
      </c>
      <c r="D41" s="30">
        <v>-7</v>
      </c>
      <c r="E41" s="30">
        <v>3</v>
      </c>
      <c r="F41" s="30">
        <v>-7</v>
      </c>
      <c r="G41" s="30">
        <v>-7</v>
      </c>
      <c r="H41" s="30">
        <v>-7</v>
      </c>
      <c r="I41" s="30">
        <v>3</v>
      </c>
      <c r="J41" s="30">
        <v>-7</v>
      </c>
      <c r="K41" s="30">
        <v>-7</v>
      </c>
      <c r="L41" s="30">
        <v>-7</v>
      </c>
      <c r="M41" s="30">
        <v>-7</v>
      </c>
      <c r="N41" s="30">
        <v>-7</v>
      </c>
      <c r="O41" s="50"/>
      <c r="P41" s="30">
        <v>40</v>
      </c>
      <c r="Q41" s="30">
        <v>3</v>
      </c>
      <c r="R41" s="30"/>
      <c r="S41" s="30"/>
      <c r="T41" s="30">
        <v>2</v>
      </c>
      <c r="U41" s="30"/>
      <c r="V41" s="30"/>
      <c r="W41" s="30"/>
      <c r="X41" s="30">
        <v>1</v>
      </c>
      <c r="Y41" s="30">
        <v>1</v>
      </c>
      <c r="Z41" s="30"/>
      <c r="AA41" s="30">
        <v>2</v>
      </c>
    </row>
    <row r="42" spans="1:34" x14ac:dyDescent="0.3">
      <c r="A42" s="35" t="s">
        <v>183</v>
      </c>
      <c r="B42" s="30">
        <v>-7</v>
      </c>
      <c r="C42" s="30">
        <v>-7</v>
      </c>
      <c r="D42" s="30">
        <v>-7</v>
      </c>
      <c r="E42" s="30">
        <v>3</v>
      </c>
      <c r="F42" s="30">
        <v>-7</v>
      </c>
      <c r="G42" s="30">
        <v>-7</v>
      </c>
      <c r="H42" s="30">
        <v>-7</v>
      </c>
      <c r="I42" s="30">
        <v>-7</v>
      </c>
      <c r="J42" s="30">
        <v>-7</v>
      </c>
      <c r="K42" s="30">
        <v>-7</v>
      </c>
      <c r="L42" s="30">
        <v>-7</v>
      </c>
      <c r="M42" s="30">
        <v>-7</v>
      </c>
      <c r="N42" s="30">
        <v>-7</v>
      </c>
      <c r="O42" s="50"/>
      <c r="P42" s="30">
        <v>1</v>
      </c>
      <c r="Q42" s="30"/>
      <c r="R42" s="30"/>
      <c r="S42" s="30"/>
      <c r="T42" s="30">
        <v>2</v>
      </c>
      <c r="U42" s="30"/>
      <c r="V42" s="30"/>
      <c r="W42" s="30"/>
      <c r="X42" s="30">
        <v>1</v>
      </c>
      <c r="Y42" s="30">
        <v>1</v>
      </c>
      <c r="Z42" s="30"/>
      <c r="AA42" s="30">
        <v>2</v>
      </c>
    </row>
    <row r="43" spans="1:34" x14ac:dyDescent="0.3">
      <c r="A43" s="35" t="s">
        <v>184</v>
      </c>
      <c r="B43" s="30">
        <v>-7</v>
      </c>
      <c r="C43" s="30">
        <v>-7</v>
      </c>
      <c r="D43" s="30">
        <v>-7</v>
      </c>
      <c r="E43" s="30">
        <v>3</v>
      </c>
      <c r="F43" s="30">
        <v>0</v>
      </c>
      <c r="G43" s="30">
        <v>-7</v>
      </c>
      <c r="H43" s="30">
        <v>0</v>
      </c>
      <c r="I43" s="30">
        <v>-7</v>
      </c>
      <c r="J43" s="30">
        <v>-7</v>
      </c>
      <c r="K43" s="30">
        <v>-7</v>
      </c>
      <c r="L43" s="30">
        <v>-7</v>
      </c>
      <c r="M43" s="30">
        <v>-7</v>
      </c>
      <c r="N43" s="30">
        <v>-7</v>
      </c>
      <c r="O43" s="50"/>
      <c r="P43" s="30"/>
      <c r="Q43" s="30"/>
      <c r="R43" s="30">
        <v>1</v>
      </c>
      <c r="S43" s="30"/>
      <c r="T43" s="30">
        <v>2</v>
      </c>
      <c r="U43" s="30"/>
      <c r="V43" s="30"/>
      <c r="W43" s="30"/>
      <c r="X43" s="30"/>
      <c r="Y43" s="30">
        <v>1</v>
      </c>
      <c r="Z43" s="30"/>
      <c r="AA43" s="30"/>
      <c r="AE43">
        <v>15</v>
      </c>
    </row>
    <row r="44" spans="1:34" x14ac:dyDescent="0.3">
      <c r="A44" s="35" t="s">
        <v>185</v>
      </c>
      <c r="B44" s="30">
        <v>-7</v>
      </c>
      <c r="C44" s="30">
        <v>-7</v>
      </c>
      <c r="D44" s="30">
        <v>-7</v>
      </c>
      <c r="E44" s="30">
        <v>4</v>
      </c>
      <c r="F44" s="30">
        <v>-7</v>
      </c>
      <c r="G44" s="30">
        <v>-7</v>
      </c>
      <c r="H44" s="30">
        <v>-7</v>
      </c>
      <c r="I44" s="30">
        <v>-7</v>
      </c>
      <c r="J44" s="30">
        <v>-7</v>
      </c>
      <c r="K44" s="30">
        <v>-7</v>
      </c>
      <c r="L44" s="30">
        <v>-7</v>
      </c>
      <c r="M44" s="30">
        <v>-7</v>
      </c>
      <c r="N44" s="30">
        <v>-7</v>
      </c>
      <c r="O44" s="50"/>
      <c r="P44" s="30">
        <v>28</v>
      </c>
      <c r="Q44" s="30">
        <v>1</v>
      </c>
      <c r="R44" s="30">
        <v>2</v>
      </c>
      <c r="S44" s="30"/>
      <c r="T44" s="30"/>
      <c r="U44" s="30"/>
      <c r="V44" s="30">
        <v>1</v>
      </c>
      <c r="W44" s="30"/>
      <c r="X44" s="30">
        <v>1</v>
      </c>
      <c r="Y44" s="30">
        <v>1</v>
      </c>
      <c r="Z44" s="30"/>
      <c r="AA44" s="30"/>
    </row>
    <row r="45" spans="1:34" x14ac:dyDescent="0.3">
      <c r="A45" s="59" t="s">
        <v>186</v>
      </c>
      <c r="B45" s="30">
        <v>-7</v>
      </c>
      <c r="C45" s="30">
        <v>-7</v>
      </c>
      <c r="D45" s="30">
        <v>-7</v>
      </c>
      <c r="E45" s="30">
        <v>-7</v>
      </c>
      <c r="F45" s="30">
        <v>-7</v>
      </c>
      <c r="G45" s="30">
        <v>-7</v>
      </c>
      <c r="H45" s="30">
        <v>-7</v>
      </c>
      <c r="I45" s="30">
        <v>-7</v>
      </c>
      <c r="J45" s="30">
        <v>-7</v>
      </c>
      <c r="K45" s="30">
        <v>-7</v>
      </c>
      <c r="L45" s="30">
        <v>-7</v>
      </c>
      <c r="M45" s="30">
        <v>-7</v>
      </c>
      <c r="N45" s="30">
        <v>-7</v>
      </c>
      <c r="O45" s="50"/>
      <c r="P45" s="30"/>
      <c r="Q45" s="30"/>
      <c r="R45" s="30">
        <v>1</v>
      </c>
      <c r="S45" s="30"/>
      <c r="T45" s="30"/>
      <c r="U45" s="30"/>
      <c r="V45" s="30"/>
      <c r="W45" s="30"/>
      <c r="X45" s="30">
        <v>1</v>
      </c>
      <c r="Y45" s="30"/>
      <c r="Z45" s="30"/>
      <c r="AA45" s="30">
        <v>1</v>
      </c>
    </row>
    <row r="46" spans="1:34" x14ac:dyDescent="0.3">
      <c r="A46" s="35" t="s">
        <v>187</v>
      </c>
      <c r="B46" s="30">
        <v>-7</v>
      </c>
      <c r="C46" s="30">
        <v>-7</v>
      </c>
      <c r="D46" s="30">
        <v>-7</v>
      </c>
      <c r="E46" s="30">
        <v>0</v>
      </c>
      <c r="F46" s="30">
        <v>-7</v>
      </c>
      <c r="G46" s="30">
        <v>-7</v>
      </c>
      <c r="H46" s="30">
        <v>-7</v>
      </c>
      <c r="I46" s="30">
        <v>5</v>
      </c>
      <c r="J46" s="30">
        <v>-7</v>
      </c>
      <c r="K46" s="30">
        <v>-7</v>
      </c>
      <c r="L46" s="30">
        <v>-7</v>
      </c>
      <c r="M46" s="30">
        <v>-7</v>
      </c>
      <c r="N46" s="30">
        <v>-7</v>
      </c>
      <c r="O46" s="50"/>
      <c r="P46" s="30">
        <v>12</v>
      </c>
      <c r="Q46" s="30"/>
      <c r="R46" s="30"/>
      <c r="S46" s="30"/>
      <c r="T46" s="30">
        <v>2</v>
      </c>
      <c r="U46" s="30"/>
      <c r="V46" s="30"/>
      <c r="W46" s="30"/>
      <c r="X46" s="30">
        <v>1</v>
      </c>
      <c r="Y46" s="30">
        <v>1</v>
      </c>
      <c r="Z46" s="30"/>
      <c r="AA46" s="30"/>
    </row>
    <row r="47" spans="1:34" x14ac:dyDescent="0.3">
      <c r="A47" s="35" t="s">
        <v>188</v>
      </c>
      <c r="B47" s="30">
        <v>-7</v>
      </c>
      <c r="C47" s="30">
        <v>-7</v>
      </c>
      <c r="D47" s="30">
        <v>-7</v>
      </c>
      <c r="E47" s="30">
        <v>1</v>
      </c>
      <c r="F47" s="30">
        <v>-7</v>
      </c>
      <c r="G47" s="30">
        <v>-7</v>
      </c>
      <c r="H47" s="30">
        <v>-7</v>
      </c>
      <c r="I47" s="30">
        <v>1</v>
      </c>
      <c r="J47" s="30">
        <v>-7</v>
      </c>
      <c r="K47" s="30">
        <v>-7</v>
      </c>
      <c r="L47" s="30">
        <v>-7</v>
      </c>
      <c r="M47" s="30">
        <v>-7</v>
      </c>
      <c r="N47" s="30">
        <v>-7</v>
      </c>
      <c r="O47" s="50"/>
      <c r="P47" s="30">
        <v>3</v>
      </c>
      <c r="Q47" s="30"/>
      <c r="R47" s="30"/>
      <c r="S47" s="30"/>
      <c r="T47" s="30">
        <v>2</v>
      </c>
      <c r="U47" s="30"/>
      <c r="V47" s="30"/>
      <c r="W47" s="30"/>
      <c r="X47" s="30">
        <v>1</v>
      </c>
      <c r="Y47" s="30">
        <v>1</v>
      </c>
      <c r="Z47" s="30"/>
      <c r="AA47" s="30"/>
    </row>
    <row r="48" spans="1:34" x14ac:dyDescent="0.3">
      <c r="A48" s="35" t="s">
        <v>189</v>
      </c>
      <c r="B48" s="30">
        <v>-7</v>
      </c>
      <c r="C48" s="30">
        <v>-7</v>
      </c>
      <c r="D48" s="30">
        <v>-7</v>
      </c>
      <c r="E48" s="30">
        <v>0</v>
      </c>
      <c r="F48" s="30">
        <v>-7</v>
      </c>
      <c r="G48" s="30">
        <v>-7</v>
      </c>
      <c r="H48" s="30">
        <v>-7</v>
      </c>
      <c r="I48" s="30">
        <v>2</v>
      </c>
      <c r="J48" s="30">
        <v>-7</v>
      </c>
      <c r="K48" s="30">
        <v>-7</v>
      </c>
      <c r="L48" s="30">
        <v>-7</v>
      </c>
      <c r="M48" s="30">
        <v>-7</v>
      </c>
      <c r="N48" s="30">
        <v>-7</v>
      </c>
      <c r="O48" s="50"/>
      <c r="P48" s="30">
        <v>5</v>
      </c>
      <c r="Q48" s="30"/>
      <c r="R48" s="30"/>
      <c r="S48" s="30"/>
      <c r="T48" s="30">
        <v>2</v>
      </c>
      <c r="U48" s="30"/>
      <c r="V48" s="30"/>
      <c r="W48" s="30"/>
      <c r="X48" s="30">
        <v>1</v>
      </c>
      <c r="Y48" s="30">
        <v>1</v>
      </c>
      <c r="Z48" s="30"/>
      <c r="AA48" s="30">
        <v>2</v>
      </c>
    </row>
    <row r="49" spans="1:34" x14ac:dyDescent="0.3">
      <c r="A49" s="35" t="s">
        <v>190</v>
      </c>
      <c r="B49" s="30">
        <v>-7</v>
      </c>
      <c r="C49" s="30">
        <v>-7</v>
      </c>
      <c r="D49" s="30">
        <v>-7</v>
      </c>
      <c r="E49" s="30">
        <v>5</v>
      </c>
      <c r="F49" s="30">
        <v>-7</v>
      </c>
      <c r="G49" s="30">
        <v>-7</v>
      </c>
      <c r="H49" s="30">
        <v>-7</v>
      </c>
      <c r="I49" s="30">
        <v>-7</v>
      </c>
      <c r="J49" s="30">
        <v>-7</v>
      </c>
      <c r="K49" s="30">
        <v>-7</v>
      </c>
      <c r="L49" s="30">
        <v>-7</v>
      </c>
      <c r="M49" s="30">
        <v>-7</v>
      </c>
      <c r="N49" s="30">
        <v>-7</v>
      </c>
      <c r="O49" s="50"/>
      <c r="P49" s="30">
        <v>6</v>
      </c>
      <c r="Q49" s="30"/>
      <c r="R49" s="30">
        <v>2</v>
      </c>
      <c r="S49" s="30"/>
      <c r="T49" s="30"/>
      <c r="U49" s="30"/>
      <c r="V49" s="30">
        <v>1</v>
      </c>
      <c r="W49" s="30"/>
      <c r="X49" s="30">
        <v>1</v>
      </c>
      <c r="Y49" s="30">
        <v>1</v>
      </c>
      <c r="Z49" s="30"/>
      <c r="AA49" s="30"/>
    </row>
    <row r="50" spans="1:34" x14ac:dyDescent="0.3">
      <c r="A50" s="35" t="s">
        <v>191</v>
      </c>
      <c r="B50" s="30">
        <v>-7</v>
      </c>
      <c r="C50" s="30">
        <v>-7</v>
      </c>
      <c r="D50" s="30">
        <v>-7</v>
      </c>
      <c r="E50" s="30">
        <v>2</v>
      </c>
      <c r="F50" s="30">
        <v>-7</v>
      </c>
      <c r="G50" s="30">
        <v>-7</v>
      </c>
      <c r="H50" s="30">
        <v>-7</v>
      </c>
      <c r="I50" s="30">
        <v>-7</v>
      </c>
      <c r="J50" s="30">
        <v>-7</v>
      </c>
      <c r="K50" s="30">
        <v>-7</v>
      </c>
      <c r="L50" s="30">
        <v>-7</v>
      </c>
      <c r="M50" s="30">
        <v>-7</v>
      </c>
      <c r="N50" s="30">
        <v>-7</v>
      </c>
      <c r="O50" s="50"/>
      <c r="P50" s="30">
        <v>14</v>
      </c>
      <c r="Q50" s="30"/>
      <c r="R50" s="30">
        <v>2</v>
      </c>
      <c r="S50" s="30"/>
      <c r="T50" s="30"/>
      <c r="U50" s="30"/>
      <c r="V50" s="30">
        <v>1</v>
      </c>
      <c r="W50" s="30"/>
      <c r="X50" s="30">
        <v>1</v>
      </c>
      <c r="Y50" s="30">
        <v>1</v>
      </c>
      <c r="Z50" s="30"/>
      <c r="AA50" s="30"/>
    </row>
    <row r="51" spans="1:34" x14ac:dyDescent="0.3">
      <c r="A51" s="35" t="s">
        <v>192</v>
      </c>
      <c r="B51" s="30">
        <v>-7</v>
      </c>
      <c r="C51" s="30">
        <v>-7</v>
      </c>
      <c r="D51" s="30">
        <v>-7</v>
      </c>
      <c r="E51" s="30">
        <v>3</v>
      </c>
      <c r="F51" s="30">
        <v>-7</v>
      </c>
      <c r="G51" s="30">
        <v>-7</v>
      </c>
      <c r="H51" s="30">
        <v>-7</v>
      </c>
      <c r="I51" s="30">
        <v>-7</v>
      </c>
      <c r="J51" s="30">
        <v>-7</v>
      </c>
      <c r="K51" s="30">
        <v>-7</v>
      </c>
      <c r="L51" s="30">
        <v>-7</v>
      </c>
      <c r="M51" s="30">
        <v>-7</v>
      </c>
      <c r="N51" s="30">
        <v>-7</v>
      </c>
      <c r="O51" s="50"/>
      <c r="P51" s="30">
        <v>20</v>
      </c>
      <c r="Q51" s="30">
        <v>3</v>
      </c>
      <c r="R51" s="30">
        <v>1</v>
      </c>
      <c r="S51" s="30"/>
      <c r="T51" s="30"/>
      <c r="U51" s="30"/>
      <c r="V51" s="30"/>
      <c r="W51" s="30"/>
      <c r="X51" s="30">
        <v>1</v>
      </c>
      <c r="Y51" s="30"/>
      <c r="Z51" s="30"/>
      <c r="AA51" s="30">
        <v>1</v>
      </c>
    </row>
    <row r="52" spans="1:34" x14ac:dyDescent="0.3">
      <c r="A52" s="35" t="s">
        <v>193</v>
      </c>
      <c r="B52" s="30">
        <v>-7</v>
      </c>
      <c r="C52" s="30">
        <v>-7</v>
      </c>
      <c r="D52" s="30">
        <v>-7</v>
      </c>
      <c r="E52" s="30">
        <v>2</v>
      </c>
      <c r="F52" s="30">
        <v>-7</v>
      </c>
      <c r="G52" s="30">
        <v>-7</v>
      </c>
      <c r="H52" s="30">
        <v>-7</v>
      </c>
      <c r="I52" s="30">
        <v>0</v>
      </c>
      <c r="J52" s="30">
        <v>-7</v>
      </c>
      <c r="K52" s="30">
        <v>-7</v>
      </c>
      <c r="L52" s="30">
        <v>-7</v>
      </c>
      <c r="M52" s="30">
        <v>-7</v>
      </c>
      <c r="N52" s="30">
        <v>-7</v>
      </c>
      <c r="O52" s="50"/>
      <c r="P52" s="30"/>
      <c r="Q52" s="30"/>
      <c r="R52" s="30">
        <v>1</v>
      </c>
      <c r="S52" s="30"/>
      <c r="T52" s="30">
        <v>2</v>
      </c>
      <c r="U52" s="30"/>
      <c r="V52" s="30"/>
      <c r="W52" s="30"/>
      <c r="X52" s="30"/>
      <c r="Y52" s="30">
        <v>1</v>
      </c>
      <c r="Z52" s="30"/>
      <c r="AA52" s="30"/>
      <c r="AH52">
        <v>10</v>
      </c>
    </row>
    <row r="53" spans="1:34" x14ac:dyDescent="0.3">
      <c r="A53" s="35" t="s">
        <v>194</v>
      </c>
      <c r="B53" s="30">
        <v>-7</v>
      </c>
      <c r="C53" s="30">
        <v>-7</v>
      </c>
      <c r="D53" s="30">
        <v>-7</v>
      </c>
      <c r="E53" s="30">
        <v>3</v>
      </c>
      <c r="F53" s="30">
        <v>-7</v>
      </c>
      <c r="G53" s="30">
        <v>-7</v>
      </c>
      <c r="H53" s="30">
        <v>-7</v>
      </c>
      <c r="I53" s="30">
        <v>3</v>
      </c>
      <c r="J53" s="30">
        <v>-7</v>
      </c>
      <c r="K53" s="30">
        <v>-7</v>
      </c>
      <c r="L53" s="30">
        <v>-7</v>
      </c>
      <c r="M53" s="30">
        <v>-7</v>
      </c>
      <c r="N53" s="30">
        <v>-7</v>
      </c>
      <c r="O53" s="50"/>
      <c r="P53" s="30"/>
      <c r="Q53" s="30"/>
      <c r="R53" s="30">
        <v>2</v>
      </c>
      <c r="S53" s="30"/>
      <c r="T53" s="30"/>
      <c r="U53" s="30"/>
      <c r="V53" s="30">
        <v>1</v>
      </c>
      <c r="W53" s="30"/>
      <c r="X53" s="30">
        <v>1</v>
      </c>
      <c r="Y53" s="30">
        <v>1</v>
      </c>
      <c r="Z53" s="30"/>
      <c r="AA53" s="30"/>
    </row>
    <row r="54" spans="1:34" x14ac:dyDescent="0.3">
      <c r="A54" s="35" t="s">
        <v>195</v>
      </c>
      <c r="B54" s="30">
        <v>-7</v>
      </c>
      <c r="C54" s="30">
        <v>-7</v>
      </c>
      <c r="D54" s="30">
        <v>-7</v>
      </c>
      <c r="E54" s="30">
        <v>-7</v>
      </c>
      <c r="F54" s="30">
        <v>1</v>
      </c>
      <c r="G54" s="30">
        <v>-7</v>
      </c>
      <c r="H54" s="30">
        <v>-7</v>
      </c>
      <c r="I54" s="30">
        <v>-7</v>
      </c>
      <c r="J54" s="30">
        <v>-7</v>
      </c>
      <c r="K54" s="30">
        <v>-7</v>
      </c>
      <c r="L54" s="30">
        <v>-7</v>
      </c>
      <c r="M54" s="30">
        <v>-7</v>
      </c>
      <c r="N54" s="30">
        <v>-7</v>
      </c>
      <c r="O54" s="50"/>
      <c r="P54" s="30">
        <v>15</v>
      </c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</row>
    <row r="55" spans="1:34" x14ac:dyDescent="0.3">
      <c r="A55" s="35" t="s">
        <v>196</v>
      </c>
      <c r="B55" s="30">
        <v>-7</v>
      </c>
      <c r="C55" s="30">
        <v>-7</v>
      </c>
      <c r="D55" s="30">
        <v>-7</v>
      </c>
      <c r="E55" s="30">
        <v>-7</v>
      </c>
      <c r="F55" s="30">
        <v>1</v>
      </c>
      <c r="G55" s="30">
        <v>-7</v>
      </c>
      <c r="H55" s="30">
        <v>-7</v>
      </c>
      <c r="I55" s="30">
        <v>-7</v>
      </c>
      <c r="J55" s="30">
        <v>-7</v>
      </c>
      <c r="K55" s="30">
        <v>-7</v>
      </c>
      <c r="L55" s="30">
        <v>-7</v>
      </c>
      <c r="M55" s="30">
        <v>-7</v>
      </c>
      <c r="N55" s="30">
        <v>-7</v>
      </c>
      <c r="O55" s="50"/>
      <c r="P55" s="30">
        <v>10</v>
      </c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</row>
    <row r="56" spans="1:34" x14ac:dyDescent="0.3">
      <c r="A56" s="35" t="s">
        <v>197</v>
      </c>
      <c r="B56" s="30">
        <v>-7</v>
      </c>
      <c r="C56" s="30">
        <v>-7</v>
      </c>
      <c r="D56" s="30">
        <v>-7</v>
      </c>
      <c r="E56" s="30">
        <v>-7</v>
      </c>
      <c r="F56" s="30">
        <v>0</v>
      </c>
      <c r="G56" s="30">
        <v>-7</v>
      </c>
      <c r="H56" s="30">
        <v>-7</v>
      </c>
      <c r="I56" s="30">
        <v>-7</v>
      </c>
      <c r="J56" s="30">
        <v>-7</v>
      </c>
      <c r="K56" s="30">
        <v>-7</v>
      </c>
      <c r="L56" s="30">
        <v>-7</v>
      </c>
      <c r="M56" s="30">
        <v>-7</v>
      </c>
      <c r="N56" s="30">
        <v>-7</v>
      </c>
      <c r="O56" s="50"/>
      <c r="P56" s="30">
        <v>25</v>
      </c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</row>
    <row r="57" spans="1:34" x14ac:dyDescent="0.3">
      <c r="A57" s="35" t="s">
        <v>198</v>
      </c>
      <c r="B57" s="30">
        <v>-7</v>
      </c>
      <c r="C57" s="30">
        <v>-7</v>
      </c>
      <c r="D57" s="30">
        <v>-7</v>
      </c>
      <c r="E57" s="30">
        <v>-7</v>
      </c>
      <c r="F57" s="30">
        <v>-7</v>
      </c>
      <c r="G57" s="30">
        <v>2</v>
      </c>
      <c r="H57" s="30">
        <v>-7</v>
      </c>
      <c r="I57" s="30">
        <v>-7</v>
      </c>
      <c r="J57" s="30">
        <v>-7</v>
      </c>
      <c r="K57" s="30">
        <v>-7</v>
      </c>
      <c r="L57" s="30">
        <v>-7</v>
      </c>
      <c r="M57" s="30">
        <v>-7</v>
      </c>
      <c r="N57" s="30">
        <v>-7</v>
      </c>
      <c r="O57" s="50"/>
      <c r="P57" s="30">
        <v>22</v>
      </c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</row>
    <row r="58" spans="1:34" x14ac:dyDescent="0.3">
      <c r="A58" s="35" t="s">
        <v>199</v>
      </c>
      <c r="B58" s="30">
        <v>0</v>
      </c>
      <c r="C58" s="30">
        <v>-1</v>
      </c>
      <c r="D58" s="30">
        <v>-2</v>
      </c>
      <c r="E58" s="30">
        <v>-2</v>
      </c>
      <c r="F58" s="30">
        <v>3</v>
      </c>
      <c r="G58" s="30">
        <v>3</v>
      </c>
      <c r="H58" s="30">
        <v>-7</v>
      </c>
      <c r="I58" s="30">
        <v>-7</v>
      </c>
      <c r="J58" s="30">
        <v>-7</v>
      </c>
      <c r="K58" s="30">
        <v>-7</v>
      </c>
      <c r="L58" s="30">
        <v>-7</v>
      </c>
      <c r="M58" s="30">
        <v>-7</v>
      </c>
      <c r="N58" s="30">
        <v>-1</v>
      </c>
      <c r="O58" s="5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>
        <v>1</v>
      </c>
      <c r="AA58" s="30"/>
    </row>
    <row r="59" spans="1:34" x14ac:dyDescent="0.3">
      <c r="A59" s="35" t="s">
        <v>200</v>
      </c>
      <c r="B59" s="30">
        <v>0</v>
      </c>
      <c r="C59" s="30">
        <v>-1</v>
      </c>
      <c r="D59" s="30">
        <v>-2</v>
      </c>
      <c r="E59" s="30">
        <v>-2</v>
      </c>
      <c r="F59" s="30">
        <v>3</v>
      </c>
      <c r="G59" s="30">
        <v>3</v>
      </c>
      <c r="H59" s="30">
        <v>-7</v>
      </c>
      <c r="I59" s="30">
        <v>-7</v>
      </c>
      <c r="J59" s="30">
        <v>-7</v>
      </c>
      <c r="K59" s="30">
        <v>-7</v>
      </c>
      <c r="L59" s="30">
        <v>-7</v>
      </c>
      <c r="M59" s="30">
        <v>-7</v>
      </c>
      <c r="N59" s="30">
        <v>-1</v>
      </c>
      <c r="O59" s="5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>
        <v>1</v>
      </c>
      <c r="AA59" s="30"/>
    </row>
    <row r="60" spans="1:34" x14ac:dyDescent="0.3">
      <c r="A60" s="35" t="s">
        <v>201</v>
      </c>
      <c r="B60" s="30">
        <v>-7</v>
      </c>
      <c r="C60" s="30">
        <v>-7</v>
      </c>
      <c r="D60" s="30">
        <v>-7</v>
      </c>
      <c r="E60" s="30">
        <v>-7</v>
      </c>
      <c r="F60" s="30">
        <v>-7</v>
      </c>
      <c r="G60" s="30">
        <v>-7</v>
      </c>
      <c r="H60" s="30">
        <v>-7</v>
      </c>
      <c r="I60" s="30">
        <v>-7</v>
      </c>
      <c r="J60" s="30">
        <v>-7</v>
      </c>
      <c r="K60" s="30">
        <v>-7</v>
      </c>
      <c r="L60" s="30">
        <v>-7</v>
      </c>
      <c r="M60" s="30">
        <v>-7</v>
      </c>
      <c r="N60" s="30">
        <v>2</v>
      </c>
      <c r="O60" s="5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>
        <v>1</v>
      </c>
      <c r="AA60" s="30"/>
    </row>
    <row r="61" spans="1:34" x14ac:dyDescent="0.3">
      <c r="A61" s="59" t="s">
        <v>202</v>
      </c>
      <c r="B61" s="30">
        <v>-7</v>
      </c>
      <c r="C61" s="30">
        <v>-7</v>
      </c>
      <c r="D61" s="30">
        <v>-7</v>
      </c>
      <c r="E61" s="30">
        <v>-7</v>
      </c>
      <c r="F61" s="30">
        <v>-7</v>
      </c>
      <c r="G61" s="30">
        <v>-7</v>
      </c>
      <c r="H61" s="30">
        <v>-7</v>
      </c>
      <c r="I61" s="30">
        <v>-7</v>
      </c>
      <c r="J61" s="30">
        <v>-7</v>
      </c>
      <c r="K61" s="30">
        <v>-7</v>
      </c>
      <c r="L61" s="30">
        <v>-7</v>
      </c>
      <c r="M61" s="30">
        <v>-7</v>
      </c>
      <c r="N61" s="30">
        <v>-7</v>
      </c>
      <c r="O61" s="5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>
        <v>1</v>
      </c>
      <c r="AA61" s="30"/>
    </row>
    <row r="62" spans="1:34" x14ac:dyDescent="0.3">
      <c r="A62" s="49" t="s">
        <v>203</v>
      </c>
      <c r="B62" s="30">
        <v>-7</v>
      </c>
      <c r="C62" s="30">
        <v>-7</v>
      </c>
      <c r="D62" s="30">
        <v>-7</v>
      </c>
      <c r="E62" s="30">
        <v>-7</v>
      </c>
      <c r="F62" s="30">
        <v>3</v>
      </c>
      <c r="G62" s="30">
        <v>3</v>
      </c>
      <c r="H62" s="30">
        <v>-7</v>
      </c>
      <c r="I62" s="30">
        <v>-7</v>
      </c>
      <c r="J62" s="30">
        <v>-7</v>
      </c>
      <c r="K62" s="30">
        <v>-7</v>
      </c>
      <c r="L62" s="30">
        <v>-7</v>
      </c>
      <c r="M62" s="30">
        <v>-7</v>
      </c>
      <c r="N62" s="30">
        <v>-7</v>
      </c>
      <c r="O62" s="5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</row>
    <row r="63" spans="1:34" x14ac:dyDescent="0.3">
      <c r="A63" s="35" t="s">
        <v>204</v>
      </c>
      <c r="B63" s="30">
        <v>3</v>
      </c>
      <c r="C63" s="30">
        <v>3</v>
      </c>
      <c r="D63" s="30">
        <v>3</v>
      </c>
      <c r="E63" s="30">
        <v>5</v>
      </c>
      <c r="F63" s="30">
        <v>3</v>
      </c>
      <c r="G63" s="30">
        <v>3</v>
      </c>
      <c r="H63" s="30">
        <v>1</v>
      </c>
      <c r="I63" s="30">
        <v>1</v>
      </c>
      <c r="J63" s="30">
        <v>-7</v>
      </c>
      <c r="K63" s="30">
        <v>0</v>
      </c>
      <c r="L63" s="30">
        <v>0</v>
      </c>
      <c r="M63" s="30">
        <v>0</v>
      </c>
      <c r="N63" s="30">
        <v>5</v>
      </c>
      <c r="O63" s="5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</row>
    <row r="64" spans="1:34" x14ac:dyDescent="0.3">
      <c r="A64" s="35" t="s">
        <v>205</v>
      </c>
      <c r="B64" s="30">
        <v>3</v>
      </c>
      <c r="C64" s="30">
        <v>3</v>
      </c>
      <c r="D64" s="30">
        <v>3</v>
      </c>
      <c r="E64" s="30">
        <v>5</v>
      </c>
      <c r="F64" s="30">
        <v>0</v>
      </c>
      <c r="G64" s="30">
        <v>0</v>
      </c>
      <c r="H64" s="30">
        <v>0</v>
      </c>
      <c r="I64" s="30">
        <v>-1</v>
      </c>
      <c r="J64" s="30">
        <v>-7</v>
      </c>
      <c r="K64" s="30">
        <v>-2</v>
      </c>
      <c r="L64" s="30">
        <v>-2</v>
      </c>
      <c r="M64" s="30">
        <v>-2</v>
      </c>
      <c r="N64" s="30">
        <v>5</v>
      </c>
      <c r="O64" s="5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D64">
        <v>15</v>
      </c>
    </row>
    <row r="65" spans="1:32" x14ac:dyDescent="0.3">
      <c r="A65" s="35" t="s">
        <v>206</v>
      </c>
      <c r="B65" s="30">
        <v>3</v>
      </c>
      <c r="C65" s="30">
        <v>3</v>
      </c>
      <c r="D65" s="30">
        <v>3</v>
      </c>
      <c r="E65" s="30">
        <v>0</v>
      </c>
      <c r="F65" s="30">
        <v>-2</v>
      </c>
      <c r="G65" s="30">
        <v>-2</v>
      </c>
      <c r="H65" s="30">
        <v>0</v>
      </c>
      <c r="I65" s="30">
        <v>-2</v>
      </c>
      <c r="J65" s="30">
        <v>-7</v>
      </c>
      <c r="K65" s="30">
        <v>-5</v>
      </c>
      <c r="L65" s="30">
        <v>-5</v>
      </c>
      <c r="M65" s="30">
        <v>-5</v>
      </c>
      <c r="N65" s="30">
        <v>1</v>
      </c>
      <c r="O65" s="5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D65">
        <v>30</v>
      </c>
    </row>
    <row r="66" spans="1:32" x14ac:dyDescent="0.3">
      <c r="A66" s="35" t="s">
        <v>207</v>
      </c>
      <c r="B66" s="30">
        <v>0</v>
      </c>
      <c r="C66" s="30">
        <v>5</v>
      </c>
      <c r="D66" s="30">
        <v>5</v>
      </c>
      <c r="E66" s="30">
        <v>-7</v>
      </c>
      <c r="F66" s="30">
        <v>-7</v>
      </c>
      <c r="G66" s="30">
        <v>-7</v>
      </c>
      <c r="H66" s="30">
        <v>-3</v>
      </c>
      <c r="I66" s="30">
        <v>-7</v>
      </c>
      <c r="J66" s="30">
        <v>-7</v>
      </c>
      <c r="K66" s="30">
        <v>-7</v>
      </c>
      <c r="L66" s="30">
        <v>-7</v>
      </c>
      <c r="M66" s="30">
        <v>-7</v>
      </c>
      <c r="N66" s="30">
        <v>-1</v>
      </c>
      <c r="O66" s="5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D66">
        <v>50</v>
      </c>
    </row>
    <row r="67" spans="1:32" x14ac:dyDescent="0.3">
      <c r="A67" s="35" t="s">
        <v>208</v>
      </c>
      <c r="B67" s="30">
        <v>-7</v>
      </c>
      <c r="C67" s="30">
        <v>-7</v>
      </c>
      <c r="D67" s="30">
        <v>-7</v>
      </c>
      <c r="E67" s="30">
        <v>-7</v>
      </c>
      <c r="F67" s="30">
        <v>-7</v>
      </c>
      <c r="G67" s="30">
        <v>-7</v>
      </c>
      <c r="H67" s="30">
        <v>-7</v>
      </c>
      <c r="I67" s="30">
        <v>-7</v>
      </c>
      <c r="J67" s="30">
        <v>-7</v>
      </c>
      <c r="K67" s="30">
        <v>-7</v>
      </c>
      <c r="L67" s="30">
        <v>-7</v>
      </c>
      <c r="M67" s="30">
        <v>-7</v>
      </c>
      <c r="N67" s="30">
        <v>5</v>
      </c>
      <c r="O67" s="5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D67">
        <v>50</v>
      </c>
      <c r="AF67">
        <v>50</v>
      </c>
    </row>
    <row r="68" spans="1:32" x14ac:dyDescent="0.3">
      <c r="A68" s="35" t="s">
        <v>209</v>
      </c>
      <c r="B68" s="30">
        <v>-7</v>
      </c>
      <c r="C68" s="30">
        <v>-7</v>
      </c>
      <c r="D68" s="30">
        <v>-7</v>
      </c>
      <c r="E68" s="30">
        <v>-7</v>
      </c>
      <c r="F68" s="30">
        <v>-7</v>
      </c>
      <c r="G68" s="30">
        <v>-7</v>
      </c>
      <c r="H68" s="30">
        <v>-7</v>
      </c>
      <c r="I68" s="30">
        <v>-7</v>
      </c>
      <c r="J68" s="30">
        <v>-7</v>
      </c>
      <c r="K68" s="30">
        <v>-7</v>
      </c>
      <c r="L68" s="30">
        <v>-7</v>
      </c>
      <c r="M68" s="30">
        <v>-7</v>
      </c>
      <c r="N68" s="30">
        <v>5</v>
      </c>
      <c r="O68" s="5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</row>
    <row r="69" spans="1:32" x14ac:dyDescent="0.3">
      <c r="A69" s="35" t="s">
        <v>210</v>
      </c>
      <c r="B69" s="30">
        <v>-7</v>
      </c>
      <c r="C69" s="30">
        <v>-7</v>
      </c>
      <c r="D69" s="30">
        <v>-7</v>
      </c>
      <c r="E69" s="30">
        <v>-7</v>
      </c>
      <c r="F69" s="30">
        <v>-7</v>
      </c>
      <c r="G69" s="30">
        <v>-7</v>
      </c>
      <c r="H69" s="30">
        <v>-7</v>
      </c>
      <c r="I69" s="30">
        <v>-7</v>
      </c>
      <c r="J69" s="30">
        <v>-7</v>
      </c>
      <c r="K69" s="30">
        <v>-7</v>
      </c>
      <c r="L69" s="30">
        <v>-7</v>
      </c>
      <c r="M69" s="30">
        <v>-7</v>
      </c>
      <c r="N69" s="30">
        <v>5</v>
      </c>
      <c r="O69" s="5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D69">
        <v>30</v>
      </c>
      <c r="AF69">
        <v>30</v>
      </c>
    </row>
    <row r="70" spans="1:32" x14ac:dyDescent="0.3">
      <c r="A70" s="35" t="s">
        <v>211</v>
      </c>
      <c r="B70" s="30">
        <v>-7</v>
      </c>
      <c r="C70" s="30">
        <v>-7</v>
      </c>
      <c r="D70" s="30">
        <v>-7</v>
      </c>
      <c r="E70" s="30">
        <v>-7</v>
      </c>
      <c r="F70" s="30">
        <v>-7</v>
      </c>
      <c r="G70" s="30">
        <v>-7</v>
      </c>
      <c r="H70" s="30">
        <v>-7</v>
      </c>
      <c r="I70" s="30">
        <v>-7</v>
      </c>
      <c r="J70" s="30">
        <v>-7</v>
      </c>
      <c r="K70" s="30">
        <v>-7</v>
      </c>
      <c r="L70" s="30">
        <v>-7</v>
      </c>
      <c r="M70" s="30">
        <v>-7</v>
      </c>
      <c r="N70" s="30">
        <v>5</v>
      </c>
      <c r="O70" s="5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D70">
        <v>10</v>
      </c>
      <c r="AF70">
        <v>30</v>
      </c>
    </row>
    <row r="71" spans="1:32" x14ac:dyDescent="0.3">
      <c r="A71" s="35" t="s">
        <v>212</v>
      </c>
      <c r="B71" s="30">
        <v>-7</v>
      </c>
      <c r="C71" s="30">
        <v>-7</v>
      </c>
      <c r="D71" s="30">
        <v>-7</v>
      </c>
      <c r="E71" s="30">
        <v>-7</v>
      </c>
      <c r="F71" s="30">
        <v>-7</v>
      </c>
      <c r="G71" s="30">
        <v>-7</v>
      </c>
      <c r="H71" s="30">
        <v>-7</v>
      </c>
      <c r="I71" s="30">
        <v>-7</v>
      </c>
      <c r="J71" s="30">
        <v>-7</v>
      </c>
      <c r="K71" s="30">
        <v>-7</v>
      </c>
      <c r="L71" s="30">
        <v>-7</v>
      </c>
      <c r="M71" s="30">
        <v>-7</v>
      </c>
      <c r="N71" s="30">
        <v>5</v>
      </c>
      <c r="O71" s="50"/>
      <c r="P71" s="30">
        <v>10</v>
      </c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</row>
    <row r="72" spans="1:32" x14ac:dyDescent="0.3">
      <c r="A72" s="35" t="s">
        <v>213</v>
      </c>
      <c r="B72" s="30">
        <v>-7</v>
      </c>
      <c r="C72" s="30">
        <v>-7</v>
      </c>
      <c r="D72" s="30">
        <v>-7</v>
      </c>
      <c r="E72" s="30">
        <v>-7</v>
      </c>
      <c r="F72" s="30">
        <v>-7</v>
      </c>
      <c r="G72" s="30">
        <v>-7</v>
      </c>
      <c r="H72" s="30">
        <v>-7</v>
      </c>
      <c r="I72" s="30">
        <v>-7</v>
      </c>
      <c r="J72" s="30">
        <v>-7</v>
      </c>
      <c r="K72" s="30">
        <v>-7</v>
      </c>
      <c r="L72" s="30">
        <v>-7</v>
      </c>
      <c r="M72" s="30">
        <v>-7</v>
      </c>
      <c r="N72" s="30">
        <v>5</v>
      </c>
      <c r="O72" s="50"/>
      <c r="P72" s="30">
        <v>10</v>
      </c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</row>
    <row r="73" spans="1:32" x14ac:dyDescent="0.3">
      <c r="A73" s="35" t="s">
        <v>214</v>
      </c>
      <c r="B73" s="30">
        <v>-7</v>
      </c>
      <c r="C73" s="30">
        <v>-7</v>
      </c>
      <c r="D73" s="30">
        <v>-7</v>
      </c>
      <c r="E73" s="30">
        <v>-7</v>
      </c>
      <c r="F73" s="30">
        <v>-7</v>
      </c>
      <c r="G73" s="30">
        <v>-7</v>
      </c>
      <c r="H73" s="30">
        <v>-7</v>
      </c>
      <c r="I73" s="30">
        <v>-7</v>
      </c>
      <c r="J73" s="30">
        <v>-7</v>
      </c>
      <c r="K73" s="30">
        <v>-7</v>
      </c>
      <c r="L73" s="30">
        <v>-7</v>
      </c>
      <c r="M73" s="30">
        <v>-7</v>
      </c>
      <c r="N73" s="30">
        <v>5</v>
      </c>
      <c r="O73" s="50"/>
      <c r="P73" s="30">
        <v>40</v>
      </c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F73">
        <v>50</v>
      </c>
    </row>
    <row r="74" spans="1:32" x14ac:dyDescent="0.3">
      <c r="A74" s="35" t="s">
        <v>215</v>
      </c>
      <c r="B74" s="30">
        <v>-7</v>
      </c>
      <c r="C74" s="30">
        <v>-7</v>
      </c>
      <c r="D74" s="30">
        <v>-7</v>
      </c>
      <c r="E74" s="30">
        <v>-7</v>
      </c>
      <c r="F74" s="30">
        <v>-7</v>
      </c>
      <c r="G74" s="30">
        <v>-7</v>
      </c>
      <c r="H74" s="30">
        <v>-7</v>
      </c>
      <c r="I74" s="30">
        <v>-7</v>
      </c>
      <c r="J74" s="30">
        <v>-7</v>
      </c>
      <c r="K74" s="30">
        <v>-7</v>
      </c>
      <c r="L74" s="30">
        <v>-7</v>
      </c>
      <c r="M74" s="30">
        <v>-7</v>
      </c>
      <c r="N74" s="30">
        <v>3</v>
      </c>
      <c r="O74" s="50"/>
      <c r="P74" s="30">
        <v>50</v>
      </c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F74">
        <v>40</v>
      </c>
    </row>
    <row r="75" spans="1:32" x14ac:dyDescent="0.3">
      <c r="A75" s="35" t="s">
        <v>216</v>
      </c>
      <c r="B75" s="30">
        <v>-7</v>
      </c>
      <c r="C75" s="30">
        <v>-7</v>
      </c>
      <c r="D75" s="30">
        <v>-7</v>
      </c>
      <c r="E75" s="30">
        <v>-7</v>
      </c>
      <c r="F75" s="30">
        <v>-7</v>
      </c>
      <c r="G75" s="30">
        <v>-7</v>
      </c>
      <c r="H75" s="30">
        <v>-7</v>
      </c>
      <c r="I75" s="30">
        <v>-7</v>
      </c>
      <c r="J75" s="30">
        <v>-7</v>
      </c>
      <c r="K75" s="30">
        <v>-7</v>
      </c>
      <c r="L75" s="30">
        <v>-7</v>
      </c>
      <c r="M75" s="30">
        <v>-7</v>
      </c>
      <c r="N75" s="30">
        <v>5</v>
      </c>
      <c r="O75" s="50"/>
      <c r="P75" s="30">
        <v>35</v>
      </c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F75">
        <v>30</v>
      </c>
    </row>
    <row r="76" spans="1:32" x14ac:dyDescent="0.3">
      <c r="A76" s="35" t="s">
        <v>217</v>
      </c>
      <c r="B76" s="30">
        <v>-7</v>
      </c>
      <c r="C76" s="30">
        <v>-7</v>
      </c>
      <c r="D76" s="30">
        <v>-7</v>
      </c>
      <c r="E76" s="30">
        <v>-7</v>
      </c>
      <c r="F76" s="30">
        <v>-7</v>
      </c>
      <c r="G76" s="30">
        <v>-7</v>
      </c>
      <c r="H76" s="30">
        <v>-7</v>
      </c>
      <c r="I76" s="30">
        <v>-7</v>
      </c>
      <c r="J76" s="30">
        <v>-7</v>
      </c>
      <c r="K76" s="30">
        <v>-7</v>
      </c>
      <c r="L76" s="30">
        <v>-7</v>
      </c>
      <c r="M76" s="30">
        <v>-7</v>
      </c>
      <c r="N76" s="30">
        <v>5</v>
      </c>
      <c r="O76" s="50"/>
      <c r="P76" s="30">
        <v>30</v>
      </c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F76">
        <v>40</v>
      </c>
    </row>
    <row r="77" spans="1:32" x14ac:dyDescent="0.3">
      <c r="A77" s="35" t="s">
        <v>218</v>
      </c>
      <c r="B77" s="30">
        <v>-7</v>
      </c>
      <c r="C77" s="30">
        <v>-7</v>
      </c>
      <c r="D77" s="30">
        <v>-7</v>
      </c>
      <c r="E77" s="30">
        <v>-7</v>
      </c>
      <c r="F77" s="30">
        <v>-7</v>
      </c>
      <c r="G77" s="30">
        <v>-7</v>
      </c>
      <c r="H77" s="30">
        <v>-7</v>
      </c>
      <c r="I77" s="30">
        <v>-7</v>
      </c>
      <c r="J77" s="30">
        <v>-7</v>
      </c>
      <c r="K77" s="30">
        <v>-7</v>
      </c>
      <c r="L77" s="30">
        <v>-7</v>
      </c>
      <c r="M77" s="30">
        <v>-7</v>
      </c>
      <c r="N77" s="30">
        <v>5</v>
      </c>
      <c r="O77" s="5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F77">
        <v>50</v>
      </c>
    </row>
    <row r="78" spans="1:32" x14ac:dyDescent="0.3"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5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</row>
    <row r="79" spans="1:32" x14ac:dyDescent="0.3"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5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</row>
    <row r="80" spans="1:32" x14ac:dyDescent="0.3">
      <c r="B80" s="34" t="s">
        <v>503</v>
      </c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5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</row>
    <row r="81" spans="3:3" x14ac:dyDescent="0.3">
      <c r="C81" t="s">
        <v>504</v>
      </c>
    </row>
    <row r="82" spans="3:3" x14ac:dyDescent="0.3">
      <c r="C82" t="s">
        <v>505</v>
      </c>
    </row>
    <row r="83" spans="3:3" x14ac:dyDescent="0.3">
      <c r="C83" s="38" t="s">
        <v>506</v>
      </c>
    </row>
    <row r="84" spans="3:3" x14ac:dyDescent="0.3">
      <c r="C84" t="s">
        <v>507</v>
      </c>
    </row>
  </sheetData>
  <autoFilter ref="A2:AI77" xr:uid="{D79F7362-0657-4B95-B764-6DB07D0AA0D5}"/>
  <conditionalFormatting sqref="B3:O77">
    <cfRule type="cellIs" dxfId="25" priority="1" operator="equal">
      <formula>-7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D893E-4846-440A-9203-1A6C9249CFBC}">
  <sheetPr codeName="Sheet10"/>
  <dimension ref="A1:AI248"/>
  <sheetViews>
    <sheetView workbookViewId="0">
      <pane xSplit="1" ySplit="2" topLeftCell="B230" activePane="bottomRight" state="frozen"/>
      <selection pane="topRight" activeCell="B1" sqref="B1"/>
      <selection pane="bottomLeft" activeCell="A3" sqref="A3"/>
      <selection pane="bottomRight" activeCell="C239" sqref="C239"/>
    </sheetView>
  </sheetViews>
  <sheetFormatPr defaultRowHeight="14.4" x14ac:dyDescent="0.3"/>
  <cols>
    <col min="1" max="1" width="23.77734375" style="36" bestFit="1" customWidth="1"/>
    <col min="15" max="15" width="8.77734375" style="47"/>
  </cols>
  <sheetData>
    <row r="1" spans="1:35" x14ac:dyDescent="0.3">
      <c r="A1" s="35" t="s">
        <v>451</v>
      </c>
      <c r="O1" s="47" t="s">
        <v>508</v>
      </c>
    </row>
    <row r="2" spans="1:35" s="1" customFormat="1" x14ac:dyDescent="0.3">
      <c r="A2" s="35"/>
      <c r="B2" s="1" t="s">
        <v>111</v>
      </c>
      <c r="C2" s="1" t="s">
        <v>112</v>
      </c>
      <c r="D2" s="1" t="s">
        <v>113</v>
      </c>
      <c r="E2" s="1" t="s">
        <v>114</v>
      </c>
      <c r="F2" s="1" t="s">
        <v>115</v>
      </c>
      <c r="G2" s="1" t="s">
        <v>116</v>
      </c>
      <c r="H2" s="1" t="s">
        <v>117</v>
      </c>
      <c r="I2" s="1" t="s">
        <v>118</v>
      </c>
      <c r="J2" s="1" t="s">
        <v>119</v>
      </c>
      <c r="K2" s="1" t="s">
        <v>120</v>
      </c>
      <c r="L2" s="1" t="s">
        <v>121</v>
      </c>
      <c r="M2" s="1" t="s">
        <v>122</v>
      </c>
      <c r="N2" s="1" t="s">
        <v>123</v>
      </c>
      <c r="P2" s="1" t="s">
        <v>124</v>
      </c>
      <c r="Q2" s="1" t="s">
        <v>125</v>
      </c>
      <c r="R2" s="1" t="s">
        <v>126</v>
      </c>
      <c r="S2" s="1" t="s">
        <v>127</v>
      </c>
      <c r="T2" s="1" t="s">
        <v>128</v>
      </c>
      <c r="U2" s="1" t="s">
        <v>129</v>
      </c>
      <c r="V2" s="1" t="s">
        <v>130</v>
      </c>
      <c r="W2" s="1" t="s">
        <v>131</v>
      </c>
      <c r="X2" s="1" t="s">
        <v>132</v>
      </c>
      <c r="Y2" s="1" t="s">
        <v>133</v>
      </c>
      <c r="Z2" s="1" t="s">
        <v>134</v>
      </c>
      <c r="AA2" s="1" t="s">
        <v>135</v>
      </c>
      <c r="AB2" s="1" t="s">
        <v>136</v>
      </c>
      <c r="AC2" s="1" t="s">
        <v>137</v>
      </c>
      <c r="AD2" s="1" t="s">
        <v>138</v>
      </c>
      <c r="AE2" s="1" t="s">
        <v>139</v>
      </c>
      <c r="AF2" s="1" t="s">
        <v>140</v>
      </c>
      <c r="AG2" s="1" t="s">
        <v>141</v>
      </c>
      <c r="AH2" s="1" t="s">
        <v>142</v>
      </c>
      <c r="AI2" s="1" t="s">
        <v>143</v>
      </c>
    </row>
    <row r="3" spans="1:35" x14ac:dyDescent="0.3">
      <c r="A3" s="35" t="s">
        <v>450</v>
      </c>
      <c r="B3" s="30">
        <v>-7</v>
      </c>
      <c r="C3" s="30">
        <v>-7</v>
      </c>
      <c r="D3" s="30">
        <v>-7</v>
      </c>
      <c r="E3" s="30">
        <v>-7</v>
      </c>
      <c r="F3" s="30">
        <v>-7</v>
      </c>
      <c r="G3" s="30">
        <v>-7</v>
      </c>
      <c r="H3" s="30">
        <v>-7</v>
      </c>
      <c r="I3" s="30">
        <v>-7</v>
      </c>
      <c r="J3" s="30">
        <v>-7</v>
      </c>
      <c r="K3" s="30">
        <v>-7</v>
      </c>
      <c r="L3" s="30">
        <v>-7</v>
      </c>
      <c r="M3" s="30">
        <v>-7</v>
      </c>
      <c r="N3" s="30">
        <v>-7</v>
      </c>
      <c r="O3" s="50"/>
    </row>
    <row r="4" spans="1:35" x14ac:dyDescent="0.3">
      <c r="A4" s="35" t="s">
        <v>449</v>
      </c>
      <c r="B4" s="30">
        <v>-7</v>
      </c>
      <c r="C4" s="30">
        <v>-7</v>
      </c>
      <c r="D4" s="30">
        <v>-7</v>
      </c>
      <c r="E4" s="30">
        <v>-7</v>
      </c>
      <c r="F4" s="30">
        <v>-7</v>
      </c>
      <c r="G4" s="30">
        <v>-7</v>
      </c>
      <c r="H4" s="30">
        <v>-7</v>
      </c>
      <c r="I4" s="30">
        <v>-7</v>
      </c>
      <c r="J4" s="30">
        <v>-7</v>
      </c>
      <c r="K4" s="30">
        <v>-7</v>
      </c>
      <c r="L4" s="30">
        <v>-7</v>
      </c>
      <c r="M4" s="30">
        <v>-7</v>
      </c>
      <c r="N4" s="30">
        <v>-7</v>
      </c>
      <c r="O4" s="50"/>
    </row>
    <row r="5" spans="1:35" x14ac:dyDescent="0.3">
      <c r="A5" s="35" t="s">
        <v>448</v>
      </c>
      <c r="B5" s="30">
        <v>-7</v>
      </c>
      <c r="C5" s="30">
        <v>-7</v>
      </c>
      <c r="D5" s="30">
        <v>-7</v>
      </c>
      <c r="E5" s="30">
        <v>-7</v>
      </c>
      <c r="F5" s="30">
        <v>-7</v>
      </c>
      <c r="G5" s="30">
        <v>-7</v>
      </c>
      <c r="H5" s="30">
        <v>-7</v>
      </c>
      <c r="I5" s="30">
        <v>-7</v>
      </c>
      <c r="J5" s="30">
        <v>-7</v>
      </c>
      <c r="K5" s="30">
        <v>-7</v>
      </c>
      <c r="L5" s="30">
        <v>-7</v>
      </c>
      <c r="M5" s="30">
        <v>-7</v>
      </c>
      <c r="N5" s="30">
        <v>-7</v>
      </c>
      <c r="O5" s="50"/>
    </row>
    <row r="6" spans="1:35" x14ac:dyDescent="0.3">
      <c r="A6" s="35" t="s">
        <v>447</v>
      </c>
      <c r="B6" s="30">
        <v>-7</v>
      </c>
      <c r="C6" s="30">
        <v>-7</v>
      </c>
      <c r="D6" s="30">
        <v>-7</v>
      </c>
      <c r="E6" s="30">
        <v>-7</v>
      </c>
      <c r="F6" s="30">
        <v>-7</v>
      </c>
      <c r="G6" s="30">
        <v>-7</v>
      </c>
      <c r="H6" s="30">
        <v>-7</v>
      </c>
      <c r="I6" s="30">
        <v>-7</v>
      </c>
      <c r="J6" s="30">
        <v>-7</v>
      </c>
      <c r="K6" s="30">
        <v>-7</v>
      </c>
      <c r="L6" s="30">
        <v>-7</v>
      </c>
      <c r="M6" s="30">
        <v>-7</v>
      </c>
      <c r="N6" s="30">
        <v>-7</v>
      </c>
      <c r="O6" s="50"/>
    </row>
    <row r="7" spans="1:35" x14ac:dyDescent="0.3">
      <c r="A7" s="35" t="s">
        <v>446</v>
      </c>
      <c r="B7" s="30">
        <v>-7</v>
      </c>
      <c r="C7" s="30">
        <v>-7</v>
      </c>
      <c r="D7" s="30">
        <v>-7</v>
      </c>
      <c r="E7" s="30">
        <v>-7</v>
      </c>
      <c r="F7" s="30">
        <v>-7</v>
      </c>
      <c r="G7" s="30">
        <v>-7</v>
      </c>
      <c r="H7" s="30">
        <v>-7</v>
      </c>
      <c r="I7" s="30">
        <v>-7</v>
      </c>
      <c r="J7" s="30">
        <v>-7</v>
      </c>
      <c r="K7" s="30">
        <v>-7</v>
      </c>
      <c r="L7" s="30">
        <v>-7</v>
      </c>
      <c r="M7" s="30">
        <v>-7</v>
      </c>
      <c r="N7" s="30">
        <v>-7</v>
      </c>
      <c r="O7" s="50"/>
    </row>
    <row r="8" spans="1:35" x14ac:dyDescent="0.3">
      <c r="A8" s="35" t="s">
        <v>445</v>
      </c>
      <c r="B8" s="30">
        <v>-7</v>
      </c>
      <c r="C8" s="30">
        <v>-7</v>
      </c>
      <c r="D8" s="30">
        <v>-7</v>
      </c>
      <c r="E8" s="30">
        <v>-7</v>
      </c>
      <c r="F8" s="30">
        <v>-7</v>
      </c>
      <c r="G8" s="30">
        <v>-7</v>
      </c>
      <c r="H8" s="30">
        <v>-7</v>
      </c>
      <c r="I8" s="30">
        <v>-7</v>
      </c>
      <c r="J8" s="30">
        <v>-7</v>
      </c>
      <c r="K8" s="30">
        <v>-7</v>
      </c>
      <c r="L8" s="30">
        <v>-7</v>
      </c>
      <c r="M8" s="30">
        <v>-7</v>
      </c>
      <c r="N8" s="30">
        <v>-7</v>
      </c>
      <c r="O8" s="50"/>
    </row>
    <row r="9" spans="1:35" x14ac:dyDescent="0.3">
      <c r="A9" s="35" t="s">
        <v>444</v>
      </c>
      <c r="B9" s="30">
        <v>-7</v>
      </c>
      <c r="C9" s="30">
        <v>-7</v>
      </c>
      <c r="D9" s="30">
        <v>-7</v>
      </c>
      <c r="E9" s="30">
        <v>-7</v>
      </c>
      <c r="F9" s="30">
        <v>-7</v>
      </c>
      <c r="G9" s="30">
        <v>-7</v>
      </c>
      <c r="H9" s="30">
        <v>-7</v>
      </c>
      <c r="I9" s="30">
        <v>-7</v>
      </c>
      <c r="J9" s="30">
        <v>-7</v>
      </c>
      <c r="K9" s="30">
        <v>-7</v>
      </c>
      <c r="L9" s="30">
        <v>-7</v>
      </c>
      <c r="M9" s="30">
        <v>-7</v>
      </c>
      <c r="N9" s="30">
        <v>-7</v>
      </c>
      <c r="O9" s="50"/>
    </row>
    <row r="10" spans="1:35" x14ac:dyDescent="0.3">
      <c r="A10" s="35" t="s">
        <v>443</v>
      </c>
      <c r="B10" s="30">
        <v>-7</v>
      </c>
      <c r="C10" s="30">
        <v>-7</v>
      </c>
      <c r="D10" s="30">
        <v>-7</v>
      </c>
      <c r="E10" s="30">
        <v>-7</v>
      </c>
      <c r="F10" s="30">
        <v>-7</v>
      </c>
      <c r="G10" s="30">
        <v>-7</v>
      </c>
      <c r="H10" s="30">
        <v>-7</v>
      </c>
      <c r="I10" s="30">
        <v>-7</v>
      </c>
      <c r="J10" s="30">
        <v>-7</v>
      </c>
      <c r="K10" s="30">
        <v>-7</v>
      </c>
      <c r="L10" s="30">
        <v>-7</v>
      </c>
      <c r="M10" s="30">
        <v>-7</v>
      </c>
      <c r="N10" s="30">
        <v>-7</v>
      </c>
      <c r="O10" s="50"/>
    </row>
    <row r="11" spans="1:35" x14ac:dyDescent="0.3">
      <c r="A11" s="35" t="s">
        <v>442</v>
      </c>
      <c r="B11" s="30">
        <v>-7</v>
      </c>
      <c r="C11" s="30">
        <v>-7</v>
      </c>
      <c r="D11" s="30">
        <v>-7</v>
      </c>
      <c r="E11" s="30">
        <v>-7</v>
      </c>
      <c r="F11" s="30">
        <v>-7</v>
      </c>
      <c r="G11" s="30">
        <v>-7</v>
      </c>
      <c r="H11" s="30">
        <v>-7</v>
      </c>
      <c r="I11" s="30">
        <v>-7</v>
      </c>
      <c r="J11" s="30">
        <v>-7</v>
      </c>
      <c r="K11" s="30">
        <v>-7</v>
      </c>
      <c r="L11" s="30">
        <v>-7</v>
      </c>
      <c r="M11" s="30">
        <v>-7</v>
      </c>
      <c r="N11" s="30">
        <v>-7</v>
      </c>
      <c r="O11" s="50"/>
    </row>
    <row r="12" spans="1:35" x14ac:dyDescent="0.3">
      <c r="A12" s="35" t="s">
        <v>441</v>
      </c>
      <c r="B12" s="30">
        <v>-7</v>
      </c>
      <c r="C12" s="30">
        <v>-7</v>
      </c>
      <c r="D12" s="30">
        <v>-7</v>
      </c>
      <c r="E12" s="30">
        <v>-7</v>
      </c>
      <c r="F12" s="30">
        <v>-7</v>
      </c>
      <c r="G12" s="30">
        <v>-7</v>
      </c>
      <c r="H12" s="30">
        <v>-7</v>
      </c>
      <c r="I12" s="30">
        <v>-7</v>
      </c>
      <c r="J12" s="30">
        <v>-7</v>
      </c>
      <c r="K12" s="30">
        <v>-7</v>
      </c>
      <c r="L12" s="30">
        <v>-7</v>
      </c>
      <c r="M12" s="30">
        <v>-7</v>
      </c>
      <c r="N12" s="30">
        <v>-7</v>
      </c>
      <c r="O12" s="50"/>
    </row>
    <row r="13" spans="1:35" x14ac:dyDescent="0.3">
      <c r="A13" s="35" t="s">
        <v>440</v>
      </c>
      <c r="B13" s="30">
        <v>-7</v>
      </c>
      <c r="C13" s="30">
        <v>-7</v>
      </c>
      <c r="D13" s="30">
        <v>-7</v>
      </c>
      <c r="E13" s="30">
        <v>-7</v>
      </c>
      <c r="F13" s="30">
        <v>-7</v>
      </c>
      <c r="G13" s="30">
        <v>-7</v>
      </c>
      <c r="H13" s="30">
        <v>-7</v>
      </c>
      <c r="I13" s="30">
        <v>-7</v>
      </c>
      <c r="J13" s="30">
        <v>-7</v>
      </c>
      <c r="K13" s="30">
        <v>-7</v>
      </c>
      <c r="L13" s="30">
        <v>-7</v>
      </c>
      <c r="M13" s="30">
        <v>-7</v>
      </c>
      <c r="N13" s="30">
        <v>-7</v>
      </c>
      <c r="O13" s="50"/>
    </row>
    <row r="14" spans="1:35" x14ac:dyDescent="0.3">
      <c r="A14" s="35" t="s">
        <v>439</v>
      </c>
      <c r="B14" s="30">
        <v>-7</v>
      </c>
      <c r="C14" s="30">
        <v>-7</v>
      </c>
      <c r="D14" s="30">
        <v>-7</v>
      </c>
      <c r="E14" s="30">
        <v>-7</v>
      </c>
      <c r="F14" s="30">
        <v>-7</v>
      </c>
      <c r="G14" s="30">
        <v>-7</v>
      </c>
      <c r="H14" s="30">
        <v>-7</v>
      </c>
      <c r="I14" s="30">
        <v>-7</v>
      </c>
      <c r="J14" s="30">
        <v>-7</v>
      </c>
      <c r="K14" s="30">
        <v>-7</v>
      </c>
      <c r="L14" s="30">
        <v>-7</v>
      </c>
      <c r="M14" s="30">
        <v>-7</v>
      </c>
      <c r="N14" s="30">
        <v>-7</v>
      </c>
      <c r="O14" s="50"/>
    </row>
    <row r="15" spans="1:35" x14ac:dyDescent="0.3">
      <c r="A15" s="35" t="s">
        <v>438</v>
      </c>
      <c r="B15" s="30">
        <v>-7</v>
      </c>
      <c r="C15" s="30">
        <v>-7</v>
      </c>
      <c r="D15" s="30">
        <v>-7</v>
      </c>
      <c r="E15" s="30">
        <v>-7</v>
      </c>
      <c r="F15" s="30">
        <v>-7</v>
      </c>
      <c r="G15" s="30">
        <v>-7</v>
      </c>
      <c r="H15" s="30">
        <v>-7</v>
      </c>
      <c r="I15" s="30">
        <v>-7</v>
      </c>
      <c r="J15" s="30">
        <v>-7</v>
      </c>
      <c r="K15" s="30">
        <v>-7</v>
      </c>
      <c r="L15" s="30">
        <v>-7</v>
      </c>
      <c r="M15" s="30">
        <v>-7</v>
      </c>
      <c r="N15" s="30">
        <v>-7</v>
      </c>
      <c r="O15" s="50"/>
      <c r="Y15">
        <v>1</v>
      </c>
      <c r="AA15">
        <v>1</v>
      </c>
      <c r="AB15">
        <v>60</v>
      </c>
    </row>
    <row r="16" spans="1:35" x14ac:dyDescent="0.3">
      <c r="A16" s="35" t="s">
        <v>437</v>
      </c>
      <c r="B16" s="30">
        <v>-7</v>
      </c>
      <c r="C16" s="30">
        <v>-7</v>
      </c>
      <c r="D16" s="30">
        <v>0</v>
      </c>
      <c r="E16" s="30">
        <v>-7</v>
      </c>
      <c r="F16" s="30">
        <v>-7</v>
      </c>
      <c r="G16" s="30">
        <v>-7</v>
      </c>
      <c r="H16" s="30">
        <v>4</v>
      </c>
      <c r="I16" s="30">
        <v>-7</v>
      </c>
      <c r="J16" s="30">
        <v>-7</v>
      </c>
      <c r="K16" s="30">
        <v>-7</v>
      </c>
      <c r="L16" s="30">
        <v>-7</v>
      </c>
      <c r="M16" s="30">
        <v>-7</v>
      </c>
      <c r="N16" s="30">
        <v>-7</v>
      </c>
      <c r="O16" s="50"/>
      <c r="AC16">
        <v>20</v>
      </c>
    </row>
    <row r="17" spans="1:29" x14ac:dyDescent="0.3">
      <c r="A17" s="35" t="s">
        <v>436</v>
      </c>
      <c r="B17" s="30">
        <v>-7</v>
      </c>
      <c r="C17" s="30">
        <v>0</v>
      </c>
      <c r="D17" s="30">
        <v>-7</v>
      </c>
      <c r="E17" s="30">
        <v>-7</v>
      </c>
      <c r="F17" s="30">
        <v>-7</v>
      </c>
      <c r="G17" s="30">
        <v>-7</v>
      </c>
      <c r="H17" s="30">
        <v>-7</v>
      </c>
      <c r="I17" s="30">
        <v>-7</v>
      </c>
      <c r="J17" s="30">
        <v>-7</v>
      </c>
      <c r="K17" s="30">
        <v>5</v>
      </c>
      <c r="L17" s="30">
        <v>-7</v>
      </c>
      <c r="M17" s="30">
        <v>-7</v>
      </c>
      <c r="N17" s="30">
        <v>-7</v>
      </c>
      <c r="O17" s="50"/>
      <c r="AC17">
        <v>50</v>
      </c>
    </row>
    <row r="18" spans="1:29" x14ac:dyDescent="0.3">
      <c r="A18" s="35" t="s">
        <v>435</v>
      </c>
      <c r="B18" s="30">
        <v>-7</v>
      </c>
      <c r="C18" s="30">
        <v>-7</v>
      </c>
      <c r="D18" s="30">
        <v>0</v>
      </c>
      <c r="E18" s="30">
        <v>-7</v>
      </c>
      <c r="F18" s="30">
        <v>-7</v>
      </c>
      <c r="G18" s="30">
        <v>-7</v>
      </c>
      <c r="H18" s="30">
        <v>2</v>
      </c>
      <c r="I18" s="30">
        <v>-7</v>
      </c>
      <c r="J18" s="30">
        <v>-7</v>
      </c>
      <c r="K18" s="30">
        <v>-7</v>
      </c>
      <c r="L18" s="30">
        <v>-7</v>
      </c>
      <c r="M18" s="30">
        <v>-7</v>
      </c>
      <c r="N18" s="30">
        <v>-7</v>
      </c>
      <c r="O18" s="50"/>
      <c r="AC18">
        <v>40</v>
      </c>
    </row>
    <row r="19" spans="1:29" x14ac:dyDescent="0.3">
      <c r="A19" s="35" t="s">
        <v>434</v>
      </c>
      <c r="B19" s="30">
        <v>-7</v>
      </c>
      <c r="C19" s="30">
        <v>-7</v>
      </c>
      <c r="D19" s="30">
        <v>-3</v>
      </c>
      <c r="E19" s="30">
        <v>-7</v>
      </c>
      <c r="F19" s="30">
        <v>-7</v>
      </c>
      <c r="G19" s="30">
        <v>-7</v>
      </c>
      <c r="H19" s="30">
        <v>5</v>
      </c>
      <c r="I19" s="30">
        <v>-7</v>
      </c>
      <c r="J19" s="30">
        <v>-7</v>
      </c>
      <c r="K19" s="30">
        <v>-7</v>
      </c>
      <c r="L19" s="30">
        <v>-7</v>
      </c>
      <c r="M19" s="30">
        <v>-7</v>
      </c>
      <c r="N19" s="30">
        <v>-7</v>
      </c>
      <c r="O19" s="50"/>
      <c r="AC19">
        <v>5</v>
      </c>
    </row>
    <row r="20" spans="1:29" x14ac:dyDescent="0.3">
      <c r="A20" s="35" t="s">
        <v>433</v>
      </c>
      <c r="B20" s="30">
        <v>-7</v>
      </c>
      <c r="C20" s="30">
        <v>-7</v>
      </c>
      <c r="D20" s="30">
        <v>-3</v>
      </c>
      <c r="E20" s="30">
        <v>-7</v>
      </c>
      <c r="F20" s="30">
        <v>-7</v>
      </c>
      <c r="G20" s="30">
        <v>-7</v>
      </c>
      <c r="H20" s="30">
        <v>2</v>
      </c>
      <c r="I20" s="30">
        <v>-7</v>
      </c>
      <c r="J20" s="30">
        <v>-7</v>
      </c>
      <c r="K20" s="30">
        <v>-7</v>
      </c>
      <c r="L20" s="30">
        <v>-7</v>
      </c>
      <c r="M20" s="30">
        <v>-7</v>
      </c>
      <c r="N20" s="30">
        <v>-7</v>
      </c>
      <c r="O20" s="50"/>
      <c r="AC20">
        <v>25</v>
      </c>
    </row>
    <row r="21" spans="1:29" x14ac:dyDescent="0.3">
      <c r="A21" s="35" t="s">
        <v>432</v>
      </c>
      <c r="B21" s="30">
        <v>-7</v>
      </c>
      <c r="C21" s="30">
        <v>-7</v>
      </c>
      <c r="D21" s="30">
        <v>-7</v>
      </c>
      <c r="E21" s="30">
        <v>-7</v>
      </c>
      <c r="F21" s="30">
        <v>-7</v>
      </c>
      <c r="G21" s="30">
        <v>-7</v>
      </c>
      <c r="H21" s="30">
        <v>0</v>
      </c>
      <c r="I21" s="30">
        <v>-7</v>
      </c>
      <c r="J21" s="30">
        <v>-7</v>
      </c>
      <c r="K21" s="30">
        <v>-7</v>
      </c>
      <c r="L21" s="30">
        <v>-7</v>
      </c>
      <c r="M21" s="30">
        <v>-7</v>
      </c>
      <c r="N21" s="30">
        <v>-7</v>
      </c>
      <c r="O21" s="50"/>
      <c r="AC21">
        <v>25</v>
      </c>
    </row>
    <row r="22" spans="1:29" x14ac:dyDescent="0.3">
      <c r="A22" s="35" t="s">
        <v>431</v>
      </c>
      <c r="B22" s="30">
        <v>-7</v>
      </c>
      <c r="C22" s="30">
        <v>-3</v>
      </c>
      <c r="D22" s="30">
        <v>-7</v>
      </c>
      <c r="E22" s="30">
        <v>-7</v>
      </c>
      <c r="F22" s="30">
        <v>-7</v>
      </c>
      <c r="G22" s="30">
        <v>-7</v>
      </c>
      <c r="H22" s="30">
        <v>0</v>
      </c>
      <c r="I22" s="30">
        <v>-7</v>
      </c>
      <c r="J22" s="30">
        <v>-7</v>
      </c>
      <c r="K22" s="30">
        <v>2</v>
      </c>
      <c r="L22" s="30">
        <v>-7</v>
      </c>
      <c r="M22" s="30">
        <v>-7</v>
      </c>
      <c r="N22" s="30">
        <v>-7</v>
      </c>
      <c r="O22" s="50"/>
      <c r="AC22">
        <v>5</v>
      </c>
    </row>
    <row r="23" spans="1:29" x14ac:dyDescent="0.3">
      <c r="A23" s="35" t="s">
        <v>430</v>
      </c>
      <c r="B23" s="30">
        <v>-7</v>
      </c>
      <c r="C23" s="30">
        <v>-3</v>
      </c>
      <c r="D23" s="30">
        <v>-7</v>
      </c>
      <c r="E23" s="30">
        <v>-7</v>
      </c>
      <c r="F23" s="30">
        <v>-7</v>
      </c>
      <c r="G23" s="30">
        <v>-7</v>
      </c>
      <c r="H23" s="30">
        <v>-3</v>
      </c>
      <c r="I23" s="30">
        <v>-7</v>
      </c>
      <c r="J23" s="30">
        <v>-7</v>
      </c>
      <c r="K23" s="30">
        <v>0</v>
      </c>
      <c r="L23" s="30">
        <v>-7</v>
      </c>
      <c r="M23" s="30">
        <v>-7</v>
      </c>
      <c r="N23" s="30">
        <v>-7</v>
      </c>
      <c r="O23" s="50"/>
      <c r="P23">
        <v>13</v>
      </c>
    </row>
    <row r="24" spans="1:29" x14ac:dyDescent="0.3">
      <c r="A24" s="35" t="s">
        <v>429</v>
      </c>
      <c r="B24" s="30">
        <v>-7</v>
      </c>
      <c r="C24" s="30">
        <v>-7</v>
      </c>
      <c r="D24" s="30">
        <v>-7</v>
      </c>
      <c r="E24" s="30">
        <v>-7</v>
      </c>
      <c r="F24" s="30">
        <v>-7</v>
      </c>
      <c r="G24" s="30">
        <v>-7</v>
      </c>
      <c r="H24" s="30">
        <v>-7</v>
      </c>
      <c r="I24" s="30">
        <v>-7</v>
      </c>
      <c r="J24" s="30">
        <v>-7</v>
      </c>
      <c r="K24" s="30">
        <v>-3</v>
      </c>
      <c r="L24" s="30">
        <v>-7</v>
      </c>
      <c r="M24" s="30">
        <v>-7</v>
      </c>
      <c r="N24" s="30">
        <v>-7</v>
      </c>
      <c r="O24" s="50"/>
      <c r="P24">
        <v>25</v>
      </c>
    </row>
    <row r="25" spans="1:29" x14ac:dyDescent="0.3">
      <c r="A25" s="35" t="s">
        <v>428</v>
      </c>
      <c r="B25" s="30">
        <v>-7</v>
      </c>
      <c r="C25" s="30">
        <v>-7</v>
      </c>
      <c r="D25" s="30">
        <v>5</v>
      </c>
      <c r="E25" s="30">
        <v>-7</v>
      </c>
      <c r="F25" s="30">
        <v>-7</v>
      </c>
      <c r="G25" s="30">
        <v>-7</v>
      </c>
      <c r="H25" s="30">
        <v>0</v>
      </c>
      <c r="I25" s="30">
        <v>-7</v>
      </c>
      <c r="J25" s="30">
        <v>-7</v>
      </c>
      <c r="K25" s="30">
        <v>-7</v>
      </c>
      <c r="L25" s="30">
        <v>-7</v>
      </c>
      <c r="M25" s="30">
        <v>-7</v>
      </c>
      <c r="N25" s="30">
        <v>-7</v>
      </c>
      <c r="O25" s="50"/>
      <c r="AC25">
        <v>90</v>
      </c>
    </row>
    <row r="26" spans="1:29" x14ac:dyDescent="0.3">
      <c r="A26" s="35" t="s">
        <v>427</v>
      </c>
      <c r="B26" s="30">
        <v>-7</v>
      </c>
      <c r="C26" s="30">
        <v>-3</v>
      </c>
      <c r="D26" s="30">
        <v>-3</v>
      </c>
      <c r="E26" s="30">
        <v>-7</v>
      </c>
      <c r="F26" s="30">
        <v>-7</v>
      </c>
      <c r="G26" s="30">
        <v>-7</v>
      </c>
      <c r="H26" s="30">
        <v>-7</v>
      </c>
      <c r="I26" s="30">
        <v>-7</v>
      </c>
      <c r="J26" s="30">
        <v>-7</v>
      </c>
      <c r="K26" s="30">
        <v>5</v>
      </c>
      <c r="L26" s="30">
        <v>-7</v>
      </c>
      <c r="M26" s="30">
        <v>-7</v>
      </c>
      <c r="N26" s="30">
        <v>-7</v>
      </c>
      <c r="O26" s="50"/>
      <c r="AC26">
        <v>30</v>
      </c>
    </row>
    <row r="27" spans="1:29" x14ac:dyDescent="0.3">
      <c r="A27" s="35" t="s">
        <v>426</v>
      </c>
      <c r="B27" s="30">
        <v>-7</v>
      </c>
      <c r="C27" s="30">
        <v>-7</v>
      </c>
      <c r="D27" s="30">
        <v>-7</v>
      </c>
      <c r="E27" s="30">
        <v>-7</v>
      </c>
      <c r="F27" s="30">
        <v>-7</v>
      </c>
      <c r="G27" s="30">
        <v>-7</v>
      </c>
      <c r="H27" s="30">
        <v>-7</v>
      </c>
      <c r="I27" s="30">
        <v>-7</v>
      </c>
      <c r="J27" s="30">
        <v>-7</v>
      </c>
      <c r="K27" s="30">
        <v>2</v>
      </c>
      <c r="L27" s="30">
        <v>-7</v>
      </c>
      <c r="M27" s="30">
        <v>-7</v>
      </c>
      <c r="N27" s="30">
        <v>-7</v>
      </c>
      <c r="O27" s="50"/>
      <c r="AC27">
        <v>62</v>
      </c>
    </row>
    <row r="28" spans="1:29" x14ac:dyDescent="0.3">
      <c r="A28" s="35" t="s">
        <v>425</v>
      </c>
      <c r="B28" s="30">
        <v>-7</v>
      </c>
      <c r="C28" s="30">
        <v>-7</v>
      </c>
      <c r="D28" s="30">
        <v>-7</v>
      </c>
      <c r="E28" s="30">
        <v>-7</v>
      </c>
      <c r="F28" s="30">
        <v>-7</v>
      </c>
      <c r="G28" s="30">
        <v>-7</v>
      </c>
      <c r="H28" s="30">
        <v>0</v>
      </c>
      <c r="I28" s="30">
        <v>-7</v>
      </c>
      <c r="J28" s="30">
        <v>-7</v>
      </c>
      <c r="K28" s="30">
        <v>2</v>
      </c>
      <c r="L28" s="30">
        <v>-7</v>
      </c>
      <c r="M28" s="30">
        <v>-7</v>
      </c>
      <c r="N28" s="30">
        <v>-7</v>
      </c>
      <c r="O28" s="50"/>
      <c r="AC28">
        <v>26</v>
      </c>
    </row>
    <row r="29" spans="1:29" x14ac:dyDescent="0.3">
      <c r="A29" s="35" t="s">
        <v>424</v>
      </c>
      <c r="B29" s="30">
        <v>-7</v>
      </c>
      <c r="C29" s="30">
        <v>-7</v>
      </c>
      <c r="D29" s="30">
        <v>-7</v>
      </c>
      <c r="E29" s="30">
        <v>-7</v>
      </c>
      <c r="F29" s="30">
        <v>-7</v>
      </c>
      <c r="G29" s="30">
        <v>-7</v>
      </c>
      <c r="H29" s="30">
        <v>0</v>
      </c>
      <c r="I29" s="30">
        <v>-7</v>
      </c>
      <c r="J29" s="30">
        <v>-7</v>
      </c>
      <c r="K29" s="30">
        <v>-7</v>
      </c>
      <c r="L29" s="30">
        <v>-7</v>
      </c>
      <c r="M29" s="30">
        <v>-7</v>
      </c>
      <c r="N29" s="30">
        <v>-7</v>
      </c>
      <c r="O29" s="50"/>
      <c r="AC29">
        <v>20</v>
      </c>
    </row>
    <row r="30" spans="1:29" x14ac:dyDescent="0.3">
      <c r="A30" s="35" t="s">
        <v>423</v>
      </c>
      <c r="B30" s="30">
        <v>-7</v>
      </c>
      <c r="C30" s="30">
        <v>-7</v>
      </c>
      <c r="D30" s="30">
        <v>-7</v>
      </c>
      <c r="E30" s="30">
        <v>-7</v>
      </c>
      <c r="F30" s="30">
        <v>-7</v>
      </c>
      <c r="G30" s="30">
        <v>-7</v>
      </c>
      <c r="H30" s="30">
        <v>-3</v>
      </c>
      <c r="I30" s="30">
        <v>-3</v>
      </c>
      <c r="J30" s="30">
        <v>-7</v>
      </c>
      <c r="K30" s="30">
        <v>-7</v>
      </c>
      <c r="L30" s="30">
        <v>-7</v>
      </c>
      <c r="M30" s="30">
        <v>-7</v>
      </c>
      <c r="N30" s="30">
        <v>-7</v>
      </c>
      <c r="O30" s="50"/>
      <c r="AC30">
        <v>32</v>
      </c>
    </row>
    <row r="31" spans="1:29" x14ac:dyDescent="0.3">
      <c r="A31" s="35" t="s">
        <v>422</v>
      </c>
      <c r="B31" s="30">
        <v>-7</v>
      </c>
      <c r="C31" s="30">
        <v>-7</v>
      </c>
      <c r="D31" s="30">
        <v>-7</v>
      </c>
      <c r="E31" s="30">
        <v>-7</v>
      </c>
      <c r="F31" s="30">
        <v>-7</v>
      </c>
      <c r="G31" s="30">
        <v>-7</v>
      </c>
      <c r="H31" s="30">
        <v>0</v>
      </c>
      <c r="I31" s="30">
        <v>-4</v>
      </c>
      <c r="J31" s="30">
        <v>-7</v>
      </c>
      <c r="K31" s="30">
        <v>-7</v>
      </c>
      <c r="L31" s="30">
        <v>-7</v>
      </c>
      <c r="M31" s="30">
        <v>-7</v>
      </c>
      <c r="N31" s="30">
        <v>-7</v>
      </c>
      <c r="O31" s="50"/>
      <c r="AC31">
        <v>28</v>
      </c>
    </row>
    <row r="32" spans="1:29" x14ac:dyDescent="0.3">
      <c r="A32" s="35" t="s">
        <v>421</v>
      </c>
      <c r="B32" s="30">
        <v>-7</v>
      </c>
      <c r="C32" s="30">
        <v>-7</v>
      </c>
      <c r="D32" s="30">
        <v>-7</v>
      </c>
      <c r="E32" s="30">
        <v>-7</v>
      </c>
      <c r="F32" s="30">
        <v>-7</v>
      </c>
      <c r="G32" s="30">
        <v>-7</v>
      </c>
      <c r="H32" s="30">
        <v>-7</v>
      </c>
      <c r="I32" s="30">
        <v>-7</v>
      </c>
      <c r="J32" s="30">
        <v>-7</v>
      </c>
      <c r="K32" s="30">
        <v>-7</v>
      </c>
      <c r="L32" s="30">
        <v>3</v>
      </c>
      <c r="M32" s="30">
        <v>5</v>
      </c>
      <c r="N32" s="30">
        <v>-7</v>
      </c>
      <c r="O32" s="50"/>
      <c r="Y32">
        <v>2</v>
      </c>
      <c r="AA32">
        <v>1</v>
      </c>
      <c r="AB32">
        <v>5</v>
      </c>
    </row>
    <row r="33" spans="1:29" x14ac:dyDescent="0.3">
      <c r="A33" s="35" t="s">
        <v>420</v>
      </c>
      <c r="B33" s="30">
        <v>-7</v>
      </c>
      <c r="C33" s="30">
        <v>-7</v>
      </c>
      <c r="D33" s="30">
        <v>-7</v>
      </c>
      <c r="E33" s="30">
        <v>-7</v>
      </c>
      <c r="F33" s="30">
        <v>-7</v>
      </c>
      <c r="G33" s="30">
        <v>-7</v>
      </c>
      <c r="H33" s="30">
        <v>5</v>
      </c>
      <c r="I33" s="30">
        <v>-7</v>
      </c>
      <c r="J33" s="30">
        <v>-7</v>
      </c>
      <c r="K33" s="30">
        <v>2</v>
      </c>
      <c r="L33" s="30">
        <v>-7</v>
      </c>
      <c r="M33" s="30">
        <v>-7</v>
      </c>
      <c r="N33" s="30">
        <v>-7</v>
      </c>
      <c r="O33" s="50"/>
      <c r="AC33">
        <v>20</v>
      </c>
    </row>
    <row r="34" spans="1:29" x14ac:dyDescent="0.3">
      <c r="A34" s="35" t="s">
        <v>138</v>
      </c>
      <c r="B34" s="30">
        <v>-7</v>
      </c>
      <c r="C34" s="30">
        <v>-7</v>
      </c>
      <c r="D34" s="30">
        <v>-7</v>
      </c>
      <c r="E34" s="30">
        <v>-7</v>
      </c>
      <c r="F34" s="30">
        <v>-7</v>
      </c>
      <c r="G34" s="30">
        <v>-7</v>
      </c>
      <c r="H34" s="30">
        <v>-7</v>
      </c>
      <c r="I34" s="30">
        <v>-7</v>
      </c>
      <c r="J34" s="30">
        <v>-7</v>
      </c>
      <c r="K34" s="30">
        <v>-7</v>
      </c>
      <c r="L34" s="30">
        <v>3</v>
      </c>
      <c r="M34" s="30">
        <v>3</v>
      </c>
      <c r="N34" s="30">
        <v>-7</v>
      </c>
      <c r="O34" s="50"/>
      <c r="Y34">
        <v>1</v>
      </c>
      <c r="AA34">
        <v>1</v>
      </c>
      <c r="AB34">
        <v>20</v>
      </c>
    </row>
    <row r="35" spans="1:29" x14ac:dyDescent="0.3">
      <c r="A35" s="35" t="s">
        <v>139</v>
      </c>
      <c r="B35" s="30">
        <v>-7</v>
      </c>
      <c r="C35" s="30">
        <v>-7</v>
      </c>
      <c r="D35" s="30">
        <v>-7</v>
      </c>
      <c r="E35" s="30">
        <v>-7</v>
      </c>
      <c r="F35" s="30">
        <v>-7</v>
      </c>
      <c r="G35" s="30">
        <v>-7</v>
      </c>
      <c r="H35" s="30">
        <v>-7</v>
      </c>
      <c r="I35" s="30">
        <v>-7</v>
      </c>
      <c r="J35" s="30">
        <v>-7</v>
      </c>
      <c r="K35" s="30">
        <v>-7</v>
      </c>
      <c r="L35" s="30">
        <v>3</v>
      </c>
      <c r="M35" s="30">
        <v>3</v>
      </c>
      <c r="N35" s="30">
        <v>-7</v>
      </c>
      <c r="O35" s="50"/>
      <c r="Y35">
        <v>2</v>
      </c>
      <c r="AA35">
        <v>1</v>
      </c>
      <c r="AB35">
        <v>20</v>
      </c>
    </row>
    <row r="36" spans="1:29" x14ac:dyDescent="0.3">
      <c r="A36" s="35" t="s">
        <v>140</v>
      </c>
      <c r="B36" s="30">
        <v>-7</v>
      </c>
      <c r="C36" s="30">
        <v>-7</v>
      </c>
      <c r="D36" s="30">
        <v>-7</v>
      </c>
      <c r="E36" s="30">
        <v>-7</v>
      </c>
      <c r="F36" s="30">
        <v>-7</v>
      </c>
      <c r="G36" s="30">
        <v>-7</v>
      </c>
      <c r="H36" s="30">
        <v>-7</v>
      </c>
      <c r="I36" s="30">
        <v>-7</v>
      </c>
      <c r="J36" s="30">
        <v>-7</v>
      </c>
      <c r="K36" s="30">
        <v>-7</v>
      </c>
      <c r="L36" s="30">
        <v>3</v>
      </c>
      <c r="M36" s="30">
        <v>3</v>
      </c>
      <c r="N36" s="30">
        <v>-7</v>
      </c>
      <c r="O36" s="50"/>
      <c r="Y36">
        <v>1</v>
      </c>
      <c r="AA36">
        <v>1</v>
      </c>
      <c r="AB36">
        <v>20</v>
      </c>
    </row>
    <row r="37" spans="1:29" x14ac:dyDescent="0.3">
      <c r="A37" s="35" t="s">
        <v>141</v>
      </c>
      <c r="B37" s="30">
        <v>-7</v>
      </c>
      <c r="C37" s="30">
        <v>-7</v>
      </c>
      <c r="D37" s="30">
        <v>-7</v>
      </c>
      <c r="E37" s="30">
        <v>-7</v>
      </c>
      <c r="F37" s="30">
        <v>-7</v>
      </c>
      <c r="G37" s="30">
        <v>-7</v>
      </c>
      <c r="H37" s="30">
        <v>5</v>
      </c>
      <c r="I37" s="30">
        <v>-7</v>
      </c>
      <c r="J37" s="30">
        <v>-7</v>
      </c>
      <c r="K37" s="30">
        <v>-7</v>
      </c>
      <c r="L37" s="30">
        <v>-7</v>
      </c>
      <c r="M37" s="30">
        <v>-7</v>
      </c>
      <c r="N37" s="30">
        <v>-7</v>
      </c>
      <c r="O37" s="50"/>
      <c r="AC37">
        <v>20</v>
      </c>
    </row>
    <row r="38" spans="1:29" x14ac:dyDescent="0.3">
      <c r="A38" s="35" t="s">
        <v>142</v>
      </c>
      <c r="B38" s="30">
        <v>-7</v>
      </c>
      <c r="C38" s="30">
        <v>-7</v>
      </c>
      <c r="D38" s="30">
        <v>-7</v>
      </c>
      <c r="E38" s="30">
        <v>-7</v>
      </c>
      <c r="F38" s="30">
        <v>-7</v>
      </c>
      <c r="G38" s="30">
        <v>-7</v>
      </c>
      <c r="H38" s="30">
        <v>-7</v>
      </c>
      <c r="I38" s="30">
        <v>-7</v>
      </c>
      <c r="J38" s="30">
        <v>-7</v>
      </c>
      <c r="K38" s="30">
        <v>-7</v>
      </c>
      <c r="L38" s="30">
        <v>5</v>
      </c>
      <c r="M38" s="30">
        <v>3</v>
      </c>
      <c r="N38" s="30">
        <v>-7</v>
      </c>
      <c r="O38" s="50"/>
      <c r="Y38">
        <v>2</v>
      </c>
      <c r="AA38">
        <v>1</v>
      </c>
      <c r="AB38">
        <v>20</v>
      </c>
    </row>
    <row r="39" spans="1:29" x14ac:dyDescent="0.3">
      <c r="A39" s="35" t="s">
        <v>419</v>
      </c>
      <c r="B39" s="30">
        <v>-7</v>
      </c>
      <c r="C39" s="30">
        <v>-7</v>
      </c>
      <c r="D39" s="30">
        <v>-7</v>
      </c>
      <c r="E39" s="30">
        <v>-7</v>
      </c>
      <c r="F39" s="30">
        <v>-7</v>
      </c>
      <c r="G39" s="30">
        <v>-7</v>
      </c>
      <c r="H39" s="30">
        <v>0</v>
      </c>
      <c r="I39" s="30">
        <v>0</v>
      </c>
      <c r="J39" s="30">
        <v>-7</v>
      </c>
      <c r="K39" s="30">
        <v>-7</v>
      </c>
      <c r="L39" s="30">
        <v>-7</v>
      </c>
      <c r="M39" s="30">
        <v>-7</v>
      </c>
      <c r="N39" s="30">
        <v>-7</v>
      </c>
      <c r="O39" s="50"/>
      <c r="AC39">
        <v>62</v>
      </c>
    </row>
    <row r="40" spans="1:29" x14ac:dyDescent="0.3">
      <c r="A40" s="35" t="s">
        <v>418</v>
      </c>
      <c r="B40" s="30">
        <v>-7</v>
      </c>
      <c r="C40" s="30">
        <v>-7</v>
      </c>
      <c r="D40" s="30">
        <v>-7</v>
      </c>
      <c r="E40" s="30">
        <v>-7</v>
      </c>
      <c r="F40" s="30">
        <v>-7</v>
      </c>
      <c r="G40" s="30">
        <v>-7</v>
      </c>
      <c r="H40" s="30">
        <v>5</v>
      </c>
      <c r="I40" s="30">
        <v>-7</v>
      </c>
      <c r="J40" s="30">
        <v>-7</v>
      </c>
      <c r="K40" s="30">
        <v>-7</v>
      </c>
      <c r="L40" s="30">
        <v>-7</v>
      </c>
      <c r="M40" s="30">
        <v>-7</v>
      </c>
      <c r="N40" s="30">
        <v>-7</v>
      </c>
      <c r="O40" s="50"/>
      <c r="AC40">
        <v>10</v>
      </c>
    </row>
    <row r="41" spans="1:29" x14ac:dyDescent="0.3">
      <c r="A41" s="35" t="s">
        <v>417</v>
      </c>
      <c r="B41" s="30">
        <v>-7</v>
      </c>
      <c r="C41" s="30">
        <v>-7</v>
      </c>
      <c r="D41" s="30">
        <v>-7</v>
      </c>
      <c r="E41" s="30">
        <v>-7</v>
      </c>
      <c r="F41" s="30">
        <v>-7</v>
      </c>
      <c r="G41" s="30">
        <v>-7</v>
      </c>
      <c r="H41" s="30">
        <v>-7</v>
      </c>
      <c r="I41" s="30">
        <v>-7</v>
      </c>
      <c r="J41" s="30">
        <v>-7</v>
      </c>
      <c r="K41" s="30">
        <v>-7</v>
      </c>
      <c r="L41" s="30">
        <v>0</v>
      </c>
      <c r="M41" s="30">
        <v>0</v>
      </c>
      <c r="N41" s="30">
        <v>-7</v>
      </c>
      <c r="O41" s="50"/>
      <c r="P41">
        <v>35</v>
      </c>
      <c r="Y41">
        <v>2</v>
      </c>
      <c r="AA41">
        <v>1</v>
      </c>
    </row>
    <row r="42" spans="1:29" x14ac:dyDescent="0.3">
      <c r="A42" s="35" t="s">
        <v>416</v>
      </c>
      <c r="B42" s="30">
        <v>-7</v>
      </c>
      <c r="C42" s="30">
        <v>-7</v>
      </c>
      <c r="D42" s="30">
        <v>-7</v>
      </c>
      <c r="E42" s="30">
        <v>-7</v>
      </c>
      <c r="F42" s="30">
        <v>-7</v>
      </c>
      <c r="G42" s="30">
        <v>-7</v>
      </c>
      <c r="H42" s="30">
        <v>-7</v>
      </c>
      <c r="I42" s="30">
        <v>-7</v>
      </c>
      <c r="J42" s="30">
        <v>-7</v>
      </c>
      <c r="K42" s="30">
        <v>-7</v>
      </c>
      <c r="L42" s="30">
        <v>-3</v>
      </c>
      <c r="M42" s="30">
        <v>0</v>
      </c>
      <c r="N42" s="30">
        <v>-7</v>
      </c>
      <c r="O42" s="50"/>
      <c r="P42">
        <v>29</v>
      </c>
      <c r="Y42">
        <v>2</v>
      </c>
      <c r="AA42">
        <v>1</v>
      </c>
    </row>
    <row r="43" spans="1:29" x14ac:dyDescent="0.3">
      <c r="A43" s="35" t="s">
        <v>415</v>
      </c>
      <c r="B43" s="30">
        <v>-7</v>
      </c>
      <c r="C43" s="30">
        <v>-7</v>
      </c>
      <c r="D43" s="30">
        <v>-7</v>
      </c>
      <c r="E43" s="30">
        <v>-7</v>
      </c>
      <c r="F43" s="30">
        <v>-7</v>
      </c>
      <c r="G43" s="30">
        <v>-7</v>
      </c>
      <c r="H43" s="30">
        <v>-7</v>
      </c>
      <c r="I43" s="30">
        <v>-7</v>
      </c>
      <c r="J43" s="30">
        <v>-7</v>
      </c>
      <c r="K43" s="30">
        <v>-7</v>
      </c>
      <c r="L43" s="30">
        <v>-7</v>
      </c>
      <c r="M43" s="30">
        <v>-7</v>
      </c>
      <c r="N43" s="30">
        <v>-7</v>
      </c>
      <c r="O43" s="50"/>
      <c r="AC43">
        <v>18</v>
      </c>
    </row>
    <row r="44" spans="1:29" x14ac:dyDescent="0.3">
      <c r="A44" s="35" t="s">
        <v>414</v>
      </c>
      <c r="B44" s="30">
        <v>-7</v>
      </c>
      <c r="C44" s="30">
        <v>-7</v>
      </c>
      <c r="D44" s="30">
        <v>-7</v>
      </c>
      <c r="E44" s="30">
        <v>-7</v>
      </c>
      <c r="F44" s="30">
        <v>-7</v>
      </c>
      <c r="G44" s="30">
        <v>-7</v>
      </c>
      <c r="H44" s="30">
        <v>2</v>
      </c>
      <c r="I44" s="30">
        <v>-7</v>
      </c>
      <c r="J44" s="30">
        <v>-7</v>
      </c>
      <c r="K44" s="30">
        <v>-7</v>
      </c>
      <c r="L44" s="30">
        <v>-7</v>
      </c>
      <c r="M44" s="30">
        <v>-7</v>
      </c>
      <c r="N44" s="30">
        <v>-7</v>
      </c>
      <c r="O44" s="50"/>
      <c r="AC44">
        <v>28</v>
      </c>
    </row>
    <row r="45" spans="1:29" x14ac:dyDescent="0.3">
      <c r="A45" s="35" t="s">
        <v>413</v>
      </c>
      <c r="B45" s="30">
        <v>-7</v>
      </c>
      <c r="C45" s="30">
        <v>-7</v>
      </c>
      <c r="D45" s="30">
        <v>-7</v>
      </c>
      <c r="E45" s="30">
        <v>-7</v>
      </c>
      <c r="F45" s="30">
        <v>-7</v>
      </c>
      <c r="G45" s="30">
        <v>-7</v>
      </c>
      <c r="H45" s="30">
        <v>-7</v>
      </c>
      <c r="I45" s="30">
        <v>-7</v>
      </c>
      <c r="J45" s="30">
        <v>-7</v>
      </c>
      <c r="K45" s="30">
        <v>-7</v>
      </c>
      <c r="L45" s="30">
        <v>0</v>
      </c>
      <c r="M45" s="30">
        <v>0</v>
      </c>
      <c r="N45" s="30">
        <v>-7</v>
      </c>
      <c r="O45" s="50"/>
      <c r="P45">
        <v>5</v>
      </c>
      <c r="Y45">
        <v>2</v>
      </c>
      <c r="AA45">
        <v>1</v>
      </c>
    </row>
    <row r="46" spans="1:29" x14ac:dyDescent="0.3">
      <c r="A46" s="35" t="s">
        <v>412</v>
      </c>
      <c r="B46" s="30">
        <v>-7</v>
      </c>
      <c r="C46" s="30">
        <v>-7</v>
      </c>
      <c r="D46" s="30">
        <v>-7</v>
      </c>
      <c r="E46" s="30">
        <v>-7</v>
      </c>
      <c r="F46" s="30">
        <v>-7</v>
      </c>
      <c r="G46" s="30">
        <v>-7</v>
      </c>
      <c r="H46" s="30">
        <v>-7</v>
      </c>
      <c r="I46" s="30">
        <v>-7</v>
      </c>
      <c r="J46" s="30">
        <v>-7</v>
      </c>
      <c r="K46" s="30">
        <v>-7</v>
      </c>
      <c r="L46" s="30">
        <v>5</v>
      </c>
      <c r="M46" s="30">
        <v>5</v>
      </c>
      <c r="N46" s="30">
        <v>-7</v>
      </c>
      <c r="O46" s="50"/>
      <c r="P46">
        <v>6</v>
      </c>
      <c r="Y46">
        <v>1</v>
      </c>
      <c r="AA46">
        <v>1</v>
      </c>
    </row>
    <row r="47" spans="1:29" x14ac:dyDescent="0.3">
      <c r="A47" s="35" t="s">
        <v>411</v>
      </c>
      <c r="B47" s="30">
        <v>-7</v>
      </c>
      <c r="C47" s="30">
        <v>-7</v>
      </c>
      <c r="D47" s="30">
        <v>-7</v>
      </c>
      <c r="E47" s="30">
        <v>-7</v>
      </c>
      <c r="F47" s="30">
        <v>-7</v>
      </c>
      <c r="G47" s="30">
        <v>-7</v>
      </c>
      <c r="H47" s="30">
        <v>-7</v>
      </c>
      <c r="I47" s="30">
        <v>-7</v>
      </c>
      <c r="J47" s="30">
        <v>-7</v>
      </c>
      <c r="K47" s="30">
        <v>-7</v>
      </c>
      <c r="L47" s="30">
        <v>0</v>
      </c>
      <c r="M47" s="30">
        <v>5</v>
      </c>
      <c r="N47" s="30">
        <v>-7</v>
      </c>
      <c r="O47" s="50"/>
      <c r="P47">
        <v>7</v>
      </c>
      <c r="Y47">
        <v>1</v>
      </c>
      <c r="AA47">
        <v>1</v>
      </c>
    </row>
    <row r="48" spans="1:29" x14ac:dyDescent="0.3">
      <c r="A48" s="35" t="s">
        <v>410</v>
      </c>
      <c r="B48" s="30">
        <v>-7</v>
      </c>
      <c r="C48" s="30">
        <v>-7</v>
      </c>
      <c r="D48" s="30">
        <v>-7</v>
      </c>
      <c r="E48" s="30">
        <v>-7</v>
      </c>
      <c r="F48" s="30">
        <v>-7</v>
      </c>
      <c r="G48" s="30">
        <v>-7</v>
      </c>
      <c r="H48" s="30">
        <v>-7</v>
      </c>
      <c r="I48" s="30">
        <v>-7</v>
      </c>
      <c r="J48" s="30">
        <v>-7</v>
      </c>
      <c r="K48" s="30">
        <v>-7</v>
      </c>
      <c r="L48" s="30">
        <v>0</v>
      </c>
      <c r="M48" s="30">
        <v>5</v>
      </c>
      <c r="N48" s="30">
        <v>-7</v>
      </c>
      <c r="O48" s="50"/>
      <c r="P48">
        <v>8</v>
      </c>
      <c r="Y48">
        <v>1</v>
      </c>
      <c r="AA48">
        <v>1</v>
      </c>
    </row>
    <row r="49" spans="1:29" x14ac:dyDescent="0.3">
      <c r="A49" s="35" t="s">
        <v>409</v>
      </c>
      <c r="B49" s="30">
        <v>-7</v>
      </c>
      <c r="C49" s="30">
        <v>-7</v>
      </c>
      <c r="D49" s="30">
        <v>-7</v>
      </c>
      <c r="E49" s="30">
        <v>-7</v>
      </c>
      <c r="F49" s="30">
        <v>-7</v>
      </c>
      <c r="G49" s="30">
        <v>-7</v>
      </c>
      <c r="H49" s="30">
        <v>-7</v>
      </c>
      <c r="I49" s="30">
        <v>-7</v>
      </c>
      <c r="J49" s="30">
        <v>-7</v>
      </c>
      <c r="K49" s="30">
        <v>-7</v>
      </c>
      <c r="L49" s="30">
        <v>0</v>
      </c>
      <c r="M49" s="30">
        <v>5</v>
      </c>
      <c r="N49" s="30">
        <v>-7</v>
      </c>
      <c r="O49" s="50"/>
      <c r="P49">
        <v>9</v>
      </c>
      <c r="Y49">
        <v>1</v>
      </c>
      <c r="AA49">
        <v>1</v>
      </c>
    </row>
    <row r="50" spans="1:29" x14ac:dyDescent="0.3">
      <c r="A50" s="35" t="s">
        <v>408</v>
      </c>
      <c r="B50" s="30">
        <v>-7</v>
      </c>
      <c r="C50" s="30">
        <v>-7</v>
      </c>
      <c r="D50" s="30">
        <v>-7</v>
      </c>
      <c r="E50" s="30">
        <v>-7</v>
      </c>
      <c r="F50" s="30">
        <v>-7</v>
      </c>
      <c r="G50" s="30">
        <v>-7</v>
      </c>
      <c r="H50" s="30">
        <v>-7</v>
      </c>
      <c r="I50" s="30">
        <v>-7</v>
      </c>
      <c r="J50" s="30">
        <v>-7</v>
      </c>
      <c r="K50" s="30">
        <v>-7</v>
      </c>
      <c r="L50" s="30">
        <v>0</v>
      </c>
      <c r="M50" s="30">
        <v>5</v>
      </c>
      <c r="N50" s="30">
        <v>-7</v>
      </c>
      <c r="O50" s="50"/>
      <c r="P50">
        <v>10</v>
      </c>
      <c r="Y50">
        <v>1</v>
      </c>
      <c r="AA50">
        <v>1</v>
      </c>
    </row>
    <row r="51" spans="1:29" x14ac:dyDescent="0.3">
      <c r="A51" s="35" t="s">
        <v>407</v>
      </c>
      <c r="B51" s="30">
        <v>-7</v>
      </c>
      <c r="C51" s="30">
        <v>-7</v>
      </c>
      <c r="D51" s="30">
        <v>0</v>
      </c>
      <c r="E51" s="30">
        <v>-7</v>
      </c>
      <c r="F51" s="30">
        <v>-7</v>
      </c>
      <c r="G51" s="30">
        <v>-7</v>
      </c>
      <c r="H51" s="30">
        <v>0</v>
      </c>
      <c r="I51" s="30">
        <v>-7</v>
      </c>
      <c r="J51" s="30">
        <v>-7</v>
      </c>
      <c r="K51" s="30">
        <v>-7</v>
      </c>
      <c r="L51" s="30">
        <v>-7</v>
      </c>
      <c r="M51" s="30">
        <v>-7</v>
      </c>
      <c r="N51" s="30">
        <v>-7</v>
      </c>
      <c r="O51" s="50"/>
      <c r="AC51">
        <v>64</v>
      </c>
    </row>
    <row r="52" spans="1:29" x14ac:dyDescent="0.3">
      <c r="A52" s="35" t="s">
        <v>406</v>
      </c>
      <c r="B52" s="30">
        <v>-7</v>
      </c>
      <c r="C52" s="30">
        <v>-7</v>
      </c>
      <c r="D52" s="30">
        <v>-3</v>
      </c>
      <c r="E52" s="30">
        <v>-7</v>
      </c>
      <c r="F52" s="30">
        <v>-7</v>
      </c>
      <c r="G52" s="30">
        <v>-7</v>
      </c>
      <c r="H52" s="30">
        <v>0</v>
      </c>
      <c r="I52" s="30">
        <v>-7</v>
      </c>
      <c r="J52" s="30">
        <v>-7</v>
      </c>
      <c r="K52" s="30">
        <v>-7</v>
      </c>
      <c r="L52" s="30">
        <v>-7</v>
      </c>
      <c r="M52" s="30">
        <v>-7</v>
      </c>
      <c r="N52" s="30">
        <v>-7</v>
      </c>
      <c r="O52" s="50"/>
      <c r="AC52">
        <v>18</v>
      </c>
    </row>
    <row r="53" spans="1:29" x14ac:dyDescent="0.3">
      <c r="A53" s="35" t="s">
        <v>405</v>
      </c>
      <c r="B53" s="30">
        <v>-7</v>
      </c>
      <c r="C53" s="30">
        <v>-7</v>
      </c>
      <c r="D53" s="30">
        <v>-7</v>
      </c>
      <c r="E53" s="30">
        <v>-7</v>
      </c>
      <c r="F53" s="30">
        <v>-7</v>
      </c>
      <c r="G53" s="30">
        <v>-7</v>
      </c>
      <c r="H53" s="30">
        <v>-7</v>
      </c>
      <c r="I53" s="30">
        <v>-7</v>
      </c>
      <c r="J53" s="30">
        <v>-7</v>
      </c>
      <c r="K53" s="30">
        <v>-7</v>
      </c>
      <c r="L53" s="30">
        <v>-3</v>
      </c>
      <c r="M53" s="30">
        <v>0</v>
      </c>
      <c r="N53" s="30">
        <v>-7</v>
      </c>
      <c r="O53" s="50"/>
      <c r="P53">
        <v>17</v>
      </c>
      <c r="Y53">
        <v>2</v>
      </c>
      <c r="AA53">
        <v>1</v>
      </c>
    </row>
    <row r="54" spans="1:29" x14ac:dyDescent="0.3">
      <c r="A54" s="35" t="s">
        <v>404</v>
      </c>
      <c r="B54" s="30">
        <v>-7</v>
      </c>
      <c r="C54" s="30">
        <v>-7</v>
      </c>
      <c r="D54" s="30">
        <v>0</v>
      </c>
      <c r="E54" s="30">
        <v>-7</v>
      </c>
      <c r="F54" s="30">
        <v>-7</v>
      </c>
      <c r="G54" s="30">
        <v>-7</v>
      </c>
      <c r="H54" s="30">
        <v>2</v>
      </c>
      <c r="I54" s="30">
        <v>2</v>
      </c>
      <c r="J54" s="30">
        <v>-7</v>
      </c>
      <c r="K54" s="30">
        <v>0</v>
      </c>
      <c r="L54" s="30">
        <v>-7</v>
      </c>
      <c r="M54" s="30">
        <v>-7</v>
      </c>
      <c r="N54" s="30">
        <v>-7</v>
      </c>
      <c r="O54" s="50"/>
      <c r="AC54">
        <v>10</v>
      </c>
    </row>
    <row r="55" spans="1:29" x14ac:dyDescent="0.3">
      <c r="A55" s="35" t="s">
        <v>403</v>
      </c>
      <c r="B55" s="30">
        <v>-7</v>
      </c>
      <c r="C55" s="30">
        <v>-7</v>
      </c>
      <c r="D55" s="30">
        <v>-7</v>
      </c>
      <c r="E55" s="30">
        <v>-7</v>
      </c>
      <c r="F55" s="30">
        <v>-7</v>
      </c>
      <c r="G55" s="30">
        <v>-7</v>
      </c>
      <c r="H55" s="30">
        <v>-7</v>
      </c>
      <c r="I55" s="30">
        <v>-7</v>
      </c>
      <c r="J55" s="30">
        <v>-7</v>
      </c>
      <c r="K55" s="30">
        <v>-7</v>
      </c>
      <c r="L55" s="30">
        <v>0</v>
      </c>
      <c r="M55" s="30">
        <v>-3</v>
      </c>
      <c r="N55" s="30">
        <v>-7</v>
      </c>
      <c r="O55" s="50"/>
      <c r="P55">
        <v>16</v>
      </c>
      <c r="Y55">
        <v>2</v>
      </c>
      <c r="AA55">
        <v>1</v>
      </c>
    </row>
    <row r="56" spans="1:29" x14ac:dyDescent="0.3">
      <c r="A56" s="35" t="s">
        <v>402</v>
      </c>
      <c r="B56" s="30">
        <v>-7</v>
      </c>
      <c r="C56" s="30">
        <v>-7</v>
      </c>
      <c r="D56" s="30">
        <v>-7</v>
      </c>
      <c r="E56" s="30">
        <v>-7</v>
      </c>
      <c r="F56" s="30">
        <v>-3</v>
      </c>
      <c r="G56" s="30">
        <v>-7</v>
      </c>
      <c r="H56" s="30">
        <v>-7</v>
      </c>
      <c r="I56" s="30">
        <v>-7</v>
      </c>
      <c r="J56" s="30">
        <v>-7</v>
      </c>
      <c r="K56" s="30">
        <v>-7</v>
      </c>
      <c r="L56" s="30">
        <v>0</v>
      </c>
      <c r="M56" s="30">
        <v>-3</v>
      </c>
      <c r="N56" s="30">
        <v>-7</v>
      </c>
      <c r="O56" s="50"/>
      <c r="P56">
        <v>18</v>
      </c>
      <c r="Y56">
        <v>2</v>
      </c>
      <c r="AA56">
        <v>1</v>
      </c>
    </row>
    <row r="57" spans="1:29" x14ac:dyDescent="0.3">
      <c r="A57" s="35" t="s">
        <v>401</v>
      </c>
      <c r="B57" s="30">
        <v>-7</v>
      </c>
      <c r="C57" s="30">
        <v>-7</v>
      </c>
      <c r="D57" s="30">
        <v>-7</v>
      </c>
      <c r="E57" s="30">
        <v>-7</v>
      </c>
      <c r="F57" s="30">
        <v>-7</v>
      </c>
      <c r="G57" s="30">
        <v>-7</v>
      </c>
      <c r="H57" s="30">
        <v>-7</v>
      </c>
      <c r="I57" s="30">
        <v>-7</v>
      </c>
      <c r="J57" s="30">
        <v>-7</v>
      </c>
      <c r="K57" s="30">
        <v>-7</v>
      </c>
      <c r="L57" s="30">
        <v>-7</v>
      </c>
      <c r="M57" s="30">
        <v>-3</v>
      </c>
      <c r="N57" s="30">
        <v>-7</v>
      </c>
      <c r="O57" s="50"/>
      <c r="P57">
        <v>25</v>
      </c>
      <c r="Y57">
        <v>2</v>
      </c>
      <c r="AA57">
        <v>1</v>
      </c>
    </row>
    <row r="58" spans="1:29" x14ac:dyDescent="0.3">
      <c r="A58" s="35" t="s">
        <v>400</v>
      </c>
      <c r="B58" s="30">
        <v>-7</v>
      </c>
      <c r="C58" s="30">
        <v>-7</v>
      </c>
      <c r="D58" s="30">
        <v>-7</v>
      </c>
      <c r="E58" s="30">
        <v>-7</v>
      </c>
      <c r="F58" s="30">
        <v>-7</v>
      </c>
      <c r="G58" s="30">
        <v>-7</v>
      </c>
      <c r="H58" s="30">
        <v>-7</v>
      </c>
      <c r="I58" s="30">
        <v>-7</v>
      </c>
      <c r="J58" s="30">
        <v>-7</v>
      </c>
      <c r="K58" s="30">
        <v>-7</v>
      </c>
      <c r="L58" s="30">
        <v>-3</v>
      </c>
      <c r="M58" s="30">
        <v>0</v>
      </c>
      <c r="N58" s="30">
        <v>-7</v>
      </c>
      <c r="O58" s="50"/>
      <c r="P58">
        <v>9</v>
      </c>
      <c r="Y58">
        <v>1</v>
      </c>
      <c r="AA58">
        <v>1</v>
      </c>
    </row>
    <row r="59" spans="1:29" x14ac:dyDescent="0.3">
      <c r="A59" s="35" t="s">
        <v>399</v>
      </c>
      <c r="B59" s="30">
        <v>-7</v>
      </c>
      <c r="C59" s="30">
        <v>-7</v>
      </c>
      <c r="D59" s="30">
        <v>-7</v>
      </c>
      <c r="E59" s="30">
        <v>-7</v>
      </c>
      <c r="F59" s="30">
        <v>-7</v>
      </c>
      <c r="G59" s="30">
        <v>-7</v>
      </c>
      <c r="H59" s="30">
        <v>-7</v>
      </c>
      <c r="I59" s="30">
        <v>-7</v>
      </c>
      <c r="J59" s="30">
        <v>-7</v>
      </c>
      <c r="K59" s="30">
        <v>-7</v>
      </c>
      <c r="L59" s="30">
        <v>0</v>
      </c>
      <c r="M59" s="30">
        <v>-7</v>
      </c>
      <c r="N59" s="30">
        <v>-7</v>
      </c>
      <c r="O59" s="50"/>
      <c r="P59">
        <v>9</v>
      </c>
      <c r="Y59">
        <v>1</v>
      </c>
      <c r="AA59">
        <v>2</v>
      </c>
    </row>
    <row r="60" spans="1:29" x14ac:dyDescent="0.3">
      <c r="A60" s="35" t="s">
        <v>398</v>
      </c>
      <c r="B60" s="30">
        <v>-7</v>
      </c>
      <c r="C60" s="30">
        <v>-7</v>
      </c>
      <c r="D60" s="30">
        <v>0</v>
      </c>
      <c r="E60" s="30">
        <v>-7</v>
      </c>
      <c r="F60" s="30">
        <v>-7</v>
      </c>
      <c r="G60" s="30">
        <v>-7</v>
      </c>
      <c r="H60" s="30">
        <v>2</v>
      </c>
      <c r="I60" s="30">
        <v>-1</v>
      </c>
      <c r="J60" s="30">
        <v>-7</v>
      </c>
      <c r="K60" s="30">
        <v>0</v>
      </c>
      <c r="L60" s="30">
        <v>-7</v>
      </c>
      <c r="M60" s="30">
        <v>-7</v>
      </c>
      <c r="N60" s="30">
        <v>-7</v>
      </c>
      <c r="O60" s="50"/>
      <c r="R60">
        <v>1</v>
      </c>
      <c r="AC60">
        <v>14</v>
      </c>
    </row>
    <row r="61" spans="1:29" x14ac:dyDescent="0.3">
      <c r="A61" s="35" t="s">
        <v>397</v>
      </c>
      <c r="B61" s="30">
        <v>-7</v>
      </c>
      <c r="C61" s="30">
        <v>-7</v>
      </c>
      <c r="D61" s="30">
        <v>-7</v>
      </c>
      <c r="E61" s="30">
        <v>-7</v>
      </c>
      <c r="F61" s="30">
        <v>-7</v>
      </c>
      <c r="G61" s="30">
        <v>-7</v>
      </c>
      <c r="H61" s="30">
        <v>-7</v>
      </c>
      <c r="I61" s="30">
        <v>-7</v>
      </c>
      <c r="J61" s="30">
        <v>-7</v>
      </c>
      <c r="K61" s="30">
        <v>-7</v>
      </c>
      <c r="L61" s="30">
        <v>0</v>
      </c>
      <c r="M61" s="30">
        <v>0</v>
      </c>
      <c r="N61" s="30">
        <v>-7</v>
      </c>
      <c r="O61" s="50"/>
      <c r="P61">
        <v>15</v>
      </c>
      <c r="U61">
        <v>1</v>
      </c>
      <c r="Y61">
        <v>2</v>
      </c>
      <c r="AA61">
        <v>1</v>
      </c>
    </row>
    <row r="62" spans="1:29" x14ac:dyDescent="0.3">
      <c r="A62" s="35" t="s">
        <v>396</v>
      </c>
      <c r="B62" s="30">
        <v>-7</v>
      </c>
      <c r="C62" s="30">
        <v>-7</v>
      </c>
      <c r="D62" s="30">
        <v>-7</v>
      </c>
      <c r="E62" s="30">
        <v>-7</v>
      </c>
      <c r="F62" s="30">
        <v>-7</v>
      </c>
      <c r="G62" s="30">
        <v>-7</v>
      </c>
      <c r="H62" s="30">
        <v>-7</v>
      </c>
      <c r="I62" s="30">
        <v>-7</v>
      </c>
      <c r="J62" s="30">
        <v>-7</v>
      </c>
      <c r="K62" s="30">
        <v>-7</v>
      </c>
      <c r="L62" s="30">
        <v>5</v>
      </c>
      <c r="M62" s="30">
        <v>0</v>
      </c>
      <c r="N62" s="30">
        <v>-7</v>
      </c>
      <c r="O62" s="50"/>
      <c r="Y62">
        <v>2</v>
      </c>
      <c r="AA62">
        <v>2</v>
      </c>
      <c r="AB62">
        <v>5</v>
      </c>
    </row>
    <row r="63" spans="1:29" x14ac:dyDescent="0.3">
      <c r="A63" s="35" t="s">
        <v>395</v>
      </c>
      <c r="B63" s="30">
        <v>-7</v>
      </c>
      <c r="C63" s="30">
        <v>-7</v>
      </c>
      <c r="D63" s="30">
        <v>0</v>
      </c>
      <c r="E63" s="30">
        <v>-7</v>
      </c>
      <c r="F63" s="30">
        <v>-7</v>
      </c>
      <c r="G63" s="30">
        <v>-7</v>
      </c>
      <c r="H63" s="30">
        <v>2</v>
      </c>
      <c r="I63" s="30">
        <v>2</v>
      </c>
      <c r="J63" s="30">
        <v>-7</v>
      </c>
      <c r="K63" s="30">
        <v>5</v>
      </c>
      <c r="L63" s="30">
        <v>-7</v>
      </c>
      <c r="M63" s="30">
        <v>-7</v>
      </c>
      <c r="N63" s="30">
        <v>-7</v>
      </c>
      <c r="O63" s="50"/>
      <c r="AC63">
        <v>10</v>
      </c>
    </row>
    <row r="64" spans="1:29" x14ac:dyDescent="0.3">
      <c r="A64" s="35" t="s">
        <v>394</v>
      </c>
      <c r="B64" s="30">
        <v>-7</v>
      </c>
      <c r="C64" s="30">
        <v>-7</v>
      </c>
      <c r="D64" s="30">
        <v>0</v>
      </c>
      <c r="E64" s="30">
        <v>-7</v>
      </c>
      <c r="F64" s="30">
        <v>-7</v>
      </c>
      <c r="G64" s="30">
        <v>-7</v>
      </c>
      <c r="H64" s="30">
        <v>2</v>
      </c>
      <c r="I64" s="30">
        <v>-7</v>
      </c>
      <c r="J64" s="30">
        <v>-7</v>
      </c>
      <c r="K64" s="30">
        <v>5</v>
      </c>
      <c r="L64" s="30">
        <v>-7</v>
      </c>
      <c r="M64" s="30">
        <v>-7</v>
      </c>
      <c r="N64" s="30">
        <v>-7</v>
      </c>
      <c r="O64" s="50"/>
      <c r="AC64">
        <v>8</v>
      </c>
    </row>
    <row r="65" spans="1:29" x14ac:dyDescent="0.3">
      <c r="A65" s="35" t="s">
        <v>393</v>
      </c>
      <c r="B65" s="30">
        <v>-7</v>
      </c>
      <c r="C65" s="30">
        <v>-7</v>
      </c>
      <c r="D65" s="30">
        <v>-7</v>
      </c>
      <c r="E65" s="30">
        <v>-7</v>
      </c>
      <c r="F65" s="30">
        <v>-7</v>
      </c>
      <c r="G65" s="30">
        <v>-7</v>
      </c>
      <c r="H65" s="30">
        <v>2</v>
      </c>
      <c r="I65" s="30">
        <v>-7</v>
      </c>
      <c r="J65" s="30">
        <v>-7</v>
      </c>
      <c r="K65" s="30">
        <v>5</v>
      </c>
      <c r="L65" s="30">
        <v>-7</v>
      </c>
      <c r="M65" s="30">
        <v>-7</v>
      </c>
      <c r="N65" s="30">
        <v>-7</v>
      </c>
      <c r="O65" s="50"/>
      <c r="AC65">
        <v>6</v>
      </c>
    </row>
    <row r="66" spans="1:29" x14ac:dyDescent="0.3">
      <c r="A66" s="35" t="s">
        <v>392</v>
      </c>
      <c r="B66" s="30">
        <v>-7</v>
      </c>
      <c r="C66" s="30">
        <v>0</v>
      </c>
      <c r="D66" s="30">
        <v>-7</v>
      </c>
      <c r="E66" s="30">
        <v>0</v>
      </c>
      <c r="F66" s="30">
        <v>-7</v>
      </c>
      <c r="G66" s="30">
        <v>-7</v>
      </c>
      <c r="H66" s="30">
        <v>-3</v>
      </c>
      <c r="I66" s="30">
        <v>2</v>
      </c>
      <c r="J66" s="30">
        <v>-7</v>
      </c>
      <c r="K66" s="30">
        <v>5</v>
      </c>
      <c r="L66" s="30">
        <v>-7</v>
      </c>
      <c r="M66" s="30">
        <v>-7</v>
      </c>
      <c r="N66" s="30">
        <v>-7</v>
      </c>
      <c r="O66" s="50"/>
      <c r="AC66">
        <v>4</v>
      </c>
    </row>
    <row r="67" spans="1:29" x14ac:dyDescent="0.3">
      <c r="A67" s="35" t="s">
        <v>391</v>
      </c>
      <c r="B67" s="30">
        <v>-7</v>
      </c>
      <c r="C67" s="30">
        <v>-7</v>
      </c>
      <c r="D67" s="30">
        <v>-7</v>
      </c>
      <c r="E67" s="30">
        <v>-7</v>
      </c>
      <c r="F67" s="30">
        <v>-7</v>
      </c>
      <c r="G67" s="30">
        <v>-7</v>
      </c>
      <c r="H67" s="30">
        <v>-7</v>
      </c>
      <c r="I67" s="30">
        <v>-7</v>
      </c>
      <c r="J67" s="30">
        <v>-7</v>
      </c>
      <c r="K67" s="30">
        <v>-7</v>
      </c>
      <c r="L67" s="30">
        <v>2</v>
      </c>
      <c r="M67" s="30">
        <v>-3</v>
      </c>
      <c r="N67" s="30">
        <v>-7</v>
      </c>
      <c r="O67" s="50"/>
      <c r="P67">
        <v>12</v>
      </c>
      <c r="Y67">
        <v>1</v>
      </c>
      <c r="AA67">
        <v>1</v>
      </c>
    </row>
    <row r="68" spans="1:29" x14ac:dyDescent="0.3">
      <c r="A68" s="35" t="s">
        <v>390</v>
      </c>
      <c r="B68" s="30">
        <v>-7</v>
      </c>
      <c r="C68" s="30">
        <v>-7</v>
      </c>
      <c r="D68" s="30">
        <v>-7</v>
      </c>
      <c r="E68" s="30">
        <v>-7</v>
      </c>
      <c r="F68" s="30">
        <v>-7</v>
      </c>
      <c r="G68" s="30">
        <v>-7</v>
      </c>
      <c r="H68" s="30">
        <v>-7</v>
      </c>
      <c r="I68" s="30">
        <v>-7</v>
      </c>
      <c r="J68" s="30">
        <v>-7</v>
      </c>
      <c r="K68" s="30">
        <v>-7</v>
      </c>
      <c r="L68" s="30">
        <v>0</v>
      </c>
      <c r="M68" s="30">
        <v>-7</v>
      </c>
      <c r="N68" s="30">
        <v>-7</v>
      </c>
      <c r="O68" s="50"/>
      <c r="P68">
        <v>28</v>
      </c>
      <c r="Y68">
        <v>1</v>
      </c>
      <c r="AA68">
        <v>1</v>
      </c>
    </row>
    <row r="69" spans="1:29" x14ac:dyDescent="0.3">
      <c r="A69" s="35" t="s">
        <v>389</v>
      </c>
      <c r="B69" s="30">
        <v>-7</v>
      </c>
      <c r="C69" s="30">
        <v>-7</v>
      </c>
      <c r="D69" s="30">
        <v>-7</v>
      </c>
      <c r="E69" s="30">
        <v>-7</v>
      </c>
      <c r="F69" s="30">
        <v>-7</v>
      </c>
      <c r="G69" s="30">
        <v>-7</v>
      </c>
      <c r="H69" s="30">
        <v>-7</v>
      </c>
      <c r="I69" s="30">
        <v>-7</v>
      </c>
      <c r="J69" s="30">
        <v>-7</v>
      </c>
      <c r="K69" s="30">
        <v>-7</v>
      </c>
      <c r="L69" s="30">
        <v>0</v>
      </c>
      <c r="M69" s="30">
        <v>-7</v>
      </c>
      <c r="N69" s="30">
        <v>-7</v>
      </c>
      <c r="O69" s="50"/>
      <c r="P69">
        <v>22</v>
      </c>
      <c r="Y69">
        <v>2</v>
      </c>
      <c r="AA69">
        <v>1</v>
      </c>
    </row>
    <row r="70" spans="1:29" x14ac:dyDescent="0.3">
      <c r="A70" s="35" t="s">
        <v>388</v>
      </c>
      <c r="B70" s="30">
        <v>-7</v>
      </c>
      <c r="C70" s="30">
        <v>-7</v>
      </c>
      <c r="D70" s="30">
        <v>-7</v>
      </c>
      <c r="E70" s="30">
        <v>-7</v>
      </c>
      <c r="F70" s="30">
        <v>-7</v>
      </c>
      <c r="G70" s="30">
        <v>-7</v>
      </c>
      <c r="H70" s="30">
        <v>-3</v>
      </c>
      <c r="I70" s="30">
        <v>-3</v>
      </c>
      <c r="J70" s="30">
        <v>-7</v>
      </c>
      <c r="K70" s="30">
        <v>-7</v>
      </c>
      <c r="L70" s="30">
        <v>-7</v>
      </c>
      <c r="M70" s="30">
        <v>-7</v>
      </c>
      <c r="N70" s="30">
        <v>-7</v>
      </c>
      <c r="O70" s="50"/>
      <c r="AC70">
        <v>66</v>
      </c>
    </row>
    <row r="71" spans="1:29" x14ac:dyDescent="0.3">
      <c r="A71" s="35" t="s">
        <v>387</v>
      </c>
      <c r="B71" s="30">
        <v>-7</v>
      </c>
      <c r="C71" s="30">
        <v>-7</v>
      </c>
      <c r="D71" s="30">
        <v>-7</v>
      </c>
      <c r="E71" s="30">
        <v>-7</v>
      </c>
      <c r="F71" s="30">
        <v>-7</v>
      </c>
      <c r="G71" s="30">
        <v>-7</v>
      </c>
      <c r="H71" s="30">
        <v>-7</v>
      </c>
      <c r="I71" s="30">
        <v>-7</v>
      </c>
      <c r="J71" s="30">
        <v>-7</v>
      </c>
      <c r="K71" s="30">
        <v>-7</v>
      </c>
      <c r="L71" s="30">
        <v>2</v>
      </c>
      <c r="M71" s="30">
        <v>-7</v>
      </c>
      <c r="N71" s="30">
        <v>-7</v>
      </c>
      <c r="O71" s="50"/>
      <c r="P71">
        <v>18</v>
      </c>
      <c r="Y71">
        <v>1</v>
      </c>
      <c r="AA71">
        <v>1</v>
      </c>
    </row>
    <row r="72" spans="1:29" x14ac:dyDescent="0.3">
      <c r="A72" s="35" t="s">
        <v>386</v>
      </c>
      <c r="B72" s="30">
        <v>-7</v>
      </c>
      <c r="C72" s="30">
        <v>-7</v>
      </c>
      <c r="D72" s="30">
        <v>-7</v>
      </c>
      <c r="E72" s="30">
        <v>-7</v>
      </c>
      <c r="F72" s="30">
        <v>-7</v>
      </c>
      <c r="G72" s="30">
        <v>-7</v>
      </c>
      <c r="H72" s="30">
        <v>0</v>
      </c>
      <c r="I72" s="30">
        <v>-7</v>
      </c>
      <c r="J72" s="30">
        <v>-7</v>
      </c>
      <c r="K72" s="30">
        <v>-7</v>
      </c>
      <c r="L72" s="30">
        <v>-7</v>
      </c>
      <c r="M72" s="30">
        <v>-7</v>
      </c>
      <c r="N72" s="30">
        <v>-7</v>
      </c>
      <c r="O72" s="50"/>
      <c r="Q72">
        <v>1</v>
      </c>
      <c r="R72">
        <v>1</v>
      </c>
      <c r="AC72">
        <v>20</v>
      </c>
    </row>
    <row r="73" spans="1:29" x14ac:dyDescent="0.3">
      <c r="A73" s="35" t="s">
        <v>385</v>
      </c>
      <c r="B73" s="30">
        <v>-7</v>
      </c>
      <c r="C73" s="30">
        <v>-7</v>
      </c>
      <c r="D73" s="30">
        <v>-7</v>
      </c>
      <c r="E73" s="30">
        <v>-7</v>
      </c>
      <c r="F73" s="30">
        <v>-7</v>
      </c>
      <c r="G73" s="30">
        <v>-7</v>
      </c>
      <c r="H73" s="30">
        <v>-7</v>
      </c>
      <c r="I73" s="30">
        <v>-7</v>
      </c>
      <c r="J73" s="30">
        <v>-7</v>
      </c>
      <c r="K73" s="30">
        <v>-7</v>
      </c>
      <c r="L73" s="30">
        <v>0</v>
      </c>
      <c r="M73" s="30">
        <v>-7</v>
      </c>
      <c r="N73" s="30">
        <v>-7</v>
      </c>
      <c r="O73" s="50"/>
      <c r="P73">
        <v>35</v>
      </c>
      <c r="Y73">
        <v>2</v>
      </c>
      <c r="AA73">
        <v>1</v>
      </c>
    </row>
    <row r="74" spans="1:29" x14ac:dyDescent="0.3">
      <c r="A74" s="35" t="s">
        <v>384</v>
      </c>
      <c r="B74" s="30">
        <v>-7</v>
      </c>
      <c r="C74" s="30">
        <v>-7</v>
      </c>
      <c r="D74" s="30">
        <v>-7</v>
      </c>
      <c r="E74" s="30">
        <v>-7</v>
      </c>
      <c r="F74" s="30">
        <v>-7</v>
      </c>
      <c r="G74" s="30">
        <v>-7</v>
      </c>
      <c r="H74" s="30">
        <v>-7</v>
      </c>
      <c r="I74" s="30">
        <v>-7</v>
      </c>
      <c r="J74" s="30">
        <v>-7</v>
      </c>
      <c r="K74" s="30">
        <v>-7</v>
      </c>
      <c r="L74" s="30">
        <v>2</v>
      </c>
      <c r="M74" s="30">
        <v>-3</v>
      </c>
      <c r="N74" s="30">
        <v>-7</v>
      </c>
      <c r="O74" s="50"/>
      <c r="P74">
        <v>30</v>
      </c>
      <c r="Y74">
        <v>1</v>
      </c>
      <c r="AA74">
        <v>2</v>
      </c>
    </row>
    <row r="75" spans="1:29" x14ac:dyDescent="0.3">
      <c r="A75" s="35" t="s">
        <v>383</v>
      </c>
      <c r="B75" s="30">
        <v>-7</v>
      </c>
      <c r="C75" s="30">
        <v>-7</v>
      </c>
      <c r="D75" s="30">
        <v>-7</v>
      </c>
      <c r="E75" s="30">
        <v>-7</v>
      </c>
      <c r="F75" s="30">
        <v>-7</v>
      </c>
      <c r="G75" s="30">
        <v>-7</v>
      </c>
      <c r="H75" s="30">
        <v>-7</v>
      </c>
      <c r="I75" s="30">
        <v>-7</v>
      </c>
      <c r="J75" s="30">
        <v>-7</v>
      </c>
      <c r="K75" s="30">
        <v>-7</v>
      </c>
      <c r="L75" s="30">
        <v>0</v>
      </c>
      <c r="M75" s="30">
        <v>-7</v>
      </c>
      <c r="N75" s="30">
        <v>-7</v>
      </c>
      <c r="O75" s="50"/>
      <c r="P75">
        <v>35</v>
      </c>
      <c r="Y75">
        <v>1</v>
      </c>
      <c r="AA75">
        <v>2</v>
      </c>
    </row>
    <row r="76" spans="1:29" x14ac:dyDescent="0.3">
      <c r="A76" s="35" t="s">
        <v>382</v>
      </c>
      <c r="B76" s="30">
        <v>-7</v>
      </c>
      <c r="C76" s="30">
        <v>-7</v>
      </c>
      <c r="D76" s="30">
        <v>-7</v>
      </c>
      <c r="E76" s="30">
        <v>-7</v>
      </c>
      <c r="F76" s="30">
        <v>-7</v>
      </c>
      <c r="G76" s="30">
        <v>-7</v>
      </c>
      <c r="H76" s="30">
        <v>0</v>
      </c>
      <c r="I76" s="30">
        <v>-7</v>
      </c>
      <c r="J76" s="30">
        <v>-7</v>
      </c>
      <c r="K76" s="30">
        <v>-7</v>
      </c>
      <c r="L76" s="30">
        <v>-7</v>
      </c>
      <c r="M76" s="30">
        <v>-7</v>
      </c>
      <c r="N76" s="30">
        <v>-7</v>
      </c>
      <c r="O76" s="50"/>
      <c r="AC76">
        <v>10</v>
      </c>
    </row>
    <row r="77" spans="1:29" x14ac:dyDescent="0.3">
      <c r="A77" s="35" t="s">
        <v>381</v>
      </c>
      <c r="B77" s="30">
        <v>-7</v>
      </c>
      <c r="C77" s="30">
        <v>-7</v>
      </c>
      <c r="D77" s="30">
        <v>-7</v>
      </c>
      <c r="E77" s="30">
        <v>-7</v>
      </c>
      <c r="F77" s="30">
        <v>-7</v>
      </c>
      <c r="G77" s="30">
        <v>-7</v>
      </c>
      <c r="H77" s="30">
        <v>2</v>
      </c>
      <c r="I77" s="30">
        <v>-7</v>
      </c>
      <c r="J77" s="30">
        <v>-7</v>
      </c>
      <c r="K77" s="30">
        <v>-7</v>
      </c>
      <c r="L77" s="30">
        <v>-7</v>
      </c>
      <c r="M77" s="30">
        <v>-7</v>
      </c>
      <c r="N77" s="30">
        <v>-7</v>
      </c>
      <c r="O77" s="50"/>
      <c r="AC77">
        <v>18</v>
      </c>
    </row>
    <row r="78" spans="1:29" x14ac:dyDescent="0.3">
      <c r="A78" s="35" t="s">
        <v>380</v>
      </c>
      <c r="B78" s="30">
        <v>-7</v>
      </c>
      <c r="C78" s="30">
        <v>-7</v>
      </c>
      <c r="D78" s="30">
        <v>0</v>
      </c>
      <c r="E78" s="30">
        <v>-7</v>
      </c>
      <c r="F78" s="30">
        <v>-7</v>
      </c>
      <c r="G78" s="30">
        <v>-7</v>
      </c>
      <c r="H78" s="30">
        <v>5</v>
      </c>
      <c r="I78" s="30">
        <v>-7</v>
      </c>
      <c r="J78" s="30">
        <v>-7</v>
      </c>
      <c r="K78" s="30">
        <v>-7</v>
      </c>
      <c r="L78" s="30">
        <v>-7</v>
      </c>
      <c r="M78" s="30">
        <v>-7</v>
      </c>
      <c r="N78" s="30">
        <v>-7</v>
      </c>
      <c r="O78" s="50"/>
      <c r="AC78">
        <v>16</v>
      </c>
    </row>
    <row r="79" spans="1:29" x14ac:dyDescent="0.3">
      <c r="A79" s="35" t="s">
        <v>379</v>
      </c>
      <c r="B79" s="30">
        <v>-7</v>
      </c>
      <c r="C79" s="30">
        <v>-7</v>
      </c>
      <c r="D79" s="30">
        <v>-7</v>
      </c>
      <c r="E79" s="30">
        <v>-7</v>
      </c>
      <c r="F79" s="30">
        <v>-7</v>
      </c>
      <c r="G79" s="30">
        <v>-7</v>
      </c>
      <c r="H79" s="30">
        <v>0</v>
      </c>
      <c r="I79" s="30">
        <v>-7</v>
      </c>
      <c r="J79" s="30">
        <v>-7</v>
      </c>
      <c r="K79" s="30">
        <v>-7</v>
      </c>
      <c r="L79" s="30">
        <v>-7</v>
      </c>
      <c r="M79" s="30">
        <v>-7</v>
      </c>
      <c r="N79" s="30">
        <v>-7</v>
      </c>
      <c r="O79" s="50"/>
      <c r="AC79">
        <v>46</v>
      </c>
    </row>
    <row r="80" spans="1:29" x14ac:dyDescent="0.3">
      <c r="A80" s="35" t="s">
        <v>378</v>
      </c>
      <c r="B80" s="30">
        <v>-7</v>
      </c>
      <c r="C80" s="30">
        <v>0</v>
      </c>
      <c r="D80" s="30">
        <v>-7</v>
      </c>
      <c r="E80" s="30">
        <v>-7</v>
      </c>
      <c r="F80" s="30">
        <v>-7</v>
      </c>
      <c r="G80" s="30">
        <v>-7</v>
      </c>
      <c r="H80" s="30">
        <v>-7</v>
      </c>
      <c r="I80" s="30">
        <v>-7</v>
      </c>
      <c r="J80" s="30">
        <v>-7</v>
      </c>
      <c r="K80" s="30">
        <v>5</v>
      </c>
      <c r="L80" s="30">
        <v>-7</v>
      </c>
      <c r="M80" s="30">
        <v>-7</v>
      </c>
      <c r="N80" s="30">
        <v>-7</v>
      </c>
      <c r="O80" s="50"/>
      <c r="T80">
        <v>1</v>
      </c>
      <c r="V80">
        <v>1</v>
      </c>
      <c r="AA80">
        <v>3</v>
      </c>
      <c r="AC80">
        <v>6</v>
      </c>
    </row>
    <row r="81" spans="1:29" x14ac:dyDescent="0.3">
      <c r="A81" s="35" t="s">
        <v>377</v>
      </c>
      <c r="B81" s="30">
        <v>-7</v>
      </c>
      <c r="C81" s="30">
        <v>-7</v>
      </c>
      <c r="D81" s="30">
        <v>-7</v>
      </c>
      <c r="E81" s="30">
        <v>-7</v>
      </c>
      <c r="F81" s="30">
        <v>-7</v>
      </c>
      <c r="G81" s="30">
        <v>-7</v>
      </c>
      <c r="H81" s="30">
        <v>-7</v>
      </c>
      <c r="I81" s="30">
        <v>-7</v>
      </c>
      <c r="J81" s="30">
        <v>-7</v>
      </c>
      <c r="K81" s="30">
        <v>2</v>
      </c>
      <c r="L81" s="30">
        <v>-7</v>
      </c>
      <c r="M81" s="30">
        <v>-7</v>
      </c>
      <c r="N81" s="30">
        <v>-7</v>
      </c>
      <c r="O81" s="50"/>
      <c r="AC81">
        <v>52</v>
      </c>
    </row>
    <row r="82" spans="1:29" x14ac:dyDescent="0.3">
      <c r="A82" s="35" t="s">
        <v>376</v>
      </c>
      <c r="B82" s="30">
        <v>-7</v>
      </c>
      <c r="C82" s="30">
        <v>-7</v>
      </c>
      <c r="D82" s="30">
        <v>-7</v>
      </c>
      <c r="E82" s="30">
        <v>-7</v>
      </c>
      <c r="F82" s="30">
        <v>-7</v>
      </c>
      <c r="G82" s="30">
        <v>-7</v>
      </c>
      <c r="H82" s="30">
        <v>-7</v>
      </c>
      <c r="I82" s="30">
        <v>-7</v>
      </c>
      <c r="J82" s="30">
        <v>-7</v>
      </c>
      <c r="K82" s="30">
        <v>-7</v>
      </c>
      <c r="L82" s="30">
        <v>-7</v>
      </c>
      <c r="M82" s="30">
        <v>0</v>
      </c>
      <c r="N82" s="30">
        <v>-7</v>
      </c>
      <c r="O82" s="50"/>
      <c r="P82">
        <v>15</v>
      </c>
      <c r="Y82">
        <v>1</v>
      </c>
      <c r="AA82">
        <v>1</v>
      </c>
    </row>
    <row r="83" spans="1:29" x14ac:dyDescent="0.3">
      <c r="A83" s="35" t="s">
        <v>375</v>
      </c>
      <c r="B83" s="30">
        <v>-7</v>
      </c>
      <c r="C83" s="30">
        <v>-7</v>
      </c>
      <c r="D83" s="30">
        <v>-7</v>
      </c>
      <c r="E83" s="30">
        <v>-7</v>
      </c>
      <c r="F83" s="30">
        <v>-7</v>
      </c>
      <c r="G83" s="30">
        <v>-7</v>
      </c>
      <c r="H83" s="30">
        <v>-7</v>
      </c>
      <c r="I83" s="30">
        <v>-7</v>
      </c>
      <c r="J83" s="30">
        <v>-7</v>
      </c>
      <c r="K83" s="30">
        <v>-7</v>
      </c>
      <c r="L83" s="30">
        <v>-7</v>
      </c>
      <c r="M83" s="30">
        <v>-7</v>
      </c>
      <c r="N83" s="30">
        <v>-7</v>
      </c>
      <c r="O83" s="50"/>
      <c r="Y83">
        <v>1</v>
      </c>
      <c r="AA83">
        <v>1</v>
      </c>
    </row>
    <row r="84" spans="1:29" x14ac:dyDescent="0.3">
      <c r="A84" s="35" t="s">
        <v>374</v>
      </c>
      <c r="B84" s="30">
        <v>-7</v>
      </c>
      <c r="C84" s="30">
        <v>-7</v>
      </c>
      <c r="D84" s="30">
        <v>-7</v>
      </c>
      <c r="E84" s="30">
        <v>-7</v>
      </c>
      <c r="F84" s="30">
        <v>-7</v>
      </c>
      <c r="G84" s="30">
        <v>-7</v>
      </c>
      <c r="H84" s="30">
        <v>-7</v>
      </c>
      <c r="I84" s="30">
        <v>-7</v>
      </c>
      <c r="J84" s="30">
        <v>-7</v>
      </c>
      <c r="K84" s="30">
        <v>5</v>
      </c>
      <c r="L84" s="30">
        <v>-7</v>
      </c>
      <c r="M84" s="30">
        <v>-7</v>
      </c>
      <c r="N84" s="30">
        <v>-7</v>
      </c>
      <c r="O84" s="50"/>
      <c r="AC84">
        <v>15</v>
      </c>
    </row>
    <row r="85" spans="1:29" x14ac:dyDescent="0.3">
      <c r="A85" s="35" t="s">
        <v>373</v>
      </c>
      <c r="B85" s="30">
        <v>-7</v>
      </c>
      <c r="C85" s="30">
        <v>-7</v>
      </c>
      <c r="D85" s="30">
        <v>-7</v>
      </c>
      <c r="E85" s="30">
        <v>-7</v>
      </c>
      <c r="F85" s="30">
        <v>-7</v>
      </c>
      <c r="G85" s="30">
        <v>-7</v>
      </c>
      <c r="H85" s="30">
        <v>2</v>
      </c>
      <c r="I85" s="30">
        <v>-7</v>
      </c>
      <c r="J85" s="30">
        <v>-7</v>
      </c>
      <c r="K85" s="30">
        <v>-7</v>
      </c>
      <c r="L85" s="30">
        <v>-7</v>
      </c>
      <c r="M85" s="30">
        <v>-7</v>
      </c>
      <c r="N85" s="30">
        <v>-7</v>
      </c>
      <c r="O85" s="50"/>
      <c r="AC85">
        <v>16</v>
      </c>
    </row>
    <row r="86" spans="1:29" x14ac:dyDescent="0.3">
      <c r="A86" s="35" t="s">
        <v>372</v>
      </c>
      <c r="B86" s="30">
        <v>-7</v>
      </c>
      <c r="C86" s="30">
        <v>-7</v>
      </c>
      <c r="D86" s="30">
        <v>-7</v>
      </c>
      <c r="E86" s="30">
        <v>-7</v>
      </c>
      <c r="F86" s="30">
        <v>-7</v>
      </c>
      <c r="G86" s="30">
        <v>-7</v>
      </c>
      <c r="H86" s="30">
        <v>0</v>
      </c>
      <c r="I86" s="30">
        <v>0</v>
      </c>
      <c r="J86" s="30">
        <v>-7</v>
      </c>
      <c r="K86" s="30">
        <v>-7</v>
      </c>
      <c r="L86" s="30">
        <v>-7</v>
      </c>
      <c r="M86" s="30">
        <v>-7</v>
      </c>
      <c r="N86" s="30">
        <v>-7</v>
      </c>
      <c r="O86" s="50"/>
      <c r="AC86">
        <v>32</v>
      </c>
    </row>
    <row r="87" spans="1:29" x14ac:dyDescent="0.3">
      <c r="A87" s="35" t="s">
        <v>371</v>
      </c>
      <c r="B87" s="30">
        <v>-7</v>
      </c>
      <c r="C87" s="30">
        <v>-7</v>
      </c>
      <c r="D87" s="30">
        <v>-7</v>
      </c>
      <c r="E87" s="30">
        <v>-7</v>
      </c>
      <c r="F87" s="30">
        <v>-7</v>
      </c>
      <c r="G87" s="30">
        <v>-7</v>
      </c>
      <c r="H87" s="30">
        <v>-7</v>
      </c>
      <c r="I87" s="30">
        <v>-7</v>
      </c>
      <c r="J87" s="30">
        <v>-7</v>
      </c>
      <c r="K87" s="30">
        <v>5</v>
      </c>
      <c r="L87" s="30">
        <v>-7</v>
      </c>
      <c r="M87" s="30">
        <v>-7</v>
      </c>
      <c r="N87" s="30">
        <v>-7</v>
      </c>
      <c r="O87" s="50"/>
      <c r="AC87">
        <v>72</v>
      </c>
    </row>
    <row r="88" spans="1:29" x14ac:dyDescent="0.3">
      <c r="A88" s="35" t="s">
        <v>370</v>
      </c>
      <c r="B88" s="30">
        <v>-7</v>
      </c>
      <c r="C88" s="30">
        <v>-7</v>
      </c>
      <c r="D88" s="30">
        <v>-7</v>
      </c>
      <c r="E88" s="30">
        <v>-7</v>
      </c>
      <c r="F88" s="30">
        <v>-7</v>
      </c>
      <c r="G88" s="30">
        <v>-7</v>
      </c>
      <c r="H88" s="30">
        <v>-7</v>
      </c>
      <c r="I88" s="30">
        <v>-7</v>
      </c>
      <c r="J88" s="30">
        <v>-7</v>
      </c>
      <c r="K88" s="30">
        <v>-7</v>
      </c>
      <c r="L88" s="30">
        <v>-7</v>
      </c>
      <c r="M88" s="30">
        <v>-3</v>
      </c>
      <c r="N88" s="30">
        <v>-7</v>
      </c>
      <c r="O88" s="50"/>
      <c r="P88">
        <v>24</v>
      </c>
      <c r="Y88">
        <v>1</v>
      </c>
      <c r="AA88">
        <v>1</v>
      </c>
    </row>
    <row r="89" spans="1:29" x14ac:dyDescent="0.3">
      <c r="A89" s="35" t="s">
        <v>369</v>
      </c>
      <c r="B89" s="30">
        <v>-7</v>
      </c>
      <c r="C89" s="30">
        <v>-7</v>
      </c>
      <c r="D89" s="30">
        <v>-7</v>
      </c>
      <c r="E89" s="30">
        <v>-7</v>
      </c>
      <c r="F89" s="30">
        <v>-7</v>
      </c>
      <c r="G89" s="30">
        <v>-7</v>
      </c>
      <c r="H89" s="30">
        <v>-7</v>
      </c>
      <c r="I89" s="30">
        <v>-7</v>
      </c>
      <c r="J89" s="30">
        <v>-7</v>
      </c>
      <c r="K89" s="30">
        <v>-7</v>
      </c>
      <c r="L89" s="30">
        <v>-7</v>
      </c>
      <c r="M89" s="30">
        <v>-7</v>
      </c>
      <c r="N89" s="30">
        <v>-7</v>
      </c>
      <c r="O89" s="50"/>
      <c r="P89">
        <v>45</v>
      </c>
      <c r="Y89">
        <v>1</v>
      </c>
      <c r="AA89">
        <v>1</v>
      </c>
    </row>
    <row r="90" spans="1:29" x14ac:dyDescent="0.3">
      <c r="A90" s="35" t="s">
        <v>368</v>
      </c>
      <c r="B90" s="30">
        <v>-7</v>
      </c>
      <c r="C90" s="30">
        <v>-7</v>
      </c>
      <c r="D90" s="30">
        <v>-7</v>
      </c>
      <c r="E90" s="30">
        <v>-7</v>
      </c>
      <c r="F90" s="30">
        <v>-7</v>
      </c>
      <c r="G90" s="30">
        <v>-7</v>
      </c>
      <c r="H90" s="30">
        <v>0</v>
      </c>
      <c r="I90" s="30">
        <v>-7</v>
      </c>
      <c r="J90" s="30">
        <v>-7</v>
      </c>
      <c r="K90" s="30">
        <v>-7</v>
      </c>
      <c r="L90" s="30">
        <v>-7</v>
      </c>
      <c r="M90" s="30">
        <v>-7</v>
      </c>
      <c r="N90" s="30">
        <v>-7</v>
      </c>
      <c r="O90" s="50"/>
      <c r="AC90">
        <v>4</v>
      </c>
    </row>
    <row r="91" spans="1:29" x14ac:dyDescent="0.3">
      <c r="A91" s="35" t="s">
        <v>367</v>
      </c>
      <c r="B91" s="30">
        <v>-7</v>
      </c>
      <c r="C91" s="30">
        <v>-7</v>
      </c>
      <c r="D91" s="30">
        <v>-7</v>
      </c>
      <c r="E91" s="30">
        <v>-7</v>
      </c>
      <c r="F91" s="30">
        <v>-7</v>
      </c>
      <c r="G91" s="30">
        <v>-7</v>
      </c>
      <c r="H91" s="30">
        <v>-3</v>
      </c>
      <c r="I91" s="30">
        <v>-7</v>
      </c>
      <c r="J91" s="30">
        <v>-7</v>
      </c>
      <c r="K91" s="30">
        <v>-7</v>
      </c>
      <c r="L91" s="30">
        <v>-7</v>
      </c>
      <c r="M91" s="30">
        <v>-7</v>
      </c>
      <c r="N91" s="30">
        <v>-7</v>
      </c>
      <c r="O91" s="50"/>
      <c r="R91">
        <v>1</v>
      </c>
    </row>
    <row r="92" spans="1:29" x14ac:dyDescent="0.3">
      <c r="A92" s="35" t="s">
        <v>366</v>
      </c>
      <c r="B92" s="30">
        <v>-7</v>
      </c>
      <c r="C92" s="30">
        <v>-7</v>
      </c>
      <c r="D92" s="30">
        <v>-7</v>
      </c>
      <c r="E92" s="30">
        <v>-7</v>
      </c>
      <c r="F92" s="30">
        <v>-7</v>
      </c>
      <c r="G92" s="30">
        <v>-7</v>
      </c>
      <c r="H92" s="30">
        <v>-7</v>
      </c>
      <c r="I92" s="30">
        <v>-7</v>
      </c>
      <c r="J92" s="30">
        <v>-7</v>
      </c>
      <c r="K92" s="30">
        <v>-7</v>
      </c>
      <c r="L92" s="30">
        <v>-7</v>
      </c>
      <c r="M92" s="30">
        <v>-7</v>
      </c>
      <c r="N92" s="30">
        <v>-7</v>
      </c>
      <c r="O92" s="50"/>
      <c r="P92">
        <v>20</v>
      </c>
      <c r="R92">
        <v>1</v>
      </c>
    </row>
    <row r="93" spans="1:29" x14ac:dyDescent="0.3">
      <c r="A93" s="35" t="s">
        <v>365</v>
      </c>
      <c r="B93" s="30">
        <v>-7</v>
      </c>
      <c r="C93" s="30">
        <v>-7</v>
      </c>
      <c r="D93" s="30">
        <v>-7</v>
      </c>
      <c r="E93" s="30">
        <v>-7</v>
      </c>
      <c r="F93" s="30">
        <v>-7</v>
      </c>
      <c r="G93" s="30">
        <v>-7</v>
      </c>
      <c r="H93" s="30">
        <v>-7</v>
      </c>
      <c r="I93" s="30">
        <v>-7</v>
      </c>
      <c r="J93" s="30">
        <v>-7</v>
      </c>
      <c r="K93" s="30">
        <v>-7</v>
      </c>
      <c r="L93" s="30">
        <v>-7</v>
      </c>
      <c r="M93" s="30">
        <v>-7</v>
      </c>
      <c r="N93" s="30">
        <v>-7</v>
      </c>
      <c r="O93" s="50"/>
      <c r="P93">
        <v>40</v>
      </c>
      <c r="R93">
        <v>1</v>
      </c>
    </row>
    <row r="94" spans="1:29" x14ac:dyDescent="0.3">
      <c r="A94" s="35" t="s">
        <v>364</v>
      </c>
      <c r="B94" s="30">
        <v>-7</v>
      </c>
      <c r="C94" s="30">
        <v>-7</v>
      </c>
      <c r="D94" s="30">
        <v>-7</v>
      </c>
      <c r="E94" s="30">
        <v>-7</v>
      </c>
      <c r="F94" s="30">
        <v>-7</v>
      </c>
      <c r="G94" s="30">
        <v>-3</v>
      </c>
      <c r="H94" s="30">
        <v>-7</v>
      </c>
      <c r="I94" s="30">
        <v>-7</v>
      </c>
      <c r="J94" s="30">
        <v>-7</v>
      </c>
      <c r="K94" s="30">
        <v>-7</v>
      </c>
      <c r="L94" s="30">
        <v>2</v>
      </c>
      <c r="M94" s="30">
        <v>-7</v>
      </c>
      <c r="N94" s="30">
        <v>-7</v>
      </c>
      <c r="O94" s="50"/>
      <c r="P94">
        <v>25</v>
      </c>
      <c r="R94">
        <v>1</v>
      </c>
      <c r="Y94">
        <v>2</v>
      </c>
      <c r="AA94">
        <v>1</v>
      </c>
    </row>
    <row r="95" spans="1:29" x14ac:dyDescent="0.3">
      <c r="A95" s="35" t="s">
        <v>363</v>
      </c>
      <c r="B95" s="30">
        <v>-7</v>
      </c>
      <c r="C95" s="30">
        <v>-7</v>
      </c>
      <c r="D95" s="30">
        <v>-7</v>
      </c>
      <c r="E95" s="30">
        <v>-7</v>
      </c>
      <c r="F95" s="30">
        <v>-7</v>
      </c>
      <c r="G95" s="30">
        <v>-7</v>
      </c>
      <c r="H95" s="30">
        <v>-7</v>
      </c>
      <c r="I95" s="30">
        <v>-7</v>
      </c>
      <c r="J95" s="30">
        <v>-7</v>
      </c>
      <c r="K95" s="30">
        <v>-7</v>
      </c>
      <c r="L95" s="30">
        <v>2</v>
      </c>
      <c r="M95" s="30">
        <v>-7</v>
      </c>
      <c r="N95" s="30">
        <v>-7</v>
      </c>
      <c r="O95" s="50"/>
      <c r="P95">
        <v>23</v>
      </c>
      <c r="R95">
        <v>1</v>
      </c>
      <c r="Y95">
        <v>2</v>
      </c>
      <c r="AA95">
        <v>1</v>
      </c>
    </row>
    <row r="96" spans="1:29" x14ac:dyDescent="0.3">
      <c r="A96" s="35" t="s">
        <v>362</v>
      </c>
      <c r="B96" s="30">
        <v>-7</v>
      </c>
      <c r="C96" s="30">
        <v>-3</v>
      </c>
      <c r="D96" s="30">
        <v>-7</v>
      </c>
      <c r="E96" s="30">
        <v>-7</v>
      </c>
      <c r="F96" s="30">
        <v>-7</v>
      </c>
      <c r="G96" s="30">
        <v>-7</v>
      </c>
      <c r="H96" s="30">
        <v>-7</v>
      </c>
      <c r="I96" s="30">
        <v>-7</v>
      </c>
      <c r="J96" s="30">
        <v>-7</v>
      </c>
      <c r="K96" s="30">
        <v>2</v>
      </c>
      <c r="L96" s="30">
        <v>-7</v>
      </c>
      <c r="M96" s="30">
        <v>-7</v>
      </c>
      <c r="N96" s="30">
        <v>-7</v>
      </c>
      <c r="O96" s="50"/>
      <c r="R96">
        <v>1</v>
      </c>
      <c r="AC96">
        <v>38</v>
      </c>
    </row>
    <row r="97" spans="1:29" x14ac:dyDescent="0.3">
      <c r="A97" s="35" t="s">
        <v>361</v>
      </c>
      <c r="B97" s="30">
        <v>-7</v>
      </c>
      <c r="C97" s="30">
        <v>-7</v>
      </c>
      <c r="D97" s="30">
        <v>-7</v>
      </c>
      <c r="E97" s="30">
        <v>-7</v>
      </c>
      <c r="F97" s="30">
        <v>-7</v>
      </c>
      <c r="G97" s="30">
        <v>-7</v>
      </c>
      <c r="H97" s="30">
        <v>-7</v>
      </c>
      <c r="I97" s="30">
        <v>-7</v>
      </c>
      <c r="J97" s="30">
        <v>-7</v>
      </c>
      <c r="K97" s="30">
        <v>-7</v>
      </c>
      <c r="L97" s="30">
        <v>-7</v>
      </c>
      <c r="M97" s="30">
        <v>-3</v>
      </c>
      <c r="N97" s="30">
        <v>-7</v>
      </c>
      <c r="O97" s="50"/>
      <c r="P97">
        <v>13</v>
      </c>
      <c r="R97">
        <v>1</v>
      </c>
      <c r="AA97">
        <v>2</v>
      </c>
    </row>
    <row r="98" spans="1:29" x14ac:dyDescent="0.3">
      <c r="A98" s="35" t="s">
        <v>360</v>
      </c>
      <c r="B98" s="30">
        <v>-7</v>
      </c>
      <c r="C98" s="30">
        <v>-7</v>
      </c>
      <c r="D98" s="30">
        <v>-7</v>
      </c>
      <c r="E98" s="30">
        <v>-7</v>
      </c>
      <c r="F98" s="30">
        <v>-7</v>
      </c>
      <c r="G98" s="30">
        <v>-7</v>
      </c>
      <c r="H98" s="30">
        <v>-7</v>
      </c>
      <c r="I98" s="30">
        <v>-7</v>
      </c>
      <c r="J98" s="30">
        <v>-7</v>
      </c>
      <c r="K98" s="30">
        <v>4</v>
      </c>
      <c r="L98" s="30">
        <v>-7</v>
      </c>
      <c r="M98" s="30">
        <v>-7</v>
      </c>
      <c r="N98" s="30">
        <v>-7</v>
      </c>
      <c r="O98" s="50"/>
      <c r="R98">
        <v>1</v>
      </c>
      <c r="AC98">
        <v>28</v>
      </c>
    </row>
    <row r="99" spans="1:29" x14ac:dyDescent="0.3">
      <c r="A99" s="35" t="s">
        <v>359</v>
      </c>
      <c r="B99" s="30">
        <v>-7</v>
      </c>
      <c r="C99" s="30">
        <v>-7</v>
      </c>
      <c r="D99" s="30">
        <v>-7</v>
      </c>
      <c r="E99" s="30">
        <v>-7</v>
      </c>
      <c r="F99" s="30">
        <v>-7</v>
      </c>
      <c r="G99" s="30">
        <v>-7</v>
      </c>
      <c r="H99" s="30">
        <v>-7</v>
      </c>
      <c r="I99" s="30">
        <v>-7</v>
      </c>
      <c r="J99" s="30">
        <v>-7</v>
      </c>
      <c r="K99" s="30">
        <v>-7</v>
      </c>
      <c r="L99" s="30">
        <v>-7</v>
      </c>
      <c r="M99" s="30">
        <v>2</v>
      </c>
      <c r="N99" s="30">
        <v>-7</v>
      </c>
      <c r="O99" s="50"/>
      <c r="R99">
        <v>1</v>
      </c>
      <c r="Y99">
        <v>2</v>
      </c>
      <c r="AA99">
        <v>1</v>
      </c>
      <c r="AB99">
        <v>34</v>
      </c>
    </row>
    <row r="100" spans="1:29" x14ac:dyDescent="0.3">
      <c r="A100" s="35" t="s">
        <v>358</v>
      </c>
      <c r="B100" s="30">
        <v>-7</v>
      </c>
      <c r="C100" s="30">
        <v>-7</v>
      </c>
      <c r="D100" s="30">
        <v>-3</v>
      </c>
      <c r="E100" s="30">
        <v>-7</v>
      </c>
      <c r="F100" s="30">
        <v>-7</v>
      </c>
      <c r="G100" s="30">
        <v>-7</v>
      </c>
      <c r="H100" s="30">
        <v>0</v>
      </c>
      <c r="I100" s="30">
        <v>-3</v>
      </c>
      <c r="J100" s="30">
        <v>-7</v>
      </c>
      <c r="K100" s="30">
        <v>-7</v>
      </c>
      <c r="L100" s="30">
        <v>-7</v>
      </c>
      <c r="M100" s="30">
        <v>-7</v>
      </c>
      <c r="N100" s="30">
        <v>-7</v>
      </c>
      <c r="O100" s="50"/>
      <c r="R100">
        <v>1</v>
      </c>
      <c r="AC100">
        <v>56</v>
      </c>
    </row>
    <row r="101" spans="1:29" x14ac:dyDescent="0.3">
      <c r="A101" s="35" t="s">
        <v>357</v>
      </c>
      <c r="B101" s="30">
        <v>-7</v>
      </c>
      <c r="C101" s="30">
        <v>-7</v>
      </c>
      <c r="D101" s="30">
        <v>-7</v>
      </c>
      <c r="E101" s="30">
        <v>-7</v>
      </c>
      <c r="F101" s="30">
        <v>-7</v>
      </c>
      <c r="G101" s="30">
        <v>-7</v>
      </c>
      <c r="H101" s="30">
        <v>0</v>
      </c>
      <c r="I101" s="30">
        <v>0</v>
      </c>
      <c r="J101" s="30">
        <v>-7</v>
      </c>
      <c r="K101" s="30">
        <v>-7</v>
      </c>
      <c r="L101" s="30">
        <v>-7</v>
      </c>
      <c r="M101" s="30">
        <v>-7</v>
      </c>
      <c r="N101" s="30">
        <v>-7</v>
      </c>
      <c r="O101" s="50"/>
      <c r="R101">
        <v>1</v>
      </c>
      <c r="AC101">
        <v>8</v>
      </c>
    </row>
    <row r="102" spans="1:29" x14ac:dyDescent="0.3">
      <c r="A102" s="35" t="s">
        <v>356</v>
      </c>
      <c r="B102" s="30">
        <v>-7</v>
      </c>
      <c r="C102" s="30">
        <v>-7</v>
      </c>
      <c r="D102" s="30">
        <v>-7</v>
      </c>
      <c r="E102" s="30">
        <v>-7</v>
      </c>
      <c r="F102" s="30">
        <v>-7</v>
      </c>
      <c r="G102" s="30">
        <v>-7</v>
      </c>
      <c r="H102" s="30">
        <v>2</v>
      </c>
      <c r="I102" s="30">
        <v>-7</v>
      </c>
      <c r="J102" s="30">
        <v>-7</v>
      </c>
      <c r="K102" s="30">
        <v>4</v>
      </c>
      <c r="L102" s="30">
        <v>-7</v>
      </c>
      <c r="M102" s="30">
        <v>-7</v>
      </c>
      <c r="N102" s="30">
        <v>-7</v>
      </c>
      <c r="O102" s="50"/>
      <c r="R102">
        <v>1</v>
      </c>
      <c r="AC102">
        <v>25</v>
      </c>
    </row>
    <row r="103" spans="1:29" x14ac:dyDescent="0.3">
      <c r="A103" s="35" t="s">
        <v>355</v>
      </c>
      <c r="B103" s="30">
        <v>-7</v>
      </c>
      <c r="C103" s="30">
        <v>-7</v>
      </c>
      <c r="D103" s="30">
        <v>-7</v>
      </c>
      <c r="E103" s="30">
        <v>-7</v>
      </c>
      <c r="F103" s="30">
        <v>-7</v>
      </c>
      <c r="G103" s="30">
        <v>-7</v>
      </c>
      <c r="H103" s="30">
        <v>-7</v>
      </c>
      <c r="I103" s="30">
        <v>-7</v>
      </c>
      <c r="J103" s="30">
        <v>-7</v>
      </c>
      <c r="K103" s="30">
        <v>-7</v>
      </c>
      <c r="L103" s="30">
        <v>0</v>
      </c>
      <c r="M103" s="30">
        <v>-7</v>
      </c>
      <c r="N103" s="30">
        <v>-7</v>
      </c>
      <c r="O103" s="50"/>
      <c r="P103">
        <v>8</v>
      </c>
      <c r="T103">
        <v>1</v>
      </c>
      <c r="Y103">
        <v>2</v>
      </c>
      <c r="AA103">
        <v>1</v>
      </c>
    </row>
    <row r="104" spans="1:29" x14ac:dyDescent="0.3">
      <c r="A104" s="35" t="s">
        <v>354</v>
      </c>
      <c r="B104" s="30">
        <v>-7</v>
      </c>
      <c r="C104" s="30">
        <v>-7</v>
      </c>
      <c r="D104" s="30">
        <v>-7</v>
      </c>
      <c r="E104" s="30">
        <v>-7</v>
      </c>
      <c r="F104" s="30">
        <v>-7</v>
      </c>
      <c r="G104" s="30">
        <v>-7</v>
      </c>
      <c r="H104" s="30">
        <v>-7</v>
      </c>
      <c r="I104" s="30">
        <v>-7</v>
      </c>
      <c r="J104" s="30">
        <v>-7</v>
      </c>
      <c r="K104" s="30">
        <v>-7</v>
      </c>
      <c r="L104" s="30">
        <v>-7</v>
      </c>
      <c r="M104" s="30">
        <v>5</v>
      </c>
      <c r="N104" s="30">
        <v>-7</v>
      </c>
      <c r="O104" s="50"/>
      <c r="Q104">
        <v>1</v>
      </c>
      <c r="Y104">
        <v>2</v>
      </c>
      <c r="AA104">
        <v>1</v>
      </c>
      <c r="AB104">
        <v>5</v>
      </c>
    </row>
    <row r="105" spans="1:29" x14ac:dyDescent="0.3">
      <c r="A105" s="35" t="s">
        <v>353</v>
      </c>
      <c r="B105" s="30">
        <v>-7</v>
      </c>
      <c r="C105" s="30">
        <v>-7</v>
      </c>
      <c r="D105" s="30">
        <v>-7</v>
      </c>
      <c r="E105" s="30">
        <v>-7</v>
      </c>
      <c r="F105" s="30">
        <v>-7</v>
      </c>
      <c r="G105" s="30">
        <v>-7</v>
      </c>
      <c r="H105" s="30">
        <v>-7</v>
      </c>
      <c r="I105" s="30">
        <v>-7</v>
      </c>
      <c r="J105" s="30">
        <v>-7</v>
      </c>
      <c r="K105" s="30">
        <v>-7</v>
      </c>
      <c r="L105" s="30">
        <v>-7</v>
      </c>
      <c r="M105" s="30">
        <v>2</v>
      </c>
      <c r="N105" s="30">
        <v>-7</v>
      </c>
      <c r="O105" s="50"/>
      <c r="P105">
        <v>14</v>
      </c>
      <c r="Q105">
        <v>1</v>
      </c>
      <c r="Y105">
        <v>1</v>
      </c>
      <c r="AA105">
        <v>1</v>
      </c>
    </row>
    <row r="106" spans="1:29" x14ac:dyDescent="0.3">
      <c r="A106" s="35" t="s">
        <v>352</v>
      </c>
      <c r="B106" s="30">
        <v>-7</v>
      </c>
      <c r="C106" s="30">
        <v>-7</v>
      </c>
      <c r="D106" s="30">
        <v>-7</v>
      </c>
      <c r="E106" s="30">
        <v>-7</v>
      </c>
      <c r="F106" s="30">
        <v>-7</v>
      </c>
      <c r="G106" s="30">
        <v>-7</v>
      </c>
      <c r="H106" s="30">
        <v>-7</v>
      </c>
      <c r="I106" s="30">
        <v>-7</v>
      </c>
      <c r="J106" s="30">
        <v>-7</v>
      </c>
      <c r="K106" s="30">
        <v>-7</v>
      </c>
      <c r="L106" s="30">
        <v>-7</v>
      </c>
      <c r="M106" s="30">
        <v>0</v>
      </c>
      <c r="N106" s="30">
        <v>-7</v>
      </c>
      <c r="O106" s="50"/>
      <c r="P106">
        <v>28</v>
      </c>
      <c r="Q106">
        <v>1</v>
      </c>
      <c r="Y106">
        <v>1</v>
      </c>
      <c r="AA106">
        <v>2</v>
      </c>
    </row>
    <row r="107" spans="1:29" x14ac:dyDescent="0.3">
      <c r="A107" s="35" t="s">
        <v>351</v>
      </c>
      <c r="B107" s="30">
        <v>-7</v>
      </c>
      <c r="C107" s="30">
        <v>-7</v>
      </c>
      <c r="D107" s="30">
        <v>-7</v>
      </c>
      <c r="E107" s="30">
        <v>-7</v>
      </c>
      <c r="F107" s="30">
        <v>-7</v>
      </c>
      <c r="G107" s="30">
        <v>-7</v>
      </c>
      <c r="H107" s="30">
        <v>-7</v>
      </c>
      <c r="I107" s="30">
        <v>-7</v>
      </c>
      <c r="J107" s="30">
        <v>-7</v>
      </c>
      <c r="K107" s="30">
        <v>-7</v>
      </c>
      <c r="L107" s="30">
        <v>-7</v>
      </c>
      <c r="M107" s="30">
        <v>5</v>
      </c>
      <c r="N107" s="30">
        <v>-7</v>
      </c>
      <c r="O107" s="50"/>
      <c r="P107">
        <v>6</v>
      </c>
      <c r="U107">
        <v>1</v>
      </c>
      <c r="Y107">
        <v>2</v>
      </c>
      <c r="AA107">
        <v>1</v>
      </c>
    </row>
    <row r="108" spans="1:29" x14ac:dyDescent="0.3">
      <c r="A108" s="35" t="s">
        <v>350</v>
      </c>
      <c r="B108" s="30">
        <v>-7</v>
      </c>
      <c r="C108" s="30">
        <v>-7</v>
      </c>
      <c r="D108" s="30">
        <v>-7</v>
      </c>
      <c r="E108" s="30">
        <v>-7</v>
      </c>
      <c r="F108" s="30">
        <v>-7</v>
      </c>
      <c r="G108" s="30">
        <v>-7</v>
      </c>
      <c r="H108" s="30">
        <v>-7</v>
      </c>
      <c r="I108" s="30">
        <v>-7</v>
      </c>
      <c r="J108" s="30">
        <v>-7</v>
      </c>
      <c r="K108" s="30">
        <v>-7</v>
      </c>
      <c r="L108" s="30">
        <v>-7</v>
      </c>
      <c r="M108" s="30">
        <v>2</v>
      </c>
      <c r="N108" s="30">
        <v>-7</v>
      </c>
      <c r="O108" s="50"/>
      <c r="P108">
        <v>19</v>
      </c>
      <c r="U108">
        <v>1</v>
      </c>
      <c r="Y108">
        <v>2</v>
      </c>
      <c r="AA108">
        <v>1</v>
      </c>
    </row>
    <row r="109" spans="1:29" x14ac:dyDescent="0.3">
      <c r="A109" s="35" t="s">
        <v>349</v>
      </c>
      <c r="B109" s="30">
        <v>-7</v>
      </c>
      <c r="C109" s="30">
        <v>-7</v>
      </c>
      <c r="D109" s="30">
        <v>-7</v>
      </c>
      <c r="E109" s="30">
        <v>-7</v>
      </c>
      <c r="F109" s="30">
        <v>-7</v>
      </c>
      <c r="G109" s="30">
        <v>-7</v>
      </c>
      <c r="H109" s="30">
        <v>-7</v>
      </c>
      <c r="I109" s="30">
        <v>-7</v>
      </c>
      <c r="J109" s="30">
        <v>-7</v>
      </c>
      <c r="K109" s="30">
        <v>-7</v>
      </c>
      <c r="L109" s="30">
        <v>-7</v>
      </c>
      <c r="M109" s="30">
        <v>-7</v>
      </c>
      <c r="N109" s="30">
        <v>-7</v>
      </c>
      <c r="O109" s="50"/>
      <c r="P109">
        <v>100</v>
      </c>
      <c r="U109">
        <v>1</v>
      </c>
      <c r="Y109">
        <v>1</v>
      </c>
      <c r="AA109">
        <v>1</v>
      </c>
    </row>
    <row r="110" spans="1:29" x14ac:dyDescent="0.3">
      <c r="A110" s="35" t="s">
        <v>348</v>
      </c>
      <c r="B110" s="30">
        <v>-7</v>
      </c>
      <c r="C110" s="30">
        <v>-7</v>
      </c>
      <c r="D110" s="30">
        <v>-7</v>
      </c>
      <c r="E110" s="30">
        <v>-7</v>
      </c>
      <c r="F110" s="30">
        <v>-7</v>
      </c>
      <c r="G110" s="30">
        <v>-7</v>
      </c>
      <c r="H110" s="30">
        <v>-7</v>
      </c>
      <c r="I110" s="30">
        <v>-7</v>
      </c>
      <c r="J110" s="30">
        <v>-7</v>
      </c>
      <c r="K110" s="30">
        <v>-7</v>
      </c>
      <c r="L110" s="30">
        <v>-7</v>
      </c>
      <c r="M110" s="30">
        <v>5</v>
      </c>
      <c r="N110" s="30">
        <v>-7</v>
      </c>
      <c r="O110" s="50"/>
      <c r="S110">
        <v>1</v>
      </c>
      <c r="Y110">
        <v>1</v>
      </c>
      <c r="AA110">
        <v>2</v>
      </c>
      <c r="AB110">
        <v>5</v>
      </c>
    </row>
    <row r="111" spans="1:29" x14ac:dyDescent="0.3">
      <c r="A111" s="35" t="s">
        <v>347</v>
      </c>
      <c r="B111" s="30">
        <v>-7</v>
      </c>
      <c r="C111" s="30">
        <v>-7</v>
      </c>
      <c r="D111" s="30">
        <v>-7</v>
      </c>
      <c r="E111" s="30">
        <v>-7</v>
      </c>
      <c r="F111" s="30">
        <v>-7</v>
      </c>
      <c r="G111" s="30">
        <v>-7</v>
      </c>
      <c r="H111" s="30">
        <v>-7</v>
      </c>
      <c r="I111" s="30">
        <v>-7</v>
      </c>
      <c r="J111" s="30">
        <v>-7</v>
      </c>
      <c r="K111" s="30">
        <v>-7</v>
      </c>
      <c r="L111" s="30">
        <v>-7</v>
      </c>
      <c r="M111" s="30">
        <v>2</v>
      </c>
      <c r="N111" s="30">
        <v>-7</v>
      </c>
      <c r="O111" s="50"/>
      <c r="P111">
        <v>16</v>
      </c>
      <c r="S111">
        <v>1</v>
      </c>
      <c r="Y111">
        <v>2</v>
      </c>
      <c r="AA111">
        <v>1</v>
      </c>
    </row>
    <row r="112" spans="1:29" x14ac:dyDescent="0.3">
      <c r="A112" s="35" t="s">
        <v>346</v>
      </c>
      <c r="B112" s="30">
        <v>-7</v>
      </c>
      <c r="C112" s="30">
        <v>-7</v>
      </c>
      <c r="D112" s="30">
        <v>-7</v>
      </c>
      <c r="E112" s="30">
        <v>-7</v>
      </c>
      <c r="F112" s="30">
        <v>-7</v>
      </c>
      <c r="G112" s="30">
        <v>-7</v>
      </c>
      <c r="H112" s="30">
        <v>-7</v>
      </c>
      <c r="I112" s="30">
        <v>-7</v>
      </c>
      <c r="J112" s="30">
        <v>-7</v>
      </c>
      <c r="K112" s="30">
        <v>-7</v>
      </c>
      <c r="L112" s="30">
        <v>-7</v>
      </c>
      <c r="M112" s="30">
        <v>0</v>
      </c>
      <c r="N112" s="30">
        <v>-7</v>
      </c>
      <c r="O112" s="50"/>
      <c r="P112">
        <v>30</v>
      </c>
      <c r="S112">
        <v>1</v>
      </c>
      <c r="Y112">
        <v>1</v>
      </c>
      <c r="AA112">
        <v>1</v>
      </c>
    </row>
    <row r="113" spans="1:29" x14ac:dyDescent="0.3">
      <c r="A113" s="35" t="s">
        <v>345</v>
      </c>
      <c r="B113" s="30">
        <v>-7</v>
      </c>
      <c r="C113" s="30">
        <v>-7</v>
      </c>
      <c r="D113" s="30">
        <v>-7</v>
      </c>
      <c r="E113" s="30">
        <v>-7</v>
      </c>
      <c r="F113" s="30">
        <v>-7</v>
      </c>
      <c r="G113" s="30">
        <v>-7</v>
      </c>
      <c r="H113" s="30">
        <v>-7</v>
      </c>
      <c r="I113" s="30">
        <v>-7</v>
      </c>
      <c r="J113" s="30">
        <v>-7</v>
      </c>
      <c r="K113" s="30">
        <v>5</v>
      </c>
      <c r="L113" s="30">
        <v>-7</v>
      </c>
      <c r="M113" s="30">
        <v>-7</v>
      </c>
      <c r="N113" s="30">
        <v>-7</v>
      </c>
      <c r="O113" s="50"/>
      <c r="T113">
        <v>1</v>
      </c>
      <c r="AC113">
        <v>5</v>
      </c>
    </row>
    <row r="114" spans="1:29" x14ac:dyDescent="0.3">
      <c r="A114" s="35" t="s">
        <v>344</v>
      </c>
      <c r="B114" s="30">
        <v>-7</v>
      </c>
      <c r="C114" s="30">
        <v>-7</v>
      </c>
      <c r="D114" s="30">
        <v>-7</v>
      </c>
      <c r="E114" s="30">
        <v>-7</v>
      </c>
      <c r="F114" s="30">
        <v>-7</v>
      </c>
      <c r="G114" s="30">
        <v>-7</v>
      </c>
      <c r="H114" s="30">
        <v>-7</v>
      </c>
      <c r="I114" s="30">
        <v>-7</v>
      </c>
      <c r="J114" s="30">
        <v>-7</v>
      </c>
      <c r="K114" s="30">
        <v>2</v>
      </c>
      <c r="L114" s="30">
        <v>-7</v>
      </c>
      <c r="M114" s="30">
        <v>-7</v>
      </c>
      <c r="N114" s="30">
        <v>-7</v>
      </c>
      <c r="O114" s="50"/>
      <c r="P114">
        <v>16</v>
      </c>
      <c r="T114">
        <v>1</v>
      </c>
    </row>
    <row r="115" spans="1:29" x14ac:dyDescent="0.3">
      <c r="A115" s="35" t="s">
        <v>343</v>
      </c>
      <c r="B115" s="30">
        <v>-7</v>
      </c>
      <c r="C115" s="30">
        <v>-7</v>
      </c>
      <c r="D115" s="30">
        <v>-7</v>
      </c>
      <c r="E115" s="30">
        <v>-7</v>
      </c>
      <c r="F115" s="30">
        <v>-7</v>
      </c>
      <c r="G115" s="30">
        <v>-7</v>
      </c>
      <c r="H115" s="30">
        <v>-7</v>
      </c>
      <c r="I115" s="30">
        <v>-7</v>
      </c>
      <c r="J115" s="30">
        <v>-7</v>
      </c>
      <c r="K115" s="30">
        <v>0</v>
      </c>
      <c r="L115" s="30">
        <v>-7</v>
      </c>
      <c r="M115" s="30">
        <v>-7</v>
      </c>
      <c r="N115" s="30">
        <v>-7</v>
      </c>
      <c r="O115" s="50"/>
      <c r="P115">
        <v>30</v>
      </c>
      <c r="T115">
        <v>1</v>
      </c>
    </row>
    <row r="116" spans="1:29" x14ac:dyDescent="0.3">
      <c r="A116" s="35" t="s">
        <v>342</v>
      </c>
      <c r="B116" s="30">
        <v>-7</v>
      </c>
      <c r="C116" s="30">
        <v>-7</v>
      </c>
      <c r="D116" s="30">
        <v>-7</v>
      </c>
      <c r="E116" s="30">
        <v>-7</v>
      </c>
      <c r="F116" s="30">
        <v>-7</v>
      </c>
      <c r="G116" s="30">
        <v>-3</v>
      </c>
      <c r="H116" s="30">
        <v>-7</v>
      </c>
      <c r="I116" s="30">
        <v>-7</v>
      </c>
      <c r="J116" s="30">
        <v>-7</v>
      </c>
      <c r="K116" s="30">
        <v>-7</v>
      </c>
      <c r="L116" s="30">
        <v>-7</v>
      </c>
      <c r="M116" s="30">
        <v>0</v>
      </c>
      <c r="N116" s="30">
        <v>-7</v>
      </c>
      <c r="O116" s="50"/>
      <c r="P116">
        <v>20</v>
      </c>
      <c r="AA116">
        <v>1</v>
      </c>
    </row>
    <row r="117" spans="1:29" x14ac:dyDescent="0.3">
      <c r="A117" s="35" t="s">
        <v>341</v>
      </c>
      <c r="B117" s="30">
        <v>-7</v>
      </c>
      <c r="C117" s="30">
        <v>-7</v>
      </c>
      <c r="D117" s="30">
        <v>-7</v>
      </c>
      <c r="E117" s="30">
        <v>-7</v>
      </c>
      <c r="F117" s="30">
        <v>-7</v>
      </c>
      <c r="G117" s="30">
        <v>-7</v>
      </c>
      <c r="H117" s="30">
        <v>0</v>
      </c>
      <c r="I117" s="30">
        <v>-3</v>
      </c>
      <c r="J117" s="30">
        <v>-7</v>
      </c>
      <c r="K117" s="30">
        <v>-7</v>
      </c>
      <c r="L117" s="30">
        <v>-7</v>
      </c>
      <c r="M117" s="30">
        <v>-7</v>
      </c>
      <c r="N117" s="30">
        <v>-7</v>
      </c>
      <c r="O117" s="50"/>
      <c r="S117">
        <v>2</v>
      </c>
      <c r="AC117">
        <v>10</v>
      </c>
    </row>
    <row r="118" spans="1:29" x14ac:dyDescent="0.3">
      <c r="A118" s="35" t="s">
        <v>340</v>
      </c>
      <c r="B118" s="30">
        <v>-7</v>
      </c>
      <c r="C118" s="30">
        <v>0</v>
      </c>
      <c r="D118" s="30">
        <v>-7</v>
      </c>
      <c r="E118" s="30">
        <v>-7</v>
      </c>
      <c r="F118" s="30">
        <v>-7</v>
      </c>
      <c r="G118" s="30">
        <v>-7</v>
      </c>
      <c r="H118" s="30">
        <v>-7</v>
      </c>
      <c r="I118" s="30">
        <v>-7</v>
      </c>
      <c r="J118" s="30">
        <v>-7</v>
      </c>
      <c r="K118" s="30">
        <v>2</v>
      </c>
      <c r="L118" s="30">
        <v>-7</v>
      </c>
      <c r="M118" s="30">
        <v>-7</v>
      </c>
      <c r="N118" s="30">
        <v>-7</v>
      </c>
      <c r="O118" s="50"/>
      <c r="AC118">
        <v>76</v>
      </c>
    </row>
    <row r="119" spans="1:29" x14ac:dyDescent="0.3">
      <c r="A119" s="35" t="s">
        <v>339</v>
      </c>
      <c r="B119" s="30">
        <v>-7</v>
      </c>
      <c r="C119" s="30">
        <v>-7</v>
      </c>
      <c r="D119" s="30">
        <v>-7</v>
      </c>
      <c r="E119" s="30">
        <v>-7</v>
      </c>
      <c r="F119" s="30">
        <v>-7</v>
      </c>
      <c r="G119" s="30">
        <v>-7</v>
      </c>
      <c r="H119" s="30">
        <v>-7</v>
      </c>
      <c r="I119" s="30">
        <v>-7</v>
      </c>
      <c r="J119" s="30">
        <v>-7</v>
      </c>
      <c r="K119" s="30">
        <v>0</v>
      </c>
      <c r="L119" s="30">
        <v>-7</v>
      </c>
      <c r="M119" s="30">
        <v>-7</v>
      </c>
      <c r="N119" s="30">
        <v>-7</v>
      </c>
      <c r="O119" s="50"/>
      <c r="AC119">
        <v>14</v>
      </c>
    </row>
    <row r="120" spans="1:29" x14ac:dyDescent="0.3">
      <c r="A120" s="35" t="s">
        <v>338</v>
      </c>
      <c r="B120" s="30">
        <v>-7</v>
      </c>
      <c r="C120" s="30">
        <v>-3</v>
      </c>
      <c r="D120" s="30">
        <v>-7</v>
      </c>
      <c r="E120" s="30">
        <v>-7</v>
      </c>
      <c r="F120" s="30">
        <v>-7</v>
      </c>
      <c r="G120" s="30">
        <v>-7</v>
      </c>
      <c r="H120" s="30">
        <v>-7</v>
      </c>
      <c r="I120" s="30">
        <v>-7</v>
      </c>
      <c r="J120" s="30">
        <v>-7</v>
      </c>
      <c r="K120" s="30">
        <v>5</v>
      </c>
      <c r="L120" s="30">
        <v>-7</v>
      </c>
      <c r="M120" s="30">
        <v>-7</v>
      </c>
      <c r="N120" s="30">
        <v>-7</v>
      </c>
      <c r="O120" s="50"/>
      <c r="P120">
        <v>25</v>
      </c>
    </row>
    <row r="121" spans="1:29" x14ac:dyDescent="0.3">
      <c r="A121" s="35" t="s">
        <v>337</v>
      </c>
      <c r="B121" s="30">
        <v>-7</v>
      </c>
      <c r="C121" s="30">
        <v>-7</v>
      </c>
      <c r="D121" s="30">
        <v>-3</v>
      </c>
      <c r="E121" s="30">
        <v>-7</v>
      </c>
      <c r="F121" s="30">
        <v>-7</v>
      </c>
      <c r="G121" s="30">
        <v>-7</v>
      </c>
      <c r="H121" s="30">
        <v>0</v>
      </c>
      <c r="I121" s="30">
        <v>-3</v>
      </c>
      <c r="J121" s="30">
        <v>-7</v>
      </c>
      <c r="K121" s="30">
        <v>-7</v>
      </c>
      <c r="L121" s="30">
        <v>-7</v>
      </c>
      <c r="M121" s="30">
        <v>-7</v>
      </c>
      <c r="N121" s="30">
        <v>-7</v>
      </c>
      <c r="O121" s="50"/>
      <c r="R121">
        <v>2</v>
      </c>
      <c r="AC121">
        <v>15</v>
      </c>
    </row>
    <row r="122" spans="1:29" x14ac:dyDescent="0.3">
      <c r="A122" s="35" t="s">
        <v>336</v>
      </c>
      <c r="B122" s="30">
        <v>-7</v>
      </c>
      <c r="C122" s="30">
        <v>-7</v>
      </c>
      <c r="D122" s="30">
        <v>-7</v>
      </c>
      <c r="E122" s="30">
        <v>-7</v>
      </c>
      <c r="F122" s="30">
        <v>-7</v>
      </c>
      <c r="G122" s="30">
        <v>-7</v>
      </c>
      <c r="H122" s="30">
        <v>-7</v>
      </c>
      <c r="I122" s="30">
        <v>-7</v>
      </c>
      <c r="J122" s="30">
        <v>-7</v>
      </c>
      <c r="K122" s="30">
        <v>-7</v>
      </c>
      <c r="L122" s="30">
        <v>-7</v>
      </c>
      <c r="M122" s="30">
        <v>0</v>
      </c>
      <c r="N122" s="30">
        <v>-7</v>
      </c>
      <c r="O122" s="50"/>
      <c r="P122">
        <v>100</v>
      </c>
      <c r="Y122">
        <v>1</v>
      </c>
    </row>
    <row r="123" spans="1:29" x14ac:dyDescent="0.3">
      <c r="A123" s="35" t="s">
        <v>335</v>
      </c>
      <c r="B123" s="30">
        <v>-7</v>
      </c>
      <c r="C123" s="30">
        <v>-7</v>
      </c>
      <c r="D123" s="30">
        <v>-7</v>
      </c>
      <c r="E123" s="30">
        <v>-7</v>
      </c>
      <c r="F123" s="30">
        <v>-7</v>
      </c>
      <c r="G123" s="30">
        <v>-7</v>
      </c>
      <c r="H123" s="30">
        <v>-7</v>
      </c>
      <c r="I123" s="30">
        <v>-7</v>
      </c>
      <c r="J123" s="30">
        <v>-7</v>
      </c>
      <c r="K123" s="30">
        <v>-7</v>
      </c>
      <c r="L123" s="30">
        <v>-7</v>
      </c>
      <c r="M123" s="30">
        <v>0</v>
      </c>
      <c r="N123" s="30">
        <v>-7</v>
      </c>
      <c r="O123" s="50"/>
      <c r="P123">
        <v>120</v>
      </c>
    </row>
    <row r="124" spans="1:29" x14ac:dyDescent="0.3">
      <c r="A124" s="35" t="s">
        <v>334</v>
      </c>
      <c r="B124" s="30">
        <v>-7</v>
      </c>
      <c r="C124" s="30">
        <v>-7</v>
      </c>
      <c r="D124" s="30">
        <v>-7</v>
      </c>
      <c r="E124" s="30">
        <v>-7</v>
      </c>
      <c r="F124" s="30">
        <v>-7</v>
      </c>
      <c r="G124" s="30">
        <v>-7</v>
      </c>
      <c r="H124" s="30">
        <v>-7</v>
      </c>
      <c r="I124" s="30">
        <v>-7</v>
      </c>
      <c r="J124" s="30">
        <v>-7</v>
      </c>
      <c r="K124" s="30">
        <v>-7</v>
      </c>
      <c r="L124" s="30">
        <v>-7</v>
      </c>
      <c r="M124" s="30">
        <v>0</v>
      </c>
      <c r="N124" s="30">
        <v>-7</v>
      </c>
      <c r="O124" s="50"/>
      <c r="P124">
        <v>145</v>
      </c>
    </row>
    <row r="125" spans="1:29" x14ac:dyDescent="0.3">
      <c r="A125" s="35" t="s">
        <v>333</v>
      </c>
      <c r="B125" s="30">
        <v>-7</v>
      </c>
      <c r="C125" s="30">
        <v>-7</v>
      </c>
      <c r="D125" s="30">
        <v>-7</v>
      </c>
      <c r="E125" s="30">
        <v>-7</v>
      </c>
      <c r="F125" s="30">
        <v>-7</v>
      </c>
      <c r="G125" s="30">
        <v>-7</v>
      </c>
      <c r="H125" s="30">
        <v>-7</v>
      </c>
      <c r="I125" s="30">
        <v>0</v>
      </c>
      <c r="J125" s="30">
        <v>-7</v>
      </c>
      <c r="K125" s="30">
        <v>-7</v>
      </c>
      <c r="L125" s="30">
        <v>-7</v>
      </c>
      <c r="M125" s="30">
        <v>-7</v>
      </c>
      <c r="N125" s="30">
        <v>-7</v>
      </c>
      <c r="O125" s="50"/>
      <c r="P125">
        <v>47</v>
      </c>
      <c r="R125">
        <v>2</v>
      </c>
      <c r="T125">
        <v>1</v>
      </c>
      <c r="Y125">
        <v>1</v>
      </c>
    </row>
    <row r="126" spans="1:29" x14ac:dyDescent="0.3">
      <c r="A126" s="35" t="s">
        <v>332</v>
      </c>
      <c r="B126" s="30">
        <v>-7</v>
      </c>
      <c r="C126" s="30">
        <v>-7</v>
      </c>
      <c r="D126" s="30">
        <v>-7</v>
      </c>
      <c r="E126" s="30">
        <v>-7</v>
      </c>
      <c r="F126" s="30">
        <v>-7</v>
      </c>
      <c r="G126" s="30">
        <v>-7</v>
      </c>
      <c r="H126" s="30">
        <v>0</v>
      </c>
      <c r="I126" s="30">
        <v>-1</v>
      </c>
      <c r="J126" s="30">
        <v>-7</v>
      </c>
      <c r="K126" s="30">
        <v>-7</v>
      </c>
      <c r="L126" s="30">
        <v>-7</v>
      </c>
      <c r="M126" s="30">
        <v>-7</v>
      </c>
      <c r="N126" s="30">
        <v>-7</v>
      </c>
      <c r="O126" s="50"/>
      <c r="AC126">
        <v>25</v>
      </c>
    </row>
    <row r="127" spans="1:29" x14ac:dyDescent="0.3">
      <c r="A127" s="35" t="s">
        <v>331</v>
      </c>
      <c r="B127" s="30">
        <v>-7</v>
      </c>
      <c r="C127" s="30">
        <v>5</v>
      </c>
      <c r="D127" s="30">
        <v>-7</v>
      </c>
      <c r="E127" s="30">
        <v>-7</v>
      </c>
      <c r="F127" s="30">
        <v>-7</v>
      </c>
      <c r="G127" s="30">
        <v>-7</v>
      </c>
      <c r="H127" s="30">
        <v>-7</v>
      </c>
      <c r="I127" s="30">
        <v>-7</v>
      </c>
      <c r="J127" s="30">
        <v>-7</v>
      </c>
      <c r="K127" s="30">
        <v>5</v>
      </c>
      <c r="L127" s="30">
        <v>-7</v>
      </c>
      <c r="M127" s="30">
        <v>-7</v>
      </c>
      <c r="N127" s="30">
        <v>-7</v>
      </c>
      <c r="O127" s="50"/>
      <c r="AC127">
        <v>78</v>
      </c>
    </row>
    <row r="128" spans="1:29" x14ac:dyDescent="0.3">
      <c r="A128" s="35" t="s">
        <v>330</v>
      </c>
      <c r="B128" s="30">
        <v>-7</v>
      </c>
      <c r="C128" s="30">
        <v>0</v>
      </c>
      <c r="D128" s="30">
        <v>-7</v>
      </c>
      <c r="E128" s="30">
        <v>-7</v>
      </c>
      <c r="F128" s="30">
        <v>-7</v>
      </c>
      <c r="G128" s="30">
        <v>-7</v>
      </c>
      <c r="H128" s="30">
        <v>-7</v>
      </c>
      <c r="I128" s="30">
        <v>-7</v>
      </c>
      <c r="J128" s="30">
        <v>-7</v>
      </c>
      <c r="K128" s="30">
        <v>2</v>
      </c>
      <c r="L128" s="30">
        <v>-7</v>
      </c>
      <c r="M128" s="30">
        <v>-7</v>
      </c>
      <c r="N128" s="30">
        <v>-7</v>
      </c>
      <c r="O128" s="50"/>
      <c r="AC128">
        <v>60</v>
      </c>
    </row>
    <row r="129" spans="1:29" x14ac:dyDescent="0.3">
      <c r="A129" s="35" t="s">
        <v>329</v>
      </c>
      <c r="B129" s="30">
        <v>-7</v>
      </c>
      <c r="C129" s="30">
        <v>-7</v>
      </c>
      <c r="D129" s="30">
        <v>-7</v>
      </c>
      <c r="E129" s="30">
        <v>-7</v>
      </c>
      <c r="F129" s="30">
        <v>-7</v>
      </c>
      <c r="G129" s="30">
        <v>-7</v>
      </c>
      <c r="H129" s="30">
        <v>-7</v>
      </c>
      <c r="I129" s="30">
        <v>-7</v>
      </c>
      <c r="J129" s="30">
        <v>-7</v>
      </c>
      <c r="K129" s="30">
        <v>-7</v>
      </c>
      <c r="L129" s="30">
        <v>2</v>
      </c>
      <c r="M129" s="30">
        <v>-3</v>
      </c>
      <c r="N129" s="30">
        <v>-7</v>
      </c>
      <c r="O129" s="50"/>
      <c r="P129">
        <v>32</v>
      </c>
      <c r="Y129">
        <v>2</v>
      </c>
      <c r="AA129">
        <v>1</v>
      </c>
    </row>
    <row r="130" spans="1:29" x14ac:dyDescent="0.3">
      <c r="A130" s="35" t="s">
        <v>328</v>
      </c>
      <c r="B130" s="30">
        <v>-7</v>
      </c>
      <c r="C130" s="30">
        <v>-7</v>
      </c>
      <c r="D130" s="30">
        <v>-7</v>
      </c>
      <c r="E130" s="30">
        <v>-7</v>
      </c>
      <c r="F130" s="30">
        <v>-7</v>
      </c>
      <c r="G130" s="30">
        <v>-7</v>
      </c>
      <c r="H130" s="30">
        <v>-7</v>
      </c>
      <c r="I130" s="30">
        <v>-7</v>
      </c>
      <c r="J130" s="30">
        <v>-7</v>
      </c>
      <c r="K130" s="30">
        <v>-7</v>
      </c>
      <c r="L130" s="30">
        <v>-7</v>
      </c>
      <c r="M130" s="30">
        <v>-7</v>
      </c>
      <c r="N130" s="30">
        <v>-7</v>
      </c>
      <c r="O130" s="50"/>
    </row>
    <row r="131" spans="1:29" x14ac:dyDescent="0.3">
      <c r="A131" s="35" t="s">
        <v>327</v>
      </c>
      <c r="B131" s="30">
        <v>-7</v>
      </c>
      <c r="C131" s="30">
        <v>-7</v>
      </c>
      <c r="D131" s="30">
        <v>-7</v>
      </c>
      <c r="E131" s="30">
        <v>-7</v>
      </c>
      <c r="F131" s="30">
        <v>-7</v>
      </c>
      <c r="G131" s="30">
        <v>-7</v>
      </c>
      <c r="H131" s="30">
        <v>-7</v>
      </c>
      <c r="I131" s="30">
        <v>-7</v>
      </c>
      <c r="J131" s="30">
        <v>-7</v>
      </c>
      <c r="K131" s="30">
        <v>-7</v>
      </c>
      <c r="L131" s="30">
        <v>-7</v>
      </c>
      <c r="M131" s="30">
        <v>-7</v>
      </c>
      <c r="N131" s="30">
        <v>-7</v>
      </c>
      <c r="O131" s="50"/>
    </row>
    <row r="132" spans="1:29" x14ac:dyDescent="0.3">
      <c r="A132" s="35" t="s">
        <v>326</v>
      </c>
      <c r="B132" s="30">
        <v>-7</v>
      </c>
      <c r="C132" s="30">
        <v>-7</v>
      </c>
      <c r="D132" s="30">
        <v>-7</v>
      </c>
      <c r="E132" s="30">
        <v>-7</v>
      </c>
      <c r="F132" s="30">
        <v>-7</v>
      </c>
      <c r="G132" s="30">
        <v>-7</v>
      </c>
      <c r="H132" s="30">
        <v>-7</v>
      </c>
      <c r="I132" s="30">
        <v>-7</v>
      </c>
      <c r="J132" s="30">
        <v>-7</v>
      </c>
      <c r="K132" s="30">
        <v>-7</v>
      </c>
      <c r="L132" s="30">
        <v>-7</v>
      </c>
      <c r="M132" s="30">
        <v>-7</v>
      </c>
      <c r="N132" s="30">
        <v>-7</v>
      </c>
      <c r="O132" s="50"/>
    </row>
    <row r="133" spans="1:29" x14ac:dyDescent="0.3">
      <c r="A133" s="35" t="s">
        <v>325</v>
      </c>
      <c r="B133" s="30">
        <v>-7</v>
      </c>
      <c r="C133" s="30">
        <v>-7</v>
      </c>
      <c r="D133" s="30">
        <v>-7</v>
      </c>
      <c r="E133" s="30">
        <v>-7</v>
      </c>
      <c r="F133" s="30">
        <v>-7</v>
      </c>
      <c r="G133" s="30">
        <v>-7</v>
      </c>
      <c r="H133" s="30">
        <v>-7</v>
      </c>
      <c r="I133" s="30">
        <v>-7</v>
      </c>
      <c r="J133" s="30">
        <v>-7</v>
      </c>
      <c r="K133" s="30">
        <v>-7</v>
      </c>
      <c r="L133" s="30">
        <v>-7</v>
      </c>
      <c r="M133" s="30">
        <v>-7</v>
      </c>
      <c r="N133" s="30">
        <v>-7</v>
      </c>
      <c r="O133" s="50"/>
    </row>
    <row r="134" spans="1:29" x14ac:dyDescent="0.3">
      <c r="A134" s="35" t="s">
        <v>324</v>
      </c>
      <c r="B134" s="30">
        <v>-7</v>
      </c>
      <c r="C134" s="30">
        <v>-7</v>
      </c>
      <c r="D134" s="30">
        <v>-7</v>
      </c>
      <c r="E134" s="30">
        <v>-7</v>
      </c>
      <c r="F134" s="30">
        <v>-7</v>
      </c>
      <c r="G134" s="30">
        <v>-7</v>
      </c>
      <c r="H134" s="30">
        <v>-7</v>
      </c>
      <c r="I134" s="30">
        <v>-7</v>
      </c>
      <c r="J134" s="30">
        <v>-7</v>
      </c>
      <c r="K134" s="30">
        <v>-7</v>
      </c>
      <c r="L134" s="30">
        <v>-7</v>
      </c>
      <c r="M134" s="30">
        <v>-7</v>
      </c>
      <c r="N134" s="30">
        <v>-7</v>
      </c>
      <c r="O134" s="50"/>
    </row>
    <row r="135" spans="1:29" x14ac:dyDescent="0.3">
      <c r="A135" s="35" t="s">
        <v>323</v>
      </c>
      <c r="B135" s="30">
        <v>-7</v>
      </c>
      <c r="C135" s="30">
        <v>-7</v>
      </c>
      <c r="D135" s="30">
        <v>-7</v>
      </c>
      <c r="E135" s="30">
        <v>-7</v>
      </c>
      <c r="F135" s="30">
        <v>-7</v>
      </c>
      <c r="G135" s="30">
        <v>-7</v>
      </c>
      <c r="H135" s="30">
        <v>-7</v>
      </c>
      <c r="I135" s="30">
        <v>-7</v>
      </c>
      <c r="J135" s="30">
        <v>-7</v>
      </c>
      <c r="K135" s="30">
        <v>-7</v>
      </c>
      <c r="L135" s="30">
        <v>-7</v>
      </c>
      <c r="M135" s="30">
        <v>-7</v>
      </c>
      <c r="N135" s="30">
        <v>-7</v>
      </c>
      <c r="O135" s="50"/>
    </row>
    <row r="136" spans="1:29" x14ac:dyDescent="0.3">
      <c r="A136" s="35" t="s">
        <v>322</v>
      </c>
      <c r="B136" s="30">
        <v>-7</v>
      </c>
      <c r="C136" s="30">
        <v>-7</v>
      </c>
      <c r="D136" s="30">
        <v>-7</v>
      </c>
      <c r="E136" s="30">
        <v>-7</v>
      </c>
      <c r="F136" s="30">
        <v>-7</v>
      </c>
      <c r="G136" s="30">
        <v>-7</v>
      </c>
      <c r="H136" s="30">
        <v>-7</v>
      </c>
      <c r="I136" s="30">
        <v>-7</v>
      </c>
      <c r="J136" s="30">
        <v>-7</v>
      </c>
      <c r="K136" s="30">
        <v>-7</v>
      </c>
      <c r="L136" s="30">
        <v>-7</v>
      </c>
      <c r="M136" s="30">
        <v>0</v>
      </c>
      <c r="N136" s="30">
        <v>-7</v>
      </c>
      <c r="O136" s="50"/>
      <c r="P136">
        <v>27</v>
      </c>
      <c r="Y136">
        <v>1</v>
      </c>
      <c r="AA136">
        <v>1</v>
      </c>
    </row>
    <row r="137" spans="1:29" x14ac:dyDescent="0.3">
      <c r="A137" s="35" t="s">
        <v>321</v>
      </c>
      <c r="B137" s="30">
        <v>-7</v>
      </c>
      <c r="C137" s="30">
        <v>-7</v>
      </c>
      <c r="D137" s="30">
        <v>-7</v>
      </c>
      <c r="E137" s="30">
        <v>-7</v>
      </c>
      <c r="F137" s="30">
        <v>-7</v>
      </c>
      <c r="G137" s="30">
        <v>-7</v>
      </c>
      <c r="H137" s="30">
        <v>-7</v>
      </c>
      <c r="I137" s="30">
        <v>-7</v>
      </c>
      <c r="J137" s="30">
        <v>-7</v>
      </c>
      <c r="K137" s="30">
        <v>5</v>
      </c>
      <c r="L137" s="30">
        <v>-7</v>
      </c>
      <c r="M137" s="30">
        <v>-7</v>
      </c>
      <c r="N137" s="30">
        <v>-7</v>
      </c>
      <c r="O137" s="50"/>
      <c r="AC137">
        <v>28</v>
      </c>
    </row>
    <row r="138" spans="1:29" x14ac:dyDescent="0.3">
      <c r="A138" s="35" t="s">
        <v>320</v>
      </c>
      <c r="B138" s="30">
        <v>-7</v>
      </c>
      <c r="C138" s="30">
        <v>-7</v>
      </c>
      <c r="D138" s="30">
        <v>-7</v>
      </c>
      <c r="E138" s="30">
        <v>-7</v>
      </c>
      <c r="F138" s="30">
        <v>-7</v>
      </c>
      <c r="G138" s="30">
        <v>-7</v>
      </c>
      <c r="H138" s="30">
        <v>-3</v>
      </c>
      <c r="I138" s="30">
        <v>-7</v>
      </c>
      <c r="J138" s="30">
        <v>-7</v>
      </c>
      <c r="K138" s="30">
        <v>-7</v>
      </c>
      <c r="L138" s="30">
        <v>-7</v>
      </c>
      <c r="M138" s="30">
        <v>-7</v>
      </c>
      <c r="N138" s="30">
        <v>-7</v>
      </c>
      <c r="O138" s="50"/>
      <c r="AC138">
        <v>25</v>
      </c>
    </row>
    <row r="139" spans="1:29" x14ac:dyDescent="0.3">
      <c r="A139" s="35" t="s">
        <v>319</v>
      </c>
      <c r="B139" s="30">
        <v>-7</v>
      </c>
      <c r="C139" s="30">
        <v>-7</v>
      </c>
      <c r="D139" s="30">
        <v>-7</v>
      </c>
      <c r="E139" s="30">
        <v>-7</v>
      </c>
      <c r="F139" s="30">
        <v>-7</v>
      </c>
      <c r="G139" s="30">
        <v>-7</v>
      </c>
      <c r="H139" s="30">
        <v>-7</v>
      </c>
      <c r="I139" s="30">
        <v>-7</v>
      </c>
      <c r="J139" s="30">
        <v>-7</v>
      </c>
      <c r="K139" s="30">
        <v>-7</v>
      </c>
      <c r="L139" s="30">
        <v>-7</v>
      </c>
      <c r="M139" s="30">
        <v>-7</v>
      </c>
      <c r="N139" s="30">
        <v>-7</v>
      </c>
      <c r="O139" s="50"/>
      <c r="X139">
        <v>1</v>
      </c>
      <c r="AC139">
        <v>80</v>
      </c>
    </row>
    <row r="140" spans="1:29" x14ac:dyDescent="0.3">
      <c r="A140" s="35" t="s">
        <v>318</v>
      </c>
      <c r="B140" s="30">
        <v>-7</v>
      </c>
      <c r="C140" s="30">
        <v>-7</v>
      </c>
      <c r="D140" s="30">
        <v>-7</v>
      </c>
      <c r="E140" s="30">
        <v>-7</v>
      </c>
      <c r="F140" s="30">
        <v>-7</v>
      </c>
      <c r="G140" s="30">
        <v>-7</v>
      </c>
      <c r="H140" s="30">
        <v>-3</v>
      </c>
      <c r="I140" s="30">
        <v>-7</v>
      </c>
      <c r="J140" s="30">
        <v>-7</v>
      </c>
      <c r="K140" s="30">
        <v>-7</v>
      </c>
      <c r="L140" s="30">
        <v>-7</v>
      </c>
      <c r="M140" s="30">
        <v>-7</v>
      </c>
      <c r="N140" s="30">
        <v>-7</v>
      </c>
      <c r="O140" s="50"/>
      <c r="AC140">
        <v>40</v>
      </c>
    </row>
    <row r="141" spans="1:29" x14ac:dyDescent="0.3">
      <c r="A141" s="35" t="s">
        <v>317</v>
      </c>
      <c r="B141" s="30">
        <v>-7</v>
      </c>
      <c r="C141" s="30">
        <v>-7</v>
      </c>
      <c r="D141" s="30">
        <v>-7</v>
      </c>
      <c r="E141" s="30">
        <v>-7</v>
      </c>
      <c r="F141" s="30">
        <v>-7</v>
      </c>
      <c r="G141" s="30">
        <v>-7</v>
      </c>
      <c r="H141" s="30">
        <v>-7</v>
      </c>
      <c r="I141" s="30">
        <v>-7</v>
      </c>
      <c r="J141" s="30">
        <v>-7</v>
      </c>
      <c r="K141" s="30">
        <v>-3</v>
      </c>
      <c r="L141" s="30">
        <v>-7</v>
      </c>
      <c r="M141" s="30">
        <v>-7</v>
      </c>
      <c r="N141" s="30">
        <v>-7</v>
      </c>
      <c r="O141" s="50"/>
      <c r="AC141">
        <v>50</v>
      </c>
    </row>
    <row r="142" spans="1:29" x14ac:dyDescent="0.3">
      <c r="A142" s="35" t="s">
        <v>316</v>
      </c>
      <c r="B142" s="30">
        <v>-7</v>
      </c>
      <c r="C142" s="30">
        <v>-7</v>
      </c>
      <c r="D142" s="30">
        <v>-7</v>
      </c>
      <c r="E142" s="30">
        <v>-7</v>
      </c>
      <c r="F142" s="30">
        <v>-7</v>
      </c>
      <c r="G142" s="30">
        <v>-7</v>
      </c>
      <c r="H142" s="30">
        <v>0</v>
      </c>
      <c r="I142" s="30">
        <v>1</v>
      </c>
      <c r="J142" s="30">
        <v>-7</v>
      </c>
      <c r="K142" s="30">
        <v>-7</v>
      </c>
      <c r="L142" s="30">
        <v>-7</v>
      </c>
      <c r="M142" s="30">
        <v>-7</v>
      </c>
      <c r="N142" s="30">
        <v>-7</v>
      </c>
      <c r="O142" s="50"/>
      <c r="AC142">
        <v>34</v>
      </c>
    </row>
    <row r="143" spans="1:29" x14ac:dyDescent="0.3">
      <c r="A143" s="35" t="s">
        <v>315</v>
      </c>
      <c r="B143" s="30">
        <v>-7</v>
      </c>
      <c r="C143" s="30">
        <v>-7</v>
      </c>
      <c r="D143" s="30">
        <v>-7</v>
      </c>
      <c r="E143" s="30">
        <v>-7</v>
      </c>
      <c r="F143" s="30">
        <v>-7</v>
      </c>
      <c r="G143" s="30">
        <v>-7</v>
      </c>
      <c r="H143" s="30">
        <v>-7</v>
      </c>
      <c r="I143" s="30">
        <v>-7</v>
      </c>
      <c r="J143" s="30">
        <v>-7</v>
      </c>
      <c r="K143" s="30">
        <v>-7</v>
      </c>
      <c r="L143" s="30">
        <v>5</v>
      </c>
      <c r="M143" s="30">
        <v>-7</v>
      </c>
      <c r="N143" s="30">
        <v>-7</v>
      </c>
      <c r="O143" s="50"/>
      <c r="Y143">
        <v>1</v>
      </c>
      <c r="AA143">
        <v>1</v>
      </c>
      <c r="AB143">
        <v>5</v>
      </c>
    </row>
    <row r="144" spans="1:29" x14ac:dyDescent="0.3">
      <c r="A144" s="35" t="s">
        <v>314</v>
      </c>
      <c r="B144" s="30">
        <v>-7</v>
      </c>
      <c r="C144" s="30">
        <v>-7</v>
      </c>
      <c r="D144" s="30">
        <v>-7</v>
      </c>
      <c r="E144" s="30">
        <v>-7</v>
      </c>
      <c r="F144" s="30">
        <v>-7</v>
      </c>
      <c r="G144" s="30">
        <v>-7</v>
      </c>
      <c r="H144" s="30">
        <v>-7</v>
      </c>
      <c r="I144" s="30">
        <v>-7</v>
      </c>
      <c r="J144" s="30">
        <v>-7</v>
      </c>
      <c r="K144" s="30">
        <v>-7</v>
      </c>
      <c r="L144" s="30">
        <v>2</v>
      </c>
      <c r="M144" s="30">
        <v>-7</v>
      </c>
      <c r="N144" s="30">
        <v>-7</v>
      </c>
      <c r="O144" s="50"/>
      <c r="P144">
        <v>13</v>
      </c>
      <c r="Y144">
        <v>1</v>
      </c>
      <c r="AA144">
        <v>1</v>
      </c>
    </row>
    <row r="145" spans="1:29" x14ac:dyDescent="0.3">
      <c r="A145" s="35" t="s">
        <v>313</v>
      </c>
      <c r="B145" s="30">
        <v>-7</v>
      </c>
      <c r="C145" s="30">
        <v>-7</v>
      </c>
      <c r="D145" s="30">
        <v>-7</v>
      </c>
      <c r="E145" s="30">
        <v>-7</v>
      </c>
      <c r="F145" s="30">
        <v>-7</v>
      </c>
      <c r="G145" s="30">
        <v>-7</v>
      </c>
      <c r="H145" s="30">
        <v>-7</v>
      </c>
      <c r="I145" s="30">
        <v>-7</v>
      </c>
      <c r="J145" s="30">
        <v>-7</v>
      </c>
      <c r="K145" s="30">
        <v>-7</v>
      </c>
      <c r="L145" s="30">
        <v>-7</v>
      </c>
      <c r="M145" s="30">
        <v>-7</v>
      </c>
      <c r="N145" s="30">
        <v>-7</v>
      </c>
      <c r="O145" s="50"/>
      <c r="Y145">
        <v>1</v>
      </c>
      <c r="AA145">
        <v>2</v>
      </c>
    </row>
    <row r="146" spans="1:29" x14ac:dyDescent="0.3">
      <c r="A146" s="35" t="s">
        <v>312</v>
      </c>
      <c r="B146" s="30">
        <v>-7</v>
      </c>
      <c r="C146" s="30">
        <v>-7</v>
      </c>
      <c r="D146" s="30">
        <v>-7</v>
      </c>
      <c r="E146" s="30">
        <v>-7</v>
      </c>
      <c r="F146" s="30">
        <v>-7</v>
      </c>
      <c r="G146" s="30">
        <v>-7</v>
      </c>
      <c r="H146" s="30">
        <v>-7</v>
      </c>
      <c r="I146" s="30">
        <v>-7</v>
      </c>
      <c r="J146" s="30">
        <v>-7</v>
      </c>
      <c r="K146" s="30">
        <v>-7</v>
      </c>
      <c r="L146" s="30">
        <v>-7</v>
      </c>
      <c r="M146" s="30">
        <v>-7</v>
      </c>
      <c r="N146" s="30">
        <v>-7</v>
      </c>
      <c r="O146" s="50"/>
      <c r="AC146">
        <v>20</v>
      </c>
    </row>
    <row r="147" spans="1:29" x14ac:dyDescent="0.3">
      <c r="A147" s="35" t="s">
        <v>311</v>
      </c>
      <c r="B147" s="30">
        <v>-7</v>
      </c>
      <c r="C147" s="30">
        <v>-7</v>
      </c>
      <c r="D147" s="30">
        <v>-7</v>
      </c>
      <c r="E147" s="30">
        <v>-7</v>
      </c>
      <c r="F147" s="30">
        <v>-7</v>
      </c>
      <c r="G147" s="30">
        <v>-7</v>
      </c>
      <c r="H147" s="30">
        <v>-7</v>
      </c>
      <c r="I147" s="30">
        <v>-7</v>
      </c>
      <c r="J147" s="30">
        <v>-7</v>
      </c>
      <c r="K147" s="30">
        <v>-7</v>
      </c>
      <c r="L147" s="30">
        <v>-7</v>
      </c>
      <c r="M147" s="30">
        <v>-7</v>
      </c>
      <c r="N147" s="30">
        <v>-7</v>
      </c>
      <c r="O147" s="50"/>
      <c r="AC147">
        <v>40</v>
      </c>
    </row>
    <row r="148" spans="1:29" x14ac:dyDescent="0.3">
      <c r="A148" s="35" t="s">
        <v>310</v>
      </c>
      <c r="B148" s="30">
        <v>-7</v>
      </c>
      <c r="C148" s="30">
        <v>-7</v>
      </c>
      <c r="D148" s="30">
        <v>-7</v>
      </c>
      <c r="E148" s="30">
        <v>-7</v>
      </c>
      <c r="F148" s="30">
        <v>-7</v>
      </c>
      <c r="G148" s="30">
        <v>-7</v>
      </c>
      <c r="H148" s="30">
        <v>-7</v>
      </c>
      <c r="I148" s="30">
        <v>-7</v>
      </c>
      <c r="J148" s="30">
        <v>-7</v>
      </c>
      <c r="K148" s="30">
        <v>-7</v>
      </c>
      <c r="L148" s="30">
        <v>0</v>
      </c>
      <c r="M148" s="30">
        <v>-7</v>
      </c>
      <c r="N148" s="30">
        <v>-7</v>
      </c>
      <c r="O148" s="50"/>
      <c r="P148">
        <v>50</v>
      </c>
      <c r="Y148">
        <v>1</v>
      </c>
      <c r="AA148">
        <v>2</v>
      </c>
    </row>
    <row r="149" spans="1:29" x14ac:dyDescent="0.3">
      <c r="A149" s="35" t="s">
        <v>309</v>
      </c>
      <c r="B149" s="30">
        <v>-7</v>
      </c>
      <c r="C149" s="30">
        <v>-7</v>
      </c>
      <c r="D149" s="30">
        <v>-7</v>
      </c>
      <c r="E149" s="30">
        <v>-7</v>
      </c>
      <c r="F149" s="30">
        <v>-7</v>
      </c>
      <c r="G149" s="30">
        <v>-7</v>
      </c>
      <c r="H149" s="30">
        <v>-7</v>
      </c>
      <c r="I149" s="30">
        <v>-7</v>
      </c>
      <c r="J149" s="30">
        <v>-7</v>
      </c>
      <c r="K149" s="30">
        <v>-7</v>
      </c>
      <c r="L149" s="30">
        <v>0</v>
      </c>
      <c r="M149" s="30">
        <v>-7</v>
      </c>
      <c r="N149" s="30">
        <v>-7</v>
      </c>
      <c r="O149" s="50"/>
      <c r="P149">
        <v>40</v>
      </c>
      <c r="Y149">
        <v>1</v>
      </c>
      <c r="AA149">
        <v>2</v>
      </c>
    </row>
    <row r="150" spans="1:29" x14ac:dyDescent="0.3">
      <c r="A150" s="35" t="s">
        <v>308</v>
      </c>
      <c r="B150" s="30">
        <v>-7</v>
      </c>
      <c r="C150" s="30">
        <v>-7</v>
      </c>
      <c r="D150" s="30">
        <v>-7</v>
      </c>
      <c r="E150" s="30">
        <v>-7</v>
      </c>
      <c r="F150" s="30">
        <v>-7</v>
      </c>
      <c r="G150" s="30">
        <v>-7</v>
      </c>
      <c r="H150" s="30">
        <v>-7</v>
      </c>
      <c r="I150" s="30">
        <v>-7</v>
      </c>
      <c r="J150" s="30">
        <v>-7</v>
      </c>
      <c r="K150" s="30">
        <v>-7</v>
      </c>
      <c r="L150" s="30">
        <v>0</v>
      </c>
      <c r="M150" s="30">
        <v>-7</v>
      </c>
      <c r="N150" s="30">
        <v>-7</v>
      </c>
      <c r="O150" s="50"/>
      <c r="P150">
        <v>30</v>
      </c>
      <c r="Y150">
        <v>1</v>
      </c>
      <c r="AA150">
        <v>2</v>
      </c>
    </row>
    <row r="151" spans="1:29" x14ac:dyDescent="0.3">
      <c r="A151" s="35" t="s">
        <v>307</v>
      </c>
      <c r="B151" s="30">
        <v>-7</v>
      </c>
      <c r="C151" s="30">
        <v>-7</v>
      </c>
      <c r="D151" s="30">
        <v>-7</v>
      </c>
      <c r="E151" s="30">
        <v>-7</v>
      </c>
      <c r="F151" s="30">
        <v>-7</v>
      </c>
      <c r="G151" s="30">
        <v>-7</v>
      </c>
      <c r="H151" s="30">
        <v>-7</v>
      </c>
      <c r="I151" s="30">
        <v>-7</v>
      </c>
      <c r="J151" s="30">
        <v>-7</v>
      </c>
      <c r="K151" s="30">
        <v>-7</v>
      </c>
      <c r="L151" s="30">
        <v>0</v>
      </c>
      <c r="M151" s="30">
        <v>-7</v>
      </c>
      <c r="N151" s="30">
        <v>-7</v>
      </c>
      <c r="O151" s="50"/>
      <c r="P151">
        <v>24</v>
      </c>
      <c r="Y151">
        <v>1</v>
      </c>
      <c r="AA151">
        <v>2</v>
      </c>
    </row>
    <row r="152" spans="1:29" x14ac:dyDescent="0.3">
      <c r="A152" s="35" t="s">
        <v>306</v>
      </c>
      <c r="B152" s="30">
        <v>-7</v>
      </c>
      <c r="C152" s="30">
        <v>-7</v>
      </c>
      <c r="D152" s="30">
        <v>-7</v>
      </c>
      <c r="E152" s="30">
        <v>-7</v>
      </c>
      <c r="F152" s="30">
        <v>-7</v>
      </c>
      <c r="G152" s="30">
        <v>-7</v>
      </c>
      <c r="H152" s="30">
        <v>-7</v>
      </c>
      <c r="I152" s="30">
        <v>-7</v>
      </c>
      <c r="J152" s="30">
        <v>-7</v>
      </c>
      <c r="K152" s="30">
        <v>-7</v>
      </c>
      <c r="L152" s="30">
        <v>0</v>
      </c>
      <c r="M152" s="30">
        <v>-7</v>
      </c>
      <c r="N152" s="30">
        <v>-7</v>
      </c>
      <c r="O152" s="50"/>
      <c r="P152">
        <v>18</v>
      </c>
      <c r="Y152">
        <v>1</v>
      </c>
      <c r="AA152">
        <v>2</v>
      </c>
    </row>
    <row r="153" spans="1:29" x14ac:dyDescent="0.3">
      <c r="A153" s="35" t="s">
        <v>305</v>
      </c>
      <c r="B153" s="30">
        <v>-7</v>
      </c>
      <c r="C153" s="30">
        <v>-7</v>
      </c>
      <c r="D153" s="30">
        <v>-7</v>
      </c>
      <c r="E153" s="30">
        <v>-7</v>
      </c>
      <c r="F153" s="30">
        <v>-7</v>
      </c>
      <c r="G153" s="30">
        <v>-7</v>
      </c>
      <c r="H153" s="30">
        <v>-7</v>
      </c>
      <c r="I153" s="30">
        <v>-7</v>
      </c>
      <c r="J153" s="30">
        <v>-7</v>
      </c>
      <c r="K153" s="30">
        <v>-7</v>
      </c>
      <c r="L153" s="30">
        <v>0</v>
      </c>
      <c r="M153" s="30">
        <v>-7</v>
      </c>
      <c r="N153" s="30">
        <v>-7</v>
      </c>
      <c r="O153" s="50"/>
      <c r="P153">
        <v>14</v>
      </c>
      <c r="Y153">
        <v>1</v>
      </c>
      <c r="AA153">
        <v>2</v>
      </c>
    </row>
    <row r="154" spans="1:29" x14ac:dyDescent="0.3">
      <c r="A154" s="35" t="s">
        <v>304</v>
      </c>
      <c r="B154" s="30">
        <v>-7</v>
      </c>
      <c r="C154" s="30">
        <v>-7</v>
      </c>
      <c r="D154" s="30">
        <v>-7</v>
      </c>
      <c r="E154" s="30">
        <v>-7</v>
      </c>
      <c r="F154" s="30">
        <v>-7</v>
      </c>
      <c r="G154" s="30">
        <v>-7</v>
      </c>
      <c r="H154" s="30">
        <v>-7</v>
      </c>
      <c r="I154" s="30">
        <v>-7</v>
      </c>
      <c r="J154" s="30">
        <v>-7</v>
      </c>
      <c r="K154" s="30">
        <v>-7</v>
      </c>
      <c r="L154" s="30">
        <v>-7</v>
      </c>
      <c r="M154" s="30">
        <v>0</v>
      </c>
      <c r="N154" s="30">
        <v>-7</v>
      </c>
      <c r="O154" s="50"/>
      <c r="P154">
        <v>15</v>
      </c>
      <c r="R154">
        <v>1</v>
      </c>
      <c r="U154">
        <v>2</v>
      </c>
      <c r="Y154">
        <v>2</v>
      </c>
      <c r="AA154">
        <v>1</v>
      </c>
    </row>
    <row r="155" spans="1:29" x14ac:dyDescent="0.3">
      <c r="A155" s="35" t="s">
        <v>303</v>
      </c>
      <c r="B155" s="30">
        <v>-7</v>
      </c>
      <c r="C155" s="30">
        <v>-7</v>
      </c>
      <c r="D155" s="30">
        <v>-7</v>
      </c>
      <c r="E155" s="30">
        <v>-7</v>
      </c>
      <c r="F155" s="30">
        <v>-7</v>
      </c>
      <c r="G155" s="30">
        <v>-7</v>
      </c>
      <c r="H155" s="30">
        <v>-7</v>
      </c>
      <c r="I155" s="30">
        <v>-7</v>
      </c>
      <c r="J155" s="30">
        <v>-7</v>
      </c>
      <c r="K155" s="30">
        <v>-7</v>
      </c>
      <c r="L155" s="30">
        <v>-7</v>
      </c>
      <c r="M155" s="30">
        <v>0</v>
      </c>
      <c r="N155" s="30">
        <v>-7</v>
      </c>
      <c r="O155" s="50"/>
      <c r="P155">
        <v>17</v>
      </c>
      <c r="R155">
        <v>1</v>
      </c>
      <c r="U155">
        <v>2</v>
      </c>
      <c r="Y155">
        <v>1</v>
      </c>
      <c r="AA155">
        <v>1</v>
      </c>
    </row>
    <row r="156" spans="1:29" x14ac:dyDescent="0.3">
      <c r="A156" s="35" t="s">
        <v>302</v>
      </c>
      <c r="B156" s="30">
        <v>-7</v>
      </c>
      <c r="C156" s="30">
        <v>-7</v>
      </c>
      <c r="D156" s="30">
        <v>-7</v>
      </c>
      <c r="E156" s="30">
        <v>-7</v>
      </c>
      <c r="F156" s="30">
        <v>-7</v>
      </c>
      <c r="G156" s="30">
        <v>-7</v>
      </c>
      <c r="H156" s="30">
        <v>-7</v>
      </c>
      <c r="I156" s="30">
        <v>-7</v>
      </c>
      <c r="J156" s="30">
        <v>-7</v>
      </c>
      <c r="K156" s="30">
        <v>-7</v>
      </c>
      <c r="L156" s="30">
        <v>-7</v>
      </c>
      <c r="M156" s="30">
        <v>5</v>
      </c>
      <c r="N156" s="30">
        <v>-7</v>
      </c>
      <c r="O156" s="50"/>
      <c r="P156">
        <v>14</v>
      </c>
      <c r="U156">
        <v>1</v>
      </c>
      <c r="Y156">
        <v>1</v>
      </c>
      <c r="AA156">
        <v>1</v>
      </c>
    </row>
    <row r="157" spans="1:29" x14ac:dyDescent="0.3">
      <c r="A157" s="35" t="s">
        <v>301</v>
      </c>
      <c r="B157" s="30">
        <v>-7</v>
      </c>
      <c r="C157" s="30">
        <v>-7</v>
      </c>
      <c r="D157" s="30">
        <v>-7</v>
      </c>
      <c r="E157" s="30">
        <v>-7</v>
      </c>
      <c r="F157" s="30">
        <v>-7</v>
      </c>
      <c r="G157" s="30">
        <v>-7</v>
      </c>
      <c r="H157" s="30">
        <v>-7</v>
      </c>
      <c r="I157" s="30">
        <v>-7</v>
      </c>
      <c r="J157" s="30">
        <v>-7</v>
      </c>
      <c r="K157" s="30">
        <v>-7</v>
      </c>
      <c r="L157" s="30">
        <v>-7</v>
      </c>
      <c r="M157" s="30">
        <v>2</v>
      </c>
      <c r="N157" s="30">
        <v>-7</v>
      </c>
      <c r="O157" s="50"/>
      <c r="P157">
        <v>20</v>
      </c>
      <c r="U157">
        <v>1</v>
      </c>
      <c r="Y157">
        <v>1</v>
      </c>
      <c r="AA157">
        <v>1</v>
      </c>
    </row>
    <row r="158" spans="1:29" x14ac:dyDescent="0.3">
      <c r="A158" s="35" t="s">
        <v>300</v>
      </c>
      <c r="B158" s="30">
        <v>-7</v>
      </c>
      <c r="C158" s="30">
        <v>-7</v>
      </c>
      <c r="D158" s="30">
        <v>-7</v>
      </c>
      <c r="E158" s="30">
        <v>-7</v>
      </c>
      <c r="F158" s="30">
        <v>-7</v>
      </c>
      <c r="G158" s="30">
        <v>-7</v>
      </c>
      <c r="H158" s="30">
        <v>-7</v>
      </c>
      <c r="I158" s="30">
        <v>-7</v>
      </c>
      <c r="J158" s="30">
        <v>-7</v>
      </c>
      <c r="K158" s="30">
        <v>-7</v>
      </c>
      <c r="L158" s="30">
        <v>-7</v>
      </c>
      <c r="M158" s="30">
        <v>0</v>
      </c>
      <c r="N158" s="30">
        <v>-7</v>
      </c>
      <c r="O158" s="50"/>
      <c r="P158">
        <v>31</v>
      </c>
      <c r="U158">
        <v>1</v>
      </c>
      <c r="Y158">
        <v>2</v>
      </c>
      <c r="AA158">
        <v>1</v>
      </c>
    </row>
    <row r="159" spans="1:29" x14ac:dyDescent="0.3">
      <c r="A159" s="35" t="s">
        <v>299</v>
      </c>
      <c r="B159" s="30">
        <v>-7</v>
      </c>
      <c r="C159" s="30">
        <v>-7</v>
      </c>
      <c r="D159" s="30">
        <v>-7</v>
      </c>
      <c r="E159" s="30">
        <v>-7</v>
      </c>
      <c r="F159" s="30">
        <v>-7</v>
      </c>
      <c r="G159" s="30">
        <v>-7</v>
      </c>
      <c r="H159" s="30">
        <v>-7</v>
      </c>
      <c r="I159" s="30">
        <v>-7</v>
      </c>
      <c r="J159" s="30">
        <v>-7</v>
      </c>
      <c r="K159" s="30">
        <v>-7</v>
      </c>
      <c r="L159" s="30">
        <v>-7</v>
      </c>
      <c r="M159" s="30">
        <v>5</v>
      </c>
      <c r="N159" s="30">
        <v>-7</v>
      </c>
      <c r="O159" s="50"/>
      <c r="P159">
        <v>15</v>
      </c>
      <c r="R159">
        <v>1</v>
      </c>
      <c r="U159">
        <v>1</v>
      </c>
      <c r="Y159">
        <v>2</v>
      </c>
      <c r="AA159">
        <v>1</v>
      </c>
    </row>
    <row r="160" spans="1:29" x14ac:dyDescent="0.3">
      <c r="A160" s="35" t="s">
        <v>298</v>
      </c>
      <c r="B160" s="30">
        <v>-7</v>
      </c>
      <c r="C160" s="30">
        <v>-7</v>
      </c>
      <c r="D160" s="30">
        <v>-7</v>
      </c>
      <c r="E160" s="30">
        <v>-7</v>
      </c>
      <c r="F160" s="30">
        <v>-7</v>
      </c>
      <c r="G160" s="30">
        <v>-7</v>
      </c>
      <c r="H160" s="30">
        <v>-7</v>
      </c>
      <c r="I160" s="30">
        <v>-7</v>
      </c>
      <c r="J160" s="30">
        <v>-7</v>
      </c>
      <c r="K160" s="30">
        <v>-7</v>
      </c>
      <c r="L160" s="30">
        <v>-7</v>
      </c>
      <c r="M160" s="30">
        <v>-7</v>
      </c>
      <c r="N160" s="30">
        <v>-7</v>
      </c>
      <c r="O160" s="50"/>
      <c r="Y160">
        <v>1</v>
      </c>
      <c r="AA160">
        <v>1</v>
      </c>
      <c r="AB160">
        <v>30</v>
      </c>
    </row>
    <row r="161" spans="1:29" x14ac:dyDescent="0.3">
      <c r="A161" s="35" t="s">
        <v>297</v>
      </c>
      <c r="B161" s="30">
        <v>-7</v>
      </c>
      <c r="C161" s="30">
        <v>-7</v>
      </c>
      <c r="D161" s="30">
        <v>-7</v>
      </c>
      <c r="E161" s="30">
        <v>-7</v>
      </c>
      <c r="F161" s="30">
        <v>-7</v>
      </c>
      <c r="G161" s="30">
        <v>-7</v>
      </c>
      <c r="H161" s="30">
        <v>-7</v>
      </c>
      <c r="I161" s="30">
        <v>-7</v>
      </c>
      <c r="J161" s="30">
        <v>-7</v>
      </c>
      <c r="K161" s="30">
        <v>-7</v>
      </c>
      <c r="L161" s="30">
        <v>-7</v>
      </c>
      <c r="M161" s="30">
        <v>-7</v>
      </c>
      <c r="N161" s="30">
        <v>-7</v>
      </c>
      <c r="O161" s="50"/>
      <c r="AC161">
        <v>20</v>
      </c>
    </row>
    <row r="162" spans="1:29" x14ac:dyDescent="0.3">
      <c r="A162" s="35" t="s">
        <v>296</v>
      </c>
      <c r="B162" s="30">
        <v>-7</v>
      </c>
      <c r="C162" s="30">
        <v>-7</v>
      </c>
      <c r="D162" s="30">
        <v>-7</v>
      </c>
      <c r="E162" s="30">
        <v>-7</v>
      </c>
      <c r="F162" s="30">
        <v>-7</v>
      </c>
      <c r="G162" s="30">
        <v>-7</v>
      </c>
      <c r="H162" s="30">
        <v>-7</v>
      </c>
      <c r="I162" s="30">
        <v>-7</v>
      </c>
      <c r="J162" s="30">
        <v>-7</v>
      </c>
      <c r="K162" s="30">
        <v>-7</v>
      </c>
      <c r="L162" s="30">
        <v>-7</v>
      </c>
      <c r="M162" s="30">
        <v>-7</v>
      </c>
      <c r="N162" s="30">
        <v>-7</v>
      </c>
      <c r="O162" s="50"/>
      <c r="AC162">
        <v>10</v>
      </c>
    </row>
    <row r="163" spans="1:29" x14ac:dyDescent="0.3">
      <c r="A163" s="35" t="s">
        <v>295</v>
      </c>
      <c r="B163" s="30">
        <v>-7</v>
      </c>
      <c r="C163" s="30">
        <v>-7</v>
      </c>
      <c r="D163" s="30">
        <v>-7</v>
      </c>
      <c r="E163" s="30">
        <v>-7</v>
      </c>
      <c r="F163" s="30">
        <v>-7</v>
      </c>
      <c r="G163" s="30">
        <v>-7</v>
      </c>
      <c r="H163" s="30">
        <v>-7</v>
      </c>
      <c r="I163" s="30">
        <v>-7</v>
      </c>
      <c r="J163" s="30">
        <v>-7</v>
      </c>
      <c r="K163" s="30">
        <v>-7</v>
      </c>
      <c r="L163" s="30">
        <v>-7</v>
      </c>
      <c r="M163" s="30">
        <v>-7</v>
      </c>
      <c r="N163" s="30">
        <v>-7</v>
      </c>
      <c r="O163" s="50"/>
      <c r="Y163">
        <v>1</v>
      </c>
      <c r="AA163">
        <v>1</v>
      </c>
      <c r="AC163">
        <v>80</v>
      </c>
    </row>
    <row r="164" spans="1:29" x14ac:dyDescent="0.3">
      <c r="A164" s="35" t="s">
        <v>294</v>
      </c>
      <c r="B164" s="30">
        <v>-7</v>
      </c>
      <c r="C164" s="30">
        <v>-7</v>
      </c>
      <c r="D164" s="30">
        <v>-7</v>
      </c>
      <c r="E164" s="30">
        <v>-7</v>
      </c>
      <c r="F164" s="30">
        <v>-7</v>
      </c>
      <c r="G164" s="30">
        <v>-7</v>
      </c>
      <c r="H164" s="30">
        <v>-7</v>
      </c>
      <c r="I164" s="30">
        <v>-7</v>
      </c>
      <c r="J164" s="30">
        <v>-7</v>
      </c>
      <c r="K164" s="30">
        <v>-7</v>
      </c>
      <c r="L164" s="30">
        <v>0</v>
      </c>
      <c r="M164" s="30">
        <v>-3</v>
      </c>
      <c r="N164" s="30">
        <v>-7</v>
      </c>
      <c r="O164" s="50"/>
      <c r="P164">
        <v>25</v>
      </c>
    </row>
    <row r="165" spans="1:29" x14ac:dyDescent="0.3">
      <c r="A165" s="35" t="s">
        <v>293</v>
      </c>
      <c r="B165" s="30">
        <v>-7</v>
      </c>
      <c r="C165" s="30">
        <v>-7</v>
      </c>
      <c r="D165" s="30">
        <v>-7</v>
      </c>
      <c r="E165" s="30">
        <v>-7</v>
      </c>
      <c r="F165" s="30">
        <v>-7</v>
      </c>
      <c r="G165" s="30">
        <v>-7</v>
      </c>
      <c r="H165" s="30">
        <v>-7</v>
      </c>
      <c r="I165" s="30">
        <v>-7</v>
      </c>
      <c r="J165" s="30">
        <v>-7</v>
      </c>
      <c r="K165" s="30">
        <v>-7</v>
      </c>
      <c r="L165" s="30">
        <v>5</v>
      </c>
      <c r="M165" s="30">
        <v>0</v>
      </c>
      <c r="N165" s="30">
        <v>-7</v>
      </c>
      <c r="O165" s="50"/>
      <c r="P165">
        <v>7</v>
      </c>
    </row>
    <row r="166" spans="1:29" x14ac:dyDescent="0.3">
      <c r="A166" s="35" t="s">
        <v>292</v>
      </c>
      <c r="B166" s="30">
        <v>-7</v>
      </c>
      <c r="C166" s="30">
        <v>-7</v>
      </c>
      <c r="D166" s="30">
        <v>-7</v>
      </c>
      <c r="E166" s="30">
        <v>-7</v>
      </c>
      <c r="F166" s="30">
        <v>-7</v>
      </c>
      <c r="G166" s="30">
        <v>-7</v>
      </c>
      <c r="H166" s="30">
        <v>-7</v>
      </c>
      <c r="I166" s="30">
        <v>-7</v>
      </c>
      <c r="J166" s="30">
        <v>-7</v>
      </c>
      <c r="K166" s="30">
        <v>-7</v>
      </c>
      <c r="L166" s="30">
        <v>-7</v>
      </c>
      <c r="M166" s="30">
        <v>-7</v>
      </c>
      <c r="N166" s="30">
        <v>-7</v>
      </c>
      <c r="O166" s="50"/>
    </row>
    <row r="167" spans="1:29" x14ac:dyDescent="0.3">
      <c r="A167" s="35" t="s">
        <v>291</v>
      </c>
      <c r="B167" s="30">
        <v>-7</v>
      </c>
      <c r="C167" s="30">
        <v>-7</v>
      </c>
      <c r="D167" s="30">
        <v>-7</v>
      </c>
      <c r="E167" s="30">
        <v>-7</v>
      </c>
      <c r="F167" s="30">
        <v>-7</v>
      </c>
      <c r="G167" s="30">
        <v>-7</v>
      </c>
      <c r="H167" s="30">
        <v>-7</v>
      </c>
      <c r="I167" s="30">
        <v>-7</v>
      </c>
      <c r="J167" s="30">
        <v>-7</v>
      </c>
      <c r="K167" s="30">
        <v>-7</v>
      </c>
      <c r="L167" s="30">
        <v>-7</v>
      </c>
      <c r="M167" s="30">
        <v>-7</v>
      </c>
      <c r="N167" s="30">
        <v>-7</v>
      </c>
      <c r="O167" s="50"/>
    </row>
    <row r="168" spans="1:29" x14ac:dyDescent="0.3">
      <c r="A168" s="35" t="s">
        <v>290</v>
      </c>
      <c r="B168" s="30">
        <v>-7</v>
      </c>
      <c r="C168" s="30">
        <v>-7</v>
      </c>
      <c r="D168" s="30">
        <v>-7</v>
      </c>
      <c r="E168" s="30">
        <v>-7</v>
      </c>
      <c r="F168" s="30">
        <v>-7</v>
      </c>
      <c r="G168" s="30">
        <v>-7</v>
      </c>
      <c r="H168" s="30">
        <v>-7</v>
      </c>
      <c r="I168" s="30">
        <v>-7</v>
      </c>
      <c r="J168" s="30">
        <v>-7</v>
      </c>
      <c r="K168" s="30">
        <v>-7</v>
      </c>
      <c r="L168" s="30">
        <v>0</v>
      </c>
      <c r="M168" s="30">
        <v>-7</v>
      </c>
      <c r="N168" s="30">
        <v>-7</v>
      </c>
      <c r="O168" s="50"/>
      <c r="P168">
        <v>32</v>
      </c>
    </row>
    <row r="169" spans="1:29" x14ac:dyDescent="0.3">
      <c r="A169" s="35" t="s">
        <v>289</v>
      </c>
      <c r="B169" s="30">
        <v>-7</v>
      </c>
      <c r="C169" s="30">
        <v>-7</v>
      </c>
      <c r="D169" s="30">
        <v>-7</v>
      </c>
      <c r="E169" s="30">
        <v>-7</v>
      </c>
      <c r="F169" s="30">
        <v>-7</v>
      </c>
      <c r="G169" s="30">
        <v>-7</v>
      </c>
      <c r="H169" s="30">
        <v>-7</v>
      </c>
      <c r="I169" s="30">
        <v>-7</v>
      </c>
      <c r="J169" s="30">
        <v>-7</v>
      </c>
      <c r="K169" s="30">
        <v>-7</v>
      </c>
      <c r="L169" s="30">
        <v>-7</v>
      </c>
      <c r="M169" s="30">
        <v>-7</v>
      </c>
      <c r="N169" s="30">
        <v>-7</v>
      </c>
      <c r="O169" s="50"/>
      <c r="AC169">
        <v>40</v>
      </c>
    </row>
    <row r="170" spans="1:29" x14ac:dyDescent="0.3">
      <c r="A170" s="35" t="s">
        <v>288</v>
      </c>
      <c r="B170" s="30">
        <v>-7</v>
      </c>
      <c r="C170" s="30">
        <v>-7</v>
      </c>
      <c r="D170" s="30">
        <v>-7</v>
      </c>
      <c r="E170" s="30">
        <v>-7</v>
      </c>
      <c r="F170" s="30">
        <v>-7</v>
      </c>
      <c r="G170" s="30">
        <v>-7</v>
      </c>
      <c r="H170" s="30">
        <v>-7</v>
      </c>
      <c r="I170" s="30">
        <v>-7</v>
      </c>
      <c r="J170" s="30">
        <v>-7</v>
      </c>
      <c r="K170" s="30">
        <v>-7</v>
      </c>
      <c r="L170" s="30">
        <v>-7</v>
      </c>
      <c r="M170" s="30">
        <v>-7</v>
      </c>
      <c r="N170" s="30">
        <v>-7</v>
      </c>
      <c r="O170" s="50"/>
    </row>
    <row r="171" spans="1:29" x14ac:dyDescent="0.3">
      <c r="A171" s="35" t="s">
        <v>287</v>
      </c>
      <c r="B171" s="30">
        <v>-7</v>
      </c>
      <c r="C171" s="30">
        <v>-7</v>
      </c>
      <c r="D171" s="30">
        <v>-7</v>
      </c>
      <c r="E171" s="30">
        <v>-7</v>
      </c>
      <c r="F171" s="30">
        <v>-7</v>
      </c>
      <c r="G171" s="30">
        <v>-7</v>
      </c>
      <c r="H171" s="30">
        <v>-7</v>
      </c>
      <c r="I171" s="30">
        <v>-7</v>
      </c>
      <c r="J171" s="30">
        <v>-7</v>
      </c>
      <c r="K171" s="30">
        <v>-7</v>
      </c>
      <c r="L171" s="30">
        <v>-7</v>
      </c>
      <c r="M171" s="30">
        <v>-7</v>
      </c>
      <c r="N171" s="30">
        <v>-7</v>
      </c>
      <c r="O171" s="50"/>
    </row>
    <row r="172" spans="1:29" x14ac:dyDescent="0.3">
      <c r="A172" s="35" t="s">
        <v>286</v>
      </c>
      <c r="B172" s="30">
        <v>-7</v>
      </c>
      <c r="C172" s="30">
        <v>-7</v>
      </c>
      <c r="D172" s="30">
        <v>-7</v>
      </c>
      <c r="E172" s="30">
        <v>-7</v>
      </c>
      <c r="F172" s="30">
        <v>-7</v>
      </c>
      <c r="G172" s="30">
        <v>-7</v>
      </c>
      <c r="H172" s="30">
        <v>-7</v>
      </c>
      <c r="I172" s="30">
        <v>-7</v>
      </c>
      <c r="J172" s="30">
        <v>-7</v>
      </c>
      <c r="K172" s="30">
        <v>5</v>
      </c>
      <c r="L172" s="30">
        <v>-7</v>
      </c>
      <c r="M172" s="30">
        <v>-7</v>
      </c>
      <c r="N172" s="30">
        <v>-7</v>
      </c>
      <c r="O172" s="50"/>
      <c r="AC172">
        <v>68</v>
      </c>
    </row>
    <row r="173" spans="1:29" x14ac:dyDescent="0.3">
      <c r="A173" s="35" t="s">
        <v>285</v>
      </c>
      <c r="B173" s="30">
        <v>-7</v>
      </c>
      <c r="C173" s="30">
        <v>-7</v>
      </c>
      <c r="D173" s="30">
        <v>-7</v>
      </c>
      <c r="E173" s="30">
        <v>-7</v>
      </c>
      <c r="F173" s="30">
        <v>-7</v>
      </c>
      <c r="G173" s="30">
        <v>-7</v>
      </c>
      <c r="H173" s="30">
        <v>-7</v>
      </c>
      <c r="I173" s="30">
        <v>-7</v>
      </c>
      <c r="J173" s="30">
        <v>-7</v>
      </c>
      <c r="K173" s="30">
        <v>-7</v>
      </c>
      <c r="L173" s="30">
        <v>-7</v>
      </c>
      <c r="M173" s="30">
        <v>-7</v>
      </c>
      <c r="N173" s="30">
        <v>-7</v>
      </c>
      <c r="O173" s="50"/>
    </row>
    <row r="174" spans="1:29" x14ac:dyDescent="0.3">
      <c r="A174" s="35" t="s">
        <v>284</v>
      </c>
      <c r="B174" s="30">
        <v>-7</v>
      </c>
      <c r="C174" s="30">
        <v>-7</v>
      </c>
      <c r="D174" s="30">
        <v>-7</v>
      </c>
      <c r="E174" s="30">
        <v>-7</v>
      </c>
      <c r="F174" s="30">
        <v>-7</v>
      </c>
      <c r="G174" s="30">
        <v>-7</v>
      </c>
      <c r="H174" s="30">
        <v>-7</v>
      </c>
      <c r="I174" s="30">
        <v>-7</v>
      </c>
      <c r="J174" s="30">
        <v>-7</v>
      </c>
      <c r="K174" s="30">
        <v>3</v>
      </c>
      <c r="L174" s="30">
        <v>-7</v>
      </c>
      <c r="M174" s="30">
        <v>-7</v>
      </c>
      <c r="N174" s="30">
        <v>-7</v>
      </c>
      <c r="O174" s="50"/>
      <c r="AC174">
        <v>84</v>
      </c>
    </row>
    <row r="175" spans="1:29" x14ac:dyDescent="0.3">
      <c r="A175" s="35" t="s">
        <v>283</v>
      </c>
      <c r="B175" s="30">
        <v>-7</v>
      </c>
      <c r="C175" s="30">
        <v>-7</v>
      </c>
      <c r="D175" s="30">
        <v>-7</v>
      </c>
      <c r="E175" s="30">
        <v>-7</v>
      </c>
      <c r="F175" s="30">
        <v>-7</v>
      </c>
      <c r="G175" s="30">
        <v>-7</v>
      </c>
      <c r="H175" s="30">
        <v>-7</v>
      </c>
      <c r="I175" s="30">
        <v>-7</v>
      </c>
      <c r="J175" s="30">
        <v>-7</v>
      </c>
      <c r="K175" s="30">
        <v>-7</v>
      </c>
      <c r="L175" s="30">
        <v>-7</v>
      </c>
      <c r="M175" s="30">
        <v>-7</v>
      </c>
      <c r="N175" s="30">
        <v>-7</v>
      </c>
      <c r="O175" s="50"/>
    </row>
    <row r="176" spans="1:29" x14ac:dyDescent="0.3">
      <c r="A176" s="35" t="s">
        <v>282</v>
      </c>
      <c r="B176" s="30">
        <v>-7</v>
      </c>
      <c r="C176" s="30">
        <v>-7</v>
      </c>
      <c r="D176" s="30">
        <v>-7</v>
      </c>
      <c r="E176" s="30">
        <v>-7</v>
      </c>
      <c r="F176" s="30">
        <v>-7</v>
      </c>
      <c r="G176" s="30">
        <v>-7</v>
      </c>
      <c r="H176" s="30">
        <v>-7</v>
      </c>
      <c r="I176" s="30">
        <v>-7</v>
      </c>
      <c r="J176" s="30">
        <v>-7</v>
      </c>
      <c r="K176" s="30">
        <v>-7</v>
      </c>
      <c r="L176" s="30">
        <v>-7</v>
      </c>
      <c r="M176" s="30">
        <v>-7</v>
      </c>
      <c r="N176" s="30">
        <v>-7</v>
      </c>
      <c r="O176" s="50"/>
    </row>
    <row r="177" spans="1:29" x14ac:dyDescent="0.3">
      <c r="A177" s="35" t="s">
        <v>281</v>
      </c>
      <c r="B177" s="30">
        <v>-7</v>
      </c>
      <c r="C177" s="30">
        <v>-7</v>
      </c>
      <c r="D177" s="30">
        <v>-7</v>
      </c>
      <c r="E177" s="30">
        <v>-7</v>
      </c>
      <c r="F177" s="30">
        <v>-7</v>
      </c>
      <c r="G177" s="30">
        <v>-7</v>
      </c>
      <c r="H177" s="30">
        <v>-7</v>
      </c>
      <c r="I177" s="30">
        <v>-7</v>
      </c>
      <c r="J177" s="30">
        <v>-7</v>
      </c>
      <c r="K177" s="30">
        <v>-7</v>
      </c>
      <c r="L177" s="30">
        <v>-7</v>
      </c>
      <c r="M177" s="30">
        <v>-1</v>
      </c>
      <c r="N177" s="30">
        <v>-7</v>
      </c>
      <c r="O177" s="50"/>
      <c r="P177">
        <v>45</v>
      </c>
    </row>
    <row r="178" spans="1:29" x14ac:dyDescent="0.3">
      <c r="A178" s="35" t="s">
        <v>280</v>
      </c>
      <c r="B178" s="30">
        <v>-7</v>
      </c>
      <c r="C178" s="30">
        <v>-7</v>
      </c>
      <c r="D178" s="30">
        <v>-7</v>
      </c>
      <c r="E178" s="30">
        <v>-7</v>
      </c>
      <c r="F178" s="30">
        <v>-7</v>
      </c>
      <c r="G178" s="30">
        <v>-7</v>
      </c>
      <c r="H178" s="30">
        <v>-7</v>
      </c>
      <c r="I178" s="30">
        <v>-7</v>
      </c>
      <c r="J178" s="30">
        <v>-7</v>
      </c>
      <c r="K178" s="30">
        <v>-7</v>
      </c>
      <c r="L178" s="30">
        <v>-7</v>
      </c>
      <c r="M178" s="30">
        <v>0</v>
      </c>
      <c r="N178" s="30">
        <v>-7</v>
      </c>
      <c r="O178" s="50"/>
      <c r="P178">
        <v>70</v>
      </c>
      <c r="U178">
        <v>1</v>
      </c>
      <c r="Y178">
        <v>1</v>
      </c>
      <c r="AA178">
        <v>2</v>
      </c>
    </row>
    <row r="179" spans="1:29" x14ac:dyDescent="0.3">
      <c r="A179" s="35" t="s">
        <v>279</v>
      </c>
      <c r="B179" s="30">
        <v>-7</v>
      </c>
      <c r="C179" s="30">
        <v>-7</v>
      </c>
      <c r="D179" s="30">
        <v>-7</v>
      </c>
      <c r="E179" s="30">
        <v>-2</v>
      </c>
      <c r="F179" s="30">
        <v>-7</v>
      </c>
      <c r="G179" s="30">
        <v>-7</v>
      </c>
      <c r="H179" s="30">
        <v>-7</v>
      </c>
      <c r="I179" s="30">
        <v>-7</v>
      </c>
      <c r="J179" s="30">
        <v>-7</v>
      </c>
      <c r="K179" s="30">
        <v>-7</v>
      </c>
      <c r="L179" s="30">
        <v>-7</v>
      </c>
      <c r="M179" s="30">
        <v>-7</v>
      </c>
      <c r="N179" s="30">
        <v>-7</v>
      </c>
      <c r="O179" s="50"/>
      <c r="R179">
        <v>2</v>
      </c>
      <c r="X179">
        <v>1</v>
      </c>
      <c r="Y179">
        <v>1</v>
      </c>
      <c r="AC179">
        <v>80</v>
      </c>
    </row>
    <row r="180" spans="1:29" x14ac:dyDescent="0.3">
      <c r="A180" s="35" t="s">
        <v>278</v>
      </c>
      <c r="B180" s="30">
        <v>-7</v>
      </c>
      <c r="C180" s="30">
        <v>-7</v>
      </c>
      <c r="D180" s="30">
        <v>-7</v>
      </c>
      <c r="E180" s="30">
        <v>0</v>
      </c>
      <c r="F180" s="30">
        <v>-7</v>
      </c>
      <c r="G180" s="30">
        <v>-7</v>
      </c>
      <c r="H180" s="30">
        <v>-7</v>
      </c>
      <c r="I180" s="30">
        <v>-3</v>
      </c>
      <c r="J180" s="30">
        <v>-7</v>
      </c>
      <c r="K180" s="30">
        <v>-7</v>
      </c>
      <c r="L180" s="30">
        <v>-7</v>
      </c>
      <c r="M180" s="30">
        <v>-7</v>
      </c>
      <c r="N180" s="30">
        <v>-7</v>
      </c>
      <c r="O180" s="50"/>
      <c r="P180">
        <v>5</v>
      </c>
    </row>
    <row r="181" spans="1:29" x14ac:dyDescent="0.3">
      <c r="A181" s="35" t="s">
        <v>277</v>
      </c>
      <c r="B181" s="30">
        <v>-7</v>
      </c>
      <c r="C181" s="30">
        <v>-7</v>
      </c>
      <c r="D181" s="30">
        <v>-7</v>
      </c>
      <c r="E181" s="30">
        <v>-2</v>
      </c>
      <c r="F181" s="30">
        <v>-7</v>
      </c>
      <c r="G181" s="30">
        <v>-7</v>
      </c>
      <c r="H181" s="30">
        <v>-7</v>
      </c>
      <c r="I181" s="30">
        <v>-7</v>
      </c>
      <c r="J181" s="30">
        <v>-7</v>
      </c>
      <c r="K181" s="30">
        <v>-7</v>
      </c>
      <c r="L181" s="30">
        <v>-7</v>
      </c>
      <c r="M181" s="30">
        <v>-7</v>
      </c>
      <c r="N181" s="30">
        <v>-7</v>
      </c>
      <c r="O181" s="50"/>
      <c r="P181">
        <v>17</v>
      </c>
    </row>
    <row r="182" spans="1:29" x14ac:dyDescent="0.3">
      <c r="A182" s="35" t="s">
        <v>276</v>
      </c>
      <c r="B182" s="30">
        <v>-7</v>
      </c>
      <c r="C182" s="30">
        <v>-7</v>
      </c>
      <c r="D182" s="30">
        <v>-7</v>
      </c>
      <c r="E182" s="30">
        <v>-1</v>
      </c>
      <c r="F182" s="30">
        <v>-7</v>
      </c>
      <c r="G182" s="30">
        <v>-7</v>
      </c>
      <c r="H182" s="30">
        <v>-7</v>
      </c>
      <c r="I182" s="30">
        <v>-3</v>
      </c>
      <c r="J182" s="30">
        <v>-7</v>
      </c>
      <c r="K182" s="30">
        <v>-7</v>
      </c>
      <c r="L182" s="30">
        <v>-7</v>
      </c>
      <c r="M182" s="30">
        <v>-7</v>
      </c>
      <c r="N182" s="30">
        <v>-7</v>
      </c>
      <c r="O182" s="50"/>
      <c r="R182">
        <v>2</v>
      </c>
      <c r="X182">
        <v>1</v>
      </c>
      <c r="Y182">
        <v>1</v>
      </c>
      <c r="AC182">
        <v>50</v>
      </c>
    </row>
    <row r="183" spans="1:29" x14ac:dyDescent="0.3">
      <c r="A183" s="35" t="s">
        <v>275</v>
      </c>
      <c r="B183" s="30">
        <v>-7</v>
      </c>
      <c r="C183" s="30">
        <v>-7</v>
      </c>
      <c r="D183" s="30">
        <v>-7</v>
      </c>
      <c r="E183" s="30">
        <v>0</v>
      </c>
      <c r="F183" s="30">
        <v>-7</v>
      </c>
      <c r="G183" s="30">
        <v>-7</v>
      </c>
      <c r="H183" s="30">
        <v>-7</v>
      </c>
      <c r="I183" s="30">
        <v>-3</v>
      </c>
      <c r="J183" s="30">
        <v>-7</v>
      </c>
      <c r="K183" s="30">
        <v>-7</v>
      </c>
      <c r="L183" s="30">
        <v>-7</v>
      </c>
      <c r="M183" s="30">
        <v>-7</v>
      </c>
      <c r="N183" s="30">
        <v>-7</v>
      </c>
      <c r="O183" s="50"/>
      <c r="AC183">
        <v>18</v>
      </c>
    </row>
    <row r="184" spans="1:29" x14ac:dyDescent="0.3">
      <c r="A184" s="35" t="s">
        <v>274</v>
      </c>
      <c r="B184" s="30">
        <v>-7</v>
      </c>
      <c r="C184" s="30">
        <v>-7</v>
      </c>
      <c r="D184" s="30">
        <v>-7</v>
      </c>
      <c r="E184" s="30">
        <v>-3</v>
      </c>
      <c r="F184" s="30">
        <v>-7</v>
      </c>
      <c r="G184" s="30">
        <v>-7</v>
      </c>
      <c r="H184" s="30">
        <v>-7</v>
      </c>
      <c r="I184" s="30">
        <v>0</v>
      </c>
      <c r="J184" s="30">
        <v>-7</v>
      </c>
      <c r="K184" s="30">
        <v>-7</v>
      </c>
      <c r="L184" s="30">
        <v>-7</v>
      </c>
      <c r="M184" s="30">
        <v>-7</v>
      </c>
      <c r="N184" s="30">
        <v>-7</v>
      </c>
      <c r="O184" s="50"/>
      <c r="AC184">
        <v>70</v>
      </c>
    </row>
    <row r="185" spans="1:29" x14ac:dyDescent="0.3">
      <c r="A185" s="35" t="s">
        <v>273</v>
      </c>
      <c r="B185" s="30">
        <v>-7</v>
      </c>
      <c r="C185" s="30">
        <v>-7</v>
      </c>
      <c r="D185" s="30">
        <v>-7</v>
      </c>
      <c r="E185" s="30">
        <v>-3</v>
      </c>
      <c r="F185" s="30">
        <v>-7</v>
      </c>
      <c r="G185" s="30">
        <v>-7</v>
      </c>
      <c r="H185" s="30">
        <v>-7</v>
      </c>
      <c r="I185" s="30">
        <v>0</v>
      </c>
      <c r="J185" s="30">
        <v>-7</v>
      </c>
      <c r="K185" s="30">
        <v>-7</v>
      </c>
      <c r="L185" s="30">
        <v>-7</v>
      </c>
      <c r="M185" s="30">
        <v>-7</v>
      </c>
      <c r="N185" s="30">
        <v>-7</v>
      </c>
      <c r="O185" s="50"/>
      <c r="Y185">
        <v>2</v>
      </c>
      <c r="AC185">
        <v>25</v>
      </c>
    </row>
    <row r="186" spans="1:29" x14ac:dyDescent="0.3">
      <c r="A186" s="35" t="s">
        <v>272</v>
      </c>
      <c r="B186" s="30">
        <v>-7</v>
      </c>
      <c r="C186" s="30">
        <v>-7</v>
      </c>
      <c r="D186" s="30">
        <v>-7</v>
      </c>
      <c r="E186" s="30">
        <v>0</v>
      </c>
      <c r="F186" s="30">
        <v>-7</v>
      </c>
      <c r="G186" s="30">
        <v>-7</v>
      </c>
      <c r="H186" s="30">
        <v>-7</v>
      </c>
      <c r="I186" s="30">
        <v>-7</v>
      </c>
      <c r="J186" s="30">
        <v>-7</v>
      </c>
      <c r="K186" s="30">
        <v>-7</v>
      </c>
      <c r="L186" s="30">
        <v>-7</v>
      </c>
      <c r="M186" s="30">
        <v>-7</v>
      </c>
      <c r="N186" s="30">
        <v>-7</v>
      </c>
      <c r="O186" s="50"/>
      <c r="T186">
        <v>1</v>
      </c>
      <c r="V186">
        <v>2</v>
      </c>
      <c r="Y186">
        <v>3</v>
      </c>
      <c r="AA186">
        <v>1</v>
      </c>
      <c r="AC186">
        <v>42</v>
      </c>
    </row>
    <row r="187" spans="1:29" x14ac:dyDescent="0.3">
      <c r="A187" s="35" t="s">
        <v>271</v>
      </c>
      <c r="B187" s="30">
        <v>-7</v>
      </c>
      <c r="C187" s="30">
        <v>-7</v>
      </c>
      <c r="D187" s="30">
        <v>-7</v>
      </c>
      <c r="E187" s="30">
        <v>-3</v>
      </c>
      <c r="F187" s="30">
        <v>-7</v>
      </c>
      <c r="G187" s="30">
        <v>-7</v>
      </c>
      <c r="H187" s="30">
        <v>-7</v>
      </c>
      <c r="I187" s="30">
        <v>-7</v>
      </c>
      <c r="J187" s="30">
        <v>-7</v>
      </c>
      <c r="K187" s="30">
        <v>-7</v>
      </c>
      <c r="L187" s="30">
        <v>-7</v>
      </c>
      <c r="M187" s="30">
        <v>-7</v>
      </c>
      <c r="N187" s="30">
        <v>-7</v>
      </c>
      <c r="O187" s="50"/>
      <c r="Y187">
        <v>1</v>
      </c>
      <c r="AA187">
        <v>2</v>
      </c>
      <c r="AC187">
        <v>58</v>
      </c>
    </row>
    <row r="188" spans="1:29" x14ac:dyDescent="0.3">
      <c r="A188" s="35" t="s">
        <v>270</v>
      </c>
      <c r="B188" s="30">
        <v>-7</v>
      </c>
      <c r="C188" s="30">
        <v>-7</v>
      </c>
      <c r="D188" s="30">
        <v>-7</v>
      </c>
      <c r="E188" s="30">
        <v>-7</v>
      </c>
      <c r="F188" s="30">
        <v>-7</v>
      </c>
      <c r="G188" s="30">
        <v>-7</v>
      </c>
      <c r="H188" s="30">
        <v>-7</v>
      </c>
      <c r="I188" s="30">
        <v>-7</v>
      </c>
      <c r="J188" s="30">
        <v>-7</v>
      </c>
      <c r="K188" s="30">
        <v>-7</v>
      </c>
      <c r="L188" s="30">
        <v>0</v>
      </c>
      <c r="M188" s="30">
        <v>-7</v>
      </c>
      <c r="N188" s="30">
        <v>-7</v>
      </c>
      <c r="O188" s="50"/>
      <c r="P188">
        <v>130</v>
      </c>
      <c r="Y188">
        <v>2</v>
      </c>
      <c r="AA188">
        <v>1</v>
      </c>
    </row>
    <row r="189" spans="1:29" x14ac:dyDescent="0.3">
      <c r="A189" s="35" t="s">
        <v>269</v>
      </c>
      <c r="B189" s="30">
        <v>-7</v>
      </c>
      <c r="C189" s="30">
        <v>-7</v>
      </c>
      <c r="D189" s="30">
        <v>0</v>
      </c>
      <c r="E189" s="30">
        <v>-7</v>
      </c>
      <c r="F189" s="30">
        <v>-7</v>
      </c>
      <c r="G189" s="30">
        <v>-7</v>
      </c>
      <c r="H189" s="30">
        <v>-3</v>
      </c>
      <c r="I189" s="30">
        <v>-7</v>
      </c>
      <c r="J189" s="30">
        <v>-7</v>
      </c>
      <c r="K189" s="30">
        <v>-7</v>
      </c>
      <c r="L189" s="30">
        <v>-7</v>
      </c>
      <c r="M189" s="30">
        <v>-7</v>
      </c>
      <c r="N189" s="30">
        <v>-7</v>
      </c>
      <c r="O189" s="50"/>
      <c r="AC189">
        <v>20</v>
      </c>
    </row>
    <row r="190" spans="1:29" x14ac:dyDescent="0.3">
      <c r="A190" s="35" t="s">
        <v>268</v>
      </c>
      <c r="B190" s="30">
        <v>-7</v>
      </c>
      <c r="C190" s="30">
        <v>-7</v>
      </c>
      <c r="D190" s="30">
        <v>-7</v>
      </c>
      <c r="E190" s="30">
        <v>-7</v>
      </c>
      <c r="F190" s="30">
        <v>-7</v>
      </c>
      <c r="G190" s="30">
        <v>-7</v>
      </c>
      <c r="H190" s="30">
        <v>-7</v>
      </c>
      <c r="I190" s="30">
        <v>-7</v>
      </c>
      <c r="J190" s="30">
        <v>-7</v>
      </c>
      <c r="K190" s="30">
        <v>-7</v>
      </c>
      <c r="L190" s="30">
        <v>-7</v>
      </c>
      <c r="M190" s="30">
        <v>-7</v>
      </c>
      <c r="N190" s="30">
        <v>-7</v>
      </c>
      <c r="O190" s="50"/>
    </row>
    <row r="191" spans="1:29" x14ac:dyDescent="0.3">
      <c r="A191" s="35" t="s">
        <v>267</v>
      </c>
      <c r="B191" s="30">
        <v>-7</v>
      </c>
      <c r="C191" s="30">
        <v>-7</v>
      </c>
      <c r="D191" s="30">
        <v>-7</v>
      </c>
      <c r="E191" s="30">
        <v>-7</v>
      </c>
      <c r="F191" s="30">
        <v>-7</v>
      </c>
      <c r="G191" s="30">
        <v>-7</v>
      </c>
      <c r="H191" s="30">
        <v>-7</v>
      </c>
      <c r="I191" s="30">
        <v>-7</v>
      </c>
      <c r="J191" s="30">
        <v>-7</v>
      </c>
      <c r="K191" s="30">
        <v>2</v>
      </c>
      <c r="L191" s="30">
        <v>-7</v>
      </c>
      <c r="M191" s="30">
        <v>-7</v>
      </c>
      <c r="N191" s="30">
        <v>-7</v>
      </c>
      <c r="O191" s="50"/>
      <c r="P191">
        <v>60</v>
      </c>
      <c r="AC191">
        <v>100</v>
      </c>
    </row>
    <row r="192" spans="1:29" x14ac:dyDescent="0.3">
      <c r="A192" s="35" t="s">
        <v>266</v>
      </c>
      <c r="B192" s="30">
        <v>-7</v>
      </c>
      <c r="C192" s="30">
        <v>-7</v>
      </c>
      <c r="D192" s="30">
        <v>0</v>
      </c>
      <c r="E192" s="30">
        <v>-7</v>
      </c>
      <c r="F192" s="30">
        <v>-7</v>
      </c>
      <c r="G192" s="30">
        <v>-7</v>
      </c>
      <c r="H192" s="30">
        <v>2</v>
      </c>
      <c r="I192" s="30">
        <v>-7</v>
      </c>
      <c r="J192" s="30">
        <v>-7</v>
      </c>
      <c r="K192" s="30">
        <v>-7</v>
      </c>
      <c r="L192" s="30">
        <v>-7</v>
      </c>
      <c r="M192" s="30">
        <v>-7</v>
      </c>
      <c r="N192" s="30">
        <v>-7</v>
      </c>
      <c r="O192" s="50"/>
      <c r="P192">
        <v>90</v>
      </c>
    </row>
    <row r="193" spans="1:29" x14ac:dyDescent="0.3">
      <c r="A193" s="35" t="s">
        <v>265</v>
      </c>
      <c r="B193" s="30">
        <v>-7</v>
      </c>
      <c r="C193" s="30">
        <v>-7</v>
      </c>
      <c r="D193" s="30">
        <v>-7</v>
      </c>
      <c r="E193" s="30">
        <v>-7</v>
      </c>
      <c r="F193" s="30">
        <v>-7</v>
      </c>
      <c r="G193" s="30">
        <v>-7</v>
      </c>
      <c r="H193" s="30">
        <v>-7</v>
      </c>
      <c r="I193" s="30">
        <v>-7</v>
      </c>
      <c r="J193" s="30">
        <v>-7</v>
      </c>
      <c r="K193" s="30">
        <v>2</v>
      </c>
      <c r="L193" s="30">
        <v>-7</v>
      </c>
      <c r="M193" s="30">
        <v>-7</v>
      </c>
      <c r="N193" s="30">
        <v>-7</v>
      </c>
      <c r="O193" s="50"/>
      <c r="P193">
        <v>40</v>
      </c>
    </row>
    <row r="194" spans="1:29" x14ac:dyDescent="0.3">
      <c r="A194" s="35" t="s">
        <v>264</v>
      </c>
      <c r="B194" s="30">
        <v>-7</v>
      </c>
      <c r="C194" s="30">
        <v>-7</v>
      </c>
      <c r="D194" s="30">
        <v>0</v>
      </c>
      <c r="E194" s="30">
        <v>-7</v>
      </c>
      <c r="F194" s="30">
        <v>-7</v>
      </c>
      <c r="G194" s="30">
        <v>-7</v>
      </c>
      <c r="H194" s="30">
        <v>-7</v>
      </c>
      <c r="I194" s="30">
        <v>-7</v>
      </c>
      <c r="J194" s="30">
        <v>-7</v>
      </c>
      <c r="K194" s="30">
        <v>-7</v>
      </c>
      <c r="L194" s="30">
        <v>-7</v>
      </c>
      <c r="M194" s="30">
        <v>-7</v>
      </c>
      <c r="N194" s="30">
        <v>-7</v>
      </c>
      <c r="O194" s="50"/>
      <c r="P194">
        <v>80</v>
      </c>
      <c r="AC194">
        <v>100</v>
      </c>
    </row>
    <row r="195" spans="1:29" x14ac:dyDescent="0.3">
      <c r="A195" s="35" t="s">
        <v>263</v>
      </c>
      <c r="B195" s="30">
        <v>-7</v>
      </c>
      <c r="C195" s="30">
        <v>-7</v>
      </c>
      <c r="D195" s="30">
        <v>-7</v>
      </c>
      <c r="E195" s="30">
        <v>-7</v>
      </c>
      <c r="F195" s="30">
        <v>-7</v>
      </c>
      <c r="G195" s="30">
        <v>-7</v>
      </c>
      <c r="H195" s="30">
        <v>-7</v>
      </c>
      <c r="I195" s="30">
        <v>-7</v>
      </c>
      <c r="J195" s="30">
        <v>-7</v>
      </c>
      <c r="K195" s="30">
        <v>2</v>
      </c>
      <c r="L195" s="30">
        <v>-7</v>
      </c>
      <c r="M195" s="30">
        <v>-7</v>
      </c>
      <c r="N195" s="30">
        <v>-7</v>
      </c>
      <c r="O195" s="50"/>
      <c r="P195">
        <v>50</v>
      </c>
      <c r="AC195">
        <v>100</v>
      </c>
    </row>
    <row r="196" spans="1:29" x14ac:dyDescent="0.3">
      <c r="A196" s="35" t="s">
        <v>262</v>
      </c>
      <c r="B196" s="30">
        <v>-7</v>
      </c>
      <c r="C196" s="30">
        <v>-7</v>
      </c>
      <c r="D196" s="30">
        <v>-7</v>
      </c>
      <c r="E196" s="30">
        <v>-7</v>
      </c>
      <c r="F196" s="30">
        <v>-7</v>
      </c>
      <c r="G196" s="30">
        <v>-7</v>
      </c>
      <c r="H196" s="30">
        <v>-7</v>
      </c>
      <c r="I196" s="30">
        <v>-7</v>
      </c>
      <c r="J196" s="30">
        <v>-7</v>
      </c>
      <c r="K196" s="30">
        <v>2</v>
      </c>
      <c r="L196" s="30">
        <v>-7</v>
      </c>
      <c r="M196" s="30">
        <v>-7</v>
      </c>
      <c r="N196" s="30">
        <v>-7</v>
      </c>
      <c r="O196" s="50"/>
      <c r="P196">
        <v>75</v>
      </c>
      <c r="AC196">
        <v>100</v>
      </c>
    </row>
    <row r="197" spans="1:29" x14ac:dyDescent="0.3">
      <c r="A197" s="35" t="s">
        <v>261</v>
      </c>
      <c r="B197" s="30">
        <v>-7</v>
      </c>
      <c r="C197" s="30">
        <v>-7</v>
      </c>
      <c r="D197" s="30">
        <v>-7</v>
      </c>
      <c r="E197" s="30">
        <v>-7</v>
      </c>
      <c r="F197" s="30">
        <v>-7</v>
      </c>
      <c r="G197" s="30">
        <v>-7</v>
      </c>
      <c r="H197" s="30">
        <v>-7</v>
      </c>
      <c r="I197" s="30">
        <v>-7</v>
      </c>
      <c r="J197" s="30">
        <v>-7</v>
      </c>
      <c r="K197" s="30">
        <v>2</v>
      </c>
      <c r="L197" s="30">
        <v>-7</v>
      </c>
      <c r="M197" s="30">
        <v>-7</v>
      </c>
      <c r="N197" s="30">
        <v>-7</v>
      </c>
      <c r="O197" s="50"/>
      <c r="P197">
        <v>150</v>
      </c>
      <c r="AC197">
        <v>100</v>
      </c>
    </row>
    <row r="198" spans="1:29" x14ac:dyDescent="0.3">
      <c r="A198" s="35" t="s">
        <v>260</v>
      </c>
      <c r="B198" s="30">
        <v>-7</v>
      </c>
      <c r="C198" s="30">
        <v>-7</v>
      </c>
      <c r="D198" s="30">
        <v>-7</v>
      </c>
      <c r="E198" s="30">
        <v>-7</v>
      </c>
      <c r="F198" s="30">
        <v>-7</v>
      </c>
      <c r="G198" s="30">
        <v>-7</v>
      </c>
      <c r="H198" s="30">
        <v>-7</v>
      </c>
      <c r="I198" s="30">
        <v>-7</v>
      </c>
      <c r="J198" s="30">
        <v>-7</v>
      </c>
      <c r="K198" s="30">
        <v>-7</v>
      </c>
      <c r="L198" s="30">
        <v>-7</v>
      </c>
      <c r="M198" s="30">
        <v>0</v>
      </c>
      <c r="N198" s="30">
        <v>-7</v>
      </c>
      <c r="O198" s="50"/>
      <c r="P198">
        <v>120</v>
      </c>
      <c r="Y198">
        <v>2</v>
      </c>
      <c r="AA198">
        <v>1</v>
      </c>
    </row>
    <row r="199" spans="1:29" x14ac:dyDescent="0.3">
      <c r="A199" s="35" t="s">
        <v>259</v>
      </c>
      <c r="B199" s="30">
        <v>-7</v>
      </c>
      <c r="C199" s="30">
        <v>-7</v>
      </c>
      <c r="D199" s="30">
        <v>-7</v>
      </c>
      <c r="E199" s="30">
        <v>-7</v>
      </c>
      <c r="F199" s="30">
        <v>-7</v>
      </c>
      <c r="G199" s="30">
        <v>-7</v>
      </c>
      <c r="H199" s="30">
        <v>-7</v>
      </c>
      <c r="I199" s="30">
        <v>-7</v>
      </c>
      <c r="J199" s="30">
        <v>-7</v>
      </c>
      <c r="K199" s="30">
        <v>-7</v>
      </c>
      <c r="L199" s="30">
        <v>-7</v>
      </c>
      <c r="M199" s="30">
        <v>0</v>
      </c>
      <c r="N199" s="30">
        <v>-7</v>
      </c>
      <c r="O199" s="50"/>
      <c r="P199">
        <v>150</v>
      </c>
      <c r="Y199">
        <v>2</v>
      </c>
      <c r="AA199">
        <v>1</v>
      </c>
    </row>
    <row r="200" spans="1:29" x14ac:dyDescent="0.3">
      <c r="A200" s="35" t="s">
        <v>258</v>
      </c>
      <c r="B200" s="30">
        <v>-7</v>
      </c>
      <c r="C200" s="30">
        <v>-7</v>
      </c>
      <c r="D200" s="30">
        <v>-7</v>
      </c>
      <c r="E200" s="30">
        <v>-7</v>
      </c>
      <c r="F200" s="30">
        <v>-7</v>
      </c>
      <c r="G200" s="30">
        <v>-7</v>
      </c>
      <c r="H200" s="30">
        <v>-7</v>
      </c>
      <c r="I200" s="30">
        <v>0</v>
      </c>
      <c r="J200" s="30">
        <v>-7</v>
      </c>
      <c r="K200" s="30">
        <v>-7</v>
      </c>
      <c r="L200" s="30">
        <v>-7</v>
      </c>
      <c r="M200" s="30">
        <v>-7</v>
      </c>
      <c r="N200" s="30">
        <v>-7</v>
      </c>
      <c r="O200" s="50"/>
      <c r="AC200">
        <v>90</v>
      </c>
    </row>
    <row r="201" spans="1:29" x14ac:dyDescent="0.3">
      <c r="A201" s="35" t="s">
        <v>257</v>
      </c>
      <c r="B201" s="30">
        <v>-7</v>
      </c>
      <c r="C201" s="30">
        <v>0</v>
      </c>
      <c r="D201" s="30">
        <v>-7</v>
      </c>
      <c r="E201" s="30">
        <v>-1</v>
      </c>
      <c r="F201" s="30">
        <v>-7</v>
      </c>
      <c r="G201" s="30">
        <v>-7</v>
      </c>
      <c r="H201" s="30">
        <v>-7</v>
      </c>
      <c r="I201" s="30">
        <v>3</v>
      </c>
      <c r="J201" s="30">
        <v>-7</v>
      </c>
      <c r="K201" s="30">
        <v>-7</v>
      </c>
      <c r="L201" s="30">
        <v>-7</v>
      </c>
      <c r="M201" s="30">
        <v>-7</v>
      </c>
      <c r="N201" s="30">
        <v>-7</v>
      </c>
      <c r="O201" s="50"/>
      <c r="U201">
        <v>1</v>
      </c>
      <c r="AC201">
        <v>56</v>
      </c>
    </row>
    <row r="202" spans="1:29" x14ac:dyDescent="0.3">
      <c r="A202" s="35" t="s">
        <v>256</v>
      </c>
      <c r="B202" s="30">
        <v>-7</v>
      </c>
      <c r="C202" s="30">
        <v>-7</v>
      </c>
      <c r="D202" s="30">
        <v>-7</v>
      </c>
      <c r="E202" s="30">
        <v>-7</v>
      </c>
      <c r="F202" s="30">
        <v>-7</v>
      </c>
      <c r="G202" s="30">
        <v>-7</v>
      </c>
      <c r="H202" s="30">
        <v>-7</v>
      </c>
      <c r="I202" s="30">
        <v>-7</v>
      </c>
      <c r="J202" s="30">
        <v>-7</v>
      </c>
      <c r="K202" s="30">
        <v>-7</v>
      </c>
      <c r="L202" s="30">
        <v>-7</v>
      </c>
      <c r="M202" s="30">
        <v>0</v>
      </c>
      <c r="N202" s="30">
        <v>-7</v>
      </c>
      <c r="O202" s="50"/>
      <c r="P202">
        <v>100</v>
      </c>
      <c r="Y202">
        <v>2</v>
      </c>
    </row>
    <row r="203" spans="1:29" x14ac:dyDescent="0.3">
      <c r="A203" s="35" t="s">
        <v>255</v>
      </c>
      <c r="B203" s="30">
        <v>-7</v>
      </c>
      <c r="C203" s="30">
        <v>-7</v>
      </c>
      <c r="D203" s="30">
        <v>-7</v>
      </c>
      <c r="E203" s="30">
        <v>-7</v>
      </c>
      <c r="F203" s="30">
        <v>-7</v>
      </c>
      <c r="G203" s="30">
        <v>-7</v>
      </c>
      <c r="H203" s="30">
        <v>-7</v>
      </c>
      <c r="I203" s="30">
        <v>-3</v>
      </c>
      <c r="J203" s="30">
        <v>-7</v>
      </c>
      <c r="K203" s="30">
        <v>-7</v>
      </c>
      <c r="L203" s="30">
        <v>-7</v>
      </c>
      <c r="M203" s="30">
        <v>-7</v>
      </c>
      <c r="N203" s="30">
        <v>-7</v>
      </c>
      <c r="O203" s="50"/>
      <c r="P203">
        <v>52</v>
      </c>
      <c r="R203">
        <v>1</v>
      </c>
      <c r="U203">
        <v>1</v>
      </c>
      <c r="AC203">
        <v>100</v>
      </c>
    </row>
    <row r="204" spans="1:29" x14ac:dyDescent="0.3">
      <c r="A204" s="35" t="s">
        <v>254</v>
      </c>
      <c r="B204" s="30">
        <v>-7</v>
      </c>
      <c r="C204" s="30">
        <v>-7</v>
      </c>
      <c r="D204" s="30">
        <v>-7</v>
      </c>
      <c r="E204" s="30">
        <v>-7</v>
      </c>
      <c r="F204" s="30">
        <v>-7</v>
      </c>
      <c r="G204" s="30">
        <v>-7</v>
      </c>
      <c r="H204" s="30">
        <v>-7</v>
      </c>
      <c r="I204" s="30">
        <v>-3</v>
      </c>
      <c r="J204" s="30">
        <v>-7</v>
      </c>
      <c r="K204" s="30">
        <v>-7</v>
      </c>
      <c r="L204" s="30">
        <v>-7</v>
      </c>
      <c r="M204" s="30">
        <v>-7</v>
      </c>
      <c r="N204" s="30">
        <v>-7</v>
      </c>
      <c r="O204" s="50"/>
      <c r="P204">
        <v>31</v>
      </c>
      <c r="Z204">
        <v>1</v>
      </c>
      <c r="AA204">
        <v>2</v>
      </c>
    </row>
    <row r="205" spans="1:29" x14ac:dyDescent="0.3">
      <c r="A205" s="35" t="s">
        <v>253</v>
      </c>
      <c r="B205" s="30">
        <v>-7</v>
      </c>
      <c r="C205" s="30">
        <v>-7</v>
      </c>
      <c r="D205" s="30">
        <v>-7</v>
      </c>
      <c r="E205" s="30">
        <v>-7</v>
      </c>
      <c r="F205" s="30">
        <v>-7</v>
      </c>
      <c r="G205" s="30">
        <v>-7</v>
      </c>
      <c r="H205" s="30">
        <v>-7</v>
      </c>
      <c r="I205" s="30">
        <v>2</v>
      </c>
      <c r="J205" s="30">
        <v>-7</v>
      </c>
      <c r="K205" s="30">
        <v>-7</v>
      </c>
      <c r="L205" s="30">
        <v>-7</v>
      </c>
      <c r="M205" s="30">
        <v>-7</v>
      </c>
      <c r="N205" s="30">
        <v>-7</v>
      </c>
      <c r="O205" s="50"/>
      <c r="P205">
        <v>21</v>
      </c>
      <c r="R205">
        <v>2</v>
      </c>
      <c r="T205">
        <v>1</v>
      </c>
      <c r="U205">
        <v>1</v>
      </c>
    </row>
    <row r="206" spans="1:29" x14ac:dyDescent="0.3">
      <c r="A206" s="35" t="s">
        <v>252</v>
      </c>
      <c r="B206" s="30">
        <v>-7</v>
      </c>
      <c r="C206" s="30">
        <v>-7</v>
      </c>
      <c r="D206" s="30">
        <v>-7</v>
      </c>
      <c r="E206" s="30">
        <v>-7</v>
      </c>
      <c r="F206" s="30">
        <v>-7</v>
      </c>
      <c r="G206" s="30">
        <v>-7</v>
      </c>
      <c r="H206" s="30">
        <v>-7</v>
      </c>
      <c r="I206" s="30">
        <v>5</v>
      </c>
      <c r="J206" s="30">
        <v>-7</v>
      </c>
      <c r="K206" s="30">
        <v>-7</v>
      </c>
      <c r="L206" s="30">
        <v>-7</v>
      </c>
      <c r="M206" s="30">
        <v>-7</v>
      </c>
      <c r="N206" s="30">
        <v>-7</v>
      </c>
      <c r="O206" s="50"/>
      <c r="P206">
        <v>9</v>
      </c>
      <c r="R206">
        <v>1</v>
      </c>
      <c r="U206">
        <v>1</v>
      </c>
    </row>
    <row r="207" spans="1:29" x14ac:dyDescent="0.3">
      <c r="A207" s="35" t="s">
        <v>251</v>
      </c>
      <c r="B207" s="30">
        <v>-7</v>
      </c>
      <c r="C207" s="30">
        <v>-7</v>
      </c>
      <c r="D207" s="30">
        <v>-7</v>
      </c>
      <c r="E207" s="30">
        <v>-7</v>
      </c>
      <c r="F207" s="30">
        <v>-7</v>
      </c>
      <c r="G207" s="30">
        <v>-7</v>
      </c>
      <c r="H207" s="30">
        <v>-7</v>
      </c>
      <c r="I207" s="30">
        <v>2</v>
      </c>
      <c r="J207" s="30">
        <v>-7</v>
      </c>
      <c r="K207" s="30">
        <v>-7</v>
      </c>
      <c r="L207" s="30">
        <v>-7</v>
      </c>
      <c r="M207" s="30">
        <v>-7</v>
      </c>
      <c r="N207" s="30">
        <v>-7</v>
      </c>
      <c r="O207" s="50"/>
      <c r="P207">
        <v>2</v>
      </c>
      <c r="R207">
        <v>2</v>
      </c>
      <c r="Y207">
        <v>1</v>
      </c>
    </row>
    <row r="208" spans="1:29" x14ac:dyDescent="0.3">
      <c r="A208" s="35" t="s">
        <v>250</v>
      </c>
      <c r="B208" s="30">
        <v>-7</v>
      </c>
      <c r="C208" s="30">
        <v>-7</v>
      </c>
      <c r="D208" s="30">
        <v>-7</v>
      </c>
      <c r="E208" s="30">
        <v>-7</v>
      </c>
      <c r="F208" s="30">
        <v>-7</v>
      </c>
      <c r="G208" s="30">
        <v>-7</v>
      </c>
      <c r="H208" s="30">
        <v>-7</v>
      </c>
      <c r="I208" s="30">
        <v>-1</v>
      </c>
      <c r="J208" s="30">
        <v>-7</v>
      </c>
      <c r="K208" s="30">
        <v>-7</v>
      </c>
      <c r="L208" s="30">
        <v>-7</v>
      </c>
      <c r="M208" s="30">
        <v>-7</v>
      </c>
      <c r="N208" s="30">
        <v>-7</v>
      </c>
      <c r="O208" s="50"/>
      <c r="P208">
        <v>10</v>
      </c>
      <c r="R208">
        <v>2</v>
      </c>
      <c r="Y208">
        <v>1</v>
      </c>
    </row>
    <row r="209" spans="1:27" x14ac:dyDescent="0.3">
      <c r="A209" s="35" t="s">
        <v>249</v>
      </c>
      <c r="B209" s="30">
        <v>-7</v>
      </c>
      <c r="C209" s="30">
        <v>-7</v>
      </c>
      <c r="D209" s="30">
        <v>-7</v>
      </c>
      <c r="E209" s="30">
        <v>-7</v>
      </c>
      <c r="F209" s="30">
        <v>-7</v>
      </c>
      <c r="G209" s="30">
        <v>-7</v>
      </c>
      <c r="H209" s="30">
        <v>-7</v>
      </c>
      <c r="I209" s="30">
        <v>0</v>
      </c>
      <c r="J209" s="30">
        <v>-7</v>
      </c>
      <c r="K209" s="30">
        <v>-7</v>
      </c>
      <c r="L209" s="30">
        <v>-7</v>
      </c>
      <c r="M209" s="30">
        <v>-7</v>
      </c>
      <c r="N209" s="30">
        <v>-7</v>
      </c>
      <c r="O209" s="50"/>
      <c r="P209">
        <v>30</v>
      </c>
      <c r="R209">
        <v>2</v>
      </c>
      <c r="Y209">
        <v>1</v>
      </c>
    </row>
    <row r="210" spans="1:27" x14ac:dyDescent="0.3">
      <c r="A210" s="35" t="s">
        <v>248</v>
      </c>
      <c r="B210" s="30">
        <v>-7</v>
      </c>
      <c r="C210" s="30">
        <v>-7</v>
      </c>
      <c r="D210" s="30">
        <v>-7</v>
      </c>
      <c r="E210" s="30">
        <v>-7</v>
      </c>
      <c r="F210" s="30">
        <v>-7</v>
      </c>
      <c r="G210" s="30">
        <v>-7</v>
      </c>
      <c r="H210" s="30">
        <v>-7</v>
      </c>
      <c r="I210" s="30">
        <v>-1</v>
      </c>
      <c r="J210" s="30">
        <v>-7</v>
      </c>
      <c r="K210" s="30">
        <v>-7</v>
      </c>
      <c r="L210" s="30">
        <v>-7</v>
      </c>
      <c r="M210" s="30">
        <v>-7</v>
      </c>
      <c r="N210" s="30">
        <v>-7</v>
      </c>
      <c r="O210" s="50"/>
      <c r="P210">
        <v>8</v>
      </c>
      <c r="R210">
        <v>2</v>
      </c>
      <c r="T210">
        <v>1</v>
      </c>
      <c r="U210">
        <v>1</v>
      </c>
      <c r="Y210">
        <v>1</v>
      </c>
    </row>
    <row r="211" spans="1:27" x14ac:dyDescent="0.3">
      <c r="A211" s="35" t="s">
        <v>247</v>
      </c>
      <c r="B211" s="30">
        <v>-7</v>
      </c>
      <c r="C211" s="30">
        <v>-7</v>
      </c>
      <c r="D211" s="30">
        <v>-7</v>
      </c>
      <c r="E211" s="30">
        <v>-7</v>
      </c>
      <c r="F211" s="30">
        <v>-7</v>
      </c>
      <c r="G211" s="30">
        <v>-7</v>
      </c>
      <c r="H211" s="30">
        <v>-7</v>
      </c>
      <c r="I211" s="30">
        <v>-1</v>
      </c>
      <c r="J211" s="30">
        <v>-7</v>
      </c>
      <c r="K211" s="30">
        <v>-7</v>
      </c>
      <c r="L211" s="30">
        <v>-7</v>
      </c>
      <c r="M211" s="30">
        <v>-7</v>
      </c>
      <c r="N211" s="30">
        <v>-7</v>
      </c>
      <c r="O211" s="50"/>
      <c r="P211">
        <v>90</v>
      </c>
      <c r="R211">
        <v>1</v>
      </c>
      <c r="T211">
        <v>2</v>
      </c>
      <c r="U211">
        <v>1</v>
      </c>
      <c r="Y211">
        <v>1</v>
      </c>
    </row>
    <row r="212" spans="1:27" x14ac:dyDescent="0.3">
      <c r="A212" s="35" t="s">
        <v>246</v>
      </c>
      <c r="B212" s="30">
        <v>-7</v>
      </c>
      <c r="C212" s="30">
        <v>-7</v>
      </c>
      <c r="D212" s="30">
        <v>-7</v>
      </c>
      <c r="E212" s="30">
        <v>-7</v>
      </c>
      <c r="F212" s="30">
        <v>-7</v>
      </c>
      <c r="G212" s="30">
        <v>-7</v>
      </c>
      <c r="H212" s="30">
        <v>-7</v>
      </c>
      <c r="I212" s="30">
        <v>1</v>
      </c>
      <c r="J212" s="30">
        <v>-7</v>
      </c>
      <c r="K212" s="30">
        <v>-7</v>
      </c>
      <c r="L212" s="30">
        <v>-7</v>
      </c>
      <c r="M212" s="30">
        <v>-7</v>
      </c>
      <c r="N212" s="30">
        <v>-7</v>
      </c>
      <c r="O212" s="50"/>
      <c r="P212">
        <v>12</v>
      </c>
      <c r="R212">
        <v>2</v>
      </c>
      <c r="T212">
        <v>1</v>
      </c>
      <c r="U212">
        <v>1</v>
      </c>
      <c r="Y212">
        <v>1</v>
      </c>
    </row>
    <row r="213" spans="1:27" x14ac:dyDescent="0.3">
      <c r="A213" s="35" t="s">
        <v>245</v>
      </c>
      <c r="B213" s="30">
        <v>-7</v>
      </c>
      <c r="C213" s="30">
        <v>-7</v>
      </c>
      <c r="D213" s="30">
        <v>-7</v>
      </c>
      <c r="E213" s="30">
        <v>-7</v>
      </c>
      <c r="F213" s="30">
        <v>-7</v>
      </c>
      <c r="G213" s="30">
        <v>-7</v>
      </c>
      <c r="H213" s="30">
        <v>-7</v>
      </c>
      <c r="I213" s="30">
        <v>-2</v>
      </c>
      <c r="J213" s="30">
        <v>-7</v>
      </c>
      <c r="K213" s="30">
        <v>-7</v>
      </c>
      <c r="L213" s="30">
        <v>-7</v>
      </c>
      <c r="M213" s="30">
        <v>-7</v>
      </c>
      <c r="N213" s="30">
        <v>-7</v>
      </c>
      <c r="O213" s="50"/>
      <c r="P213">
        <v>120</v>
      </c>
      <c r="R213">
        <v>2</v>
      </c>
      <c r="T213">
        <v>1</v>
      </c>
      <c r="U213">
        <v>1</v>
      </c>
      <c r="Y213">
        <v>1</v>
      </c>
    </row>
    <row r="214" spans="1:27" x14ac:dyDescent="0.3">
      <c r="A214" s="35" t="s">
        <v>244</v>
      </c>
      <c r="B214" s="30">
        <v>-7</v>
      </c>
      <c r="C214" s="30">
        <v>-7</v>
      </c>
      <c r="D214" s="30">
        <v>-7</v>
      </c>
      <c r="E214" s="30">
        <v>-7</v>
      </c>
      <c r="F214" s="30">
        <v>-7</v>
      </c>
      <c r="G214" s="30">
        <v>-7</v>
      </c>
      <c r="H214" s="30">
        <v>-7</v>
      </c>
      <c r="I214" s="30">
        <v>-3</v>
      </c>
      <c r="J214" s="30">
        <v>-7</v>
      </c>
      <c r="K214" s="30">
        <v>-7</v>
      </c>
      <c r="L214" s="30">
        <v>-7</v>
      </c>
      <c r="M214" s="30">
        <v>-7</v>
      </c>
      <c r="N214" s="30">
        <v>-7</v>
      </c>
      <c r="O214" s="50"/>
      <c r="P214">
        <v>60</v>
      </c>
      <c r="R214">
        <v>2</v>
      </c>
      <c r="U214">
        <v>1</v>
      </c>
      <c r="Y214">
        <v>1</v>
      </c>
    </row>
    <row r="215" spans="1:27" x14ac:dyDescent="0.3">
      <c r="A215" s="35" t="s">
        <v>243</v>
      </c>
      <c r="B215" s="30">
        <v>-7</v>
      </c>
      <c r="C215" s="30">
        <v>-7</v>
      </c>
      <c r="D215" s="30">
        <v>-7</v>
      </c>
      <c r="E215" s="30">
        <v>-7</v>
      </c>
      <c r="F215" s="30">
        <v>-7</v>
      </c>
      <c r="G215" s="30">
        <v>-7</v>
      </c>
      <c r="H215" s="30">
        <v>-7</v>
      </c>
      <c r="I215" s="30">
        <v>-1</v>
      </c>
      <c r="J215" s="30">
        <v>-7</v>
      </c>
      <c r="K215" s="30">
        <v>-7</v>
      </c>
      <c r="L215" s="30">
        <v>-7</v>
      </c>
      <c r="M215" s="30">
        <v>-7</v>
      </c>
      <c r="N215" s="30">
        <v>-7</v>
      </c>
      <c r="O215" s="50"/>
      <c r="P215">
        <v>17</v>
      </c>
      <c r="R215">
        <v>1</v>
      </c>
      <c r="U215">
        <v>2</v>
      </c>
      <c r="Y215">
        <v>1</v>
      </c>
    </row>
    <row r="216" spans="1:27" x14ac:dyDescent="0.3">
      <c r="A216" s="35" t="s">
        <v>242</v>
      </c>
      <c r="B216" s="30">
        <v>-7</v>
      </c>
      <c r="C216" s="30">
        <v>-7</v>
      </c>
      <c r="D216" s="30">
        <v>-7</v>
      </c>
      <c r="E216" s="30">
        <v>-7</v>
      </c>
      <c r="F216" s="30">
        <v>-7</v>
      </c>
      <c r="G216" s="30">
        <v>-7</v>
      </c>
      <c r="H216" s="30">
        <v>-7</v>
      </c>
      <c r="I216" s="30">
        <v>-7</v>
      </c>
      <c r="J216" s="30">
        <v>-7</v>
      </c>
      <c r="K216" s="30">
        <v>-7</v>
      </c>
      <c r="L216" s="30">
        <v>-7</v>
      </c>
      <c r="M216" s="30">
        <v>-3</v>
      </c>
      <c r="N216" s="30">
        <v>-7</v>
      </c>
      <c r="O216" s="50"/>
      <c r="P216">
        <v>80</v>
      </c>
      <c r="Q216">
        <v>1</v>
      </c>
      <c r="R216">
        <v>2</v>
      </c>
      <c r="Y216">
        <v>2</v>
      </c>
      <c r="AA216">
        <v>1</v>
      </c>
    </row>
    <row r="217" spans="1:27" x14ac:dyDescent="0.3">
      <c r="A217" s="35" t="s">
        <v>241</v>
      </c>
      <c r="B217" s="30">
        <v>-7</v>
      </c>
      <c r="C217" s="30">
        <v>-7</v>
      </c>
      <c r="D217" s="30">
        <v>-7</v>
      </c>
      <c r="E217" s="30">
        <v>-7</v>
      </c>
      <c r="F217" s="30">
        <v>-7</v>
      </c>
      <c r="G217" s="30">
        <v>-7</v>
      </c>
      <c r="H217" s="30">
        <v>-7</v>
      </c>
      <c r="I217" s="30">
        <v>-7</v>
      </c>
      <c r="J217" s="30">
        <v>-7</v>
      </c>
      <c r="K217" s="30">
        <v>-7</v>
      </c>
      <c r="L217" s="30">
        <v>2</v>
      </c>
      <c r="M217" s="30">
        <v>-7</v>
      </c>
      <c r="N217" s="30">
        <v>-7</v>
      </c>
      <c r="O217" s="50"/>
      <c r="P217">
        <v>12</v>
      </c>
    </row>
    <row r="218" spans="1:27" x14ac:dyDescent="0.3">
      <c r="A218" s="35" t="s">
        <v>240</v>
      </c>
      <c r="B218" s="30">
        <v>-7</v>
      </c>
      <c r="C218" s="30">
        <v>-7</v>
      </c>
      <c r="D218" s="30">
        <v>-7</v>
      </c>
      <c r="E218" s="30">
        <v>-7</v>
      </c>
      <c r="F218" s="30">
        <v>-7</v>
      </c>
      <c r="G218" s="30">
        <v>-7</v>
      </c>
      <c r="H218" s="30">
        <v>-7</v>
      </c>
      <c r="I218" s="30">
        <v>-7</v>
      </c>
      <c r="J218" s="30">
        <v>-7</v>
      </c>
      <c r="K218" s="30">
        <v>-7</v>
      </c>
      <c r="L218" s="30">
        <v>-7</v>
      </c>
      <c r="M218" s="30">
        <v>-7</v>
      </c>
      <c r="N218" s="30">
        <v>-7</v>
      </c>
      <c r="O218" s="50"/>
      <c r="P218">
        <v>150</v>
      </c>
      <c r="Q218">
        <v>1</v>
      </c>
      <c r="Y218">
        <v>1</v>
      </c>
      <c r="AA218">
        <v>2</v>
      </c>
    </row>
    <row r="219" spans="1:27" x14ac:dyDescent="0.3">
      <c r="A219" s="35" t="s">
        <v>239</v>
      </c>
      <c r="B219" s="30">
        <v>-7</v>
      </c>
      <c r="C219" s="30">
        <v>-7</v>
      </c>
      <c r="D219" s="30">
        <v>-7</v>
      </c>
      <c r="E219" s="30">
        <v>-7</v>
      </c>
      <c r="F219" s="30">
        <v>-7</v>
      </c>
      <c r="G219" s="30">
        <v>-7</v>
      </c>
      <c r="H219" s="30">
        <v>-7</v>
      </c>
      <c r="I219" s="30">
        <v>-7</v>
      </c>
      <c r="J219" s="30">
        <v>-7</v>
      </c>
      <c r="K219" s="30">
        <v>-7</v>
      </c>
      <c r="L219" s="30">
        <v>-7</v>
      </c>
      <c r="M219" s="30">
        <v>0</v>
      </c>
      <c r="N219" s="30">
        <v>-7</v>
      </c>
      <c r="O219" s="50"/>
      <c r="P219">
        <v>34</v>
      </c>
      <c r="U219">
        <v>1</v>
      </c>
      <c r="Y219">
        <v>1</v>
      </c>
      <c r="AA219">
        <v>2</v>
      </c>
    </row>
    <row r="220" spans="1:27" x14ac:dyDescent="0.3">
      <c r="A220" s="35" t="s">
        <v>238</v>
      </c>
      <c r="B220" s="30">
        <v>-7</v>
      </c>
      <c r="C220" s="30">
        <v>-7</v>
      </c>
      <c r="D220" s="30">
        <v>-7</v>
      </c>
      <c r="E220" s="30">
        <v>-7</v>
      </c>
      <c r="F220" s="30">
        <v>-7</v>
      </c>
      <c r="G220" s="30">
        <v>-7</v>
      </c>
      <c r="H220" s="30">
        <v>-7</v>
      </c>
      <c r="I220" s="30">
        <v>-7</v>
      </c>
      <c r="J220" s="30">
        <v>-7</v>
      </c>
      <c r="K220" s="30">
        <v>-7</v>
      </c>
      <c r="L220" s="30">
        <v>-7</v>
      </c>
      <c r="M220" s="30">
        <v>-7</v>
      </c>
      <c r="N220" s="30">
        <v>-7</v>
      </c>
      <c r="O220" s="50"/>
      <c r="P220">
        <v>160</v>
      </c>
      <c r="S220">
        <v>1</v>
      </c>
      <c r="Y220">
        <v>1</v>
      </c>
      <c r="AA220">
        <v>2</v>
      </c>
    </row>
    <row r="221" spans="1:27" x14ac:dyDescent="0.3">
      <c r="A221" s="35" t="s">
        <v>237</v>
      </c>
      <c r="B221" s="30">
        <v>-7</v>
      </c>
      <c r="C221" s="30">
        <v>-7</v>
      </c>
      <c r="D221" s="30">
        <v>-7</v>
      </c>
      <c r="E221" s="30">
        <v>-7</v>
      </c>
      <c r="F221" s="30">
        <v>-7</v>
      </c>
      <c r="G221" s="30">
        <v>-7</v>
      </c>
      <c r="H221" s="30">
        <v>-7</v>
      </c>
      <c r="I221" s="30">
        <v>-7</v>
      </c>
      <c r="J221" s="30">
        <v>-7</v>
      </c>
      <c r="K221" s="30">
        <v>-7</v>
      </c>
      <c r="L221" s="30">
        <v>-7</v>
      </c>
      <c r="M221" s="30">
        <v>-7</v>
      </c>
      <c r="N221" s="30">
        <v>-7</v>
      </c>
      <c r="O221" s="50"/>
      <c r="P221">
        <v>180</v>
      </c>
      <c r="AA221">
        <v>1</v>
      </c>
    </row>
    <row r="222" spans="1:27" x14ac:dyDescent="0.3">
      <c r="A222" s="35" t="s">
        <v>236</v>
      </c>
      <c r="B222" s="30">
        <v>-7</v>
      </c>
      <c r="C222" s="30">
        <v>-7</v>
      </c>
      <c r="D222" s="30">
        <v>-7</v>
      </c>
      <c r="E222" s="30">
        <v>-7</v>
      </c>
      <c r="F222" s="30">
        <v>-7</v>
      </c>
      <c r="G222" s="30">
        <v>-7</v>
      </c>
      <c r="H222" s="30">
        <v>-7</v>
      </c>
      <c r="I222" s="30">
        <v>-7</v>
      </c>
      <c r="J222" s="30">
        <v>-7</v>
      </c>
      <c r="K222" s="30">
        <v>-7</v>
      </c>
      <c r="L222" s="30">
        <v>-7</v>
      </c>
      <c r="M222" s="30">
        <v>-7</v>
      </c>
      <c r="N222" s="30">
        <v>-7</v>
      </c>
      <c r="O222" s="50"/>
      <c r="P222">
        <v>115</v>
      </c>
      <c r="R222">
        <v>1</v>
      </c>
    </row>
    <row r="223" spans="1:27" x14ac:dyDescent="0.3">
      <c r="A223" s="35" t="s">
        <v>235</v>
      </c>
      <c r="B223" s="30">
        <v>-7</v>
      </c>
      <c r="C223" s="30">
        <v>-7</v>
      </c>
      <c r="D223" s="30">
        <v>-7</v>
      </c>
      <c r="E223" s="30">
        <v>-7</v>
      </c>
      <c r="F223" s="30">
        <v>-7</v>
      </c>
      <c r="G223" s="30">
        <v>-7</v>
      </c>
      <c r="H223" s="30">
        <v>-7</v>
      </c>
      <c r="I223" s="30">
        <v>-7</v>
      </c>
      <c r="J223" s="30">
        <v>-7</v>
      </c>
      <c r="K223" s="30">
        <v>-7</v>
      </c>
      <c r="L223" s="30">
        <v>-7</v>
      </c>
      <c r="M223" s="30">
        <v>-7</v>
      </c>
      <c r="N223" s="30">
        <v>-7</v>
      </c>
      <c r="O223" s="50"/>
      <c r="P223">
        <v>100</v>
      </c>
      <c r="T223">
        <v>1</v>
      </c>
    </row>
    <row r="224" spans="1:27" x14ac:dyDescent="0.3">
      <c r="A224" s="35" t="s">
        <v>234</v>
      </c>
      <c r="B224" s="30">
        <v>-7</v>
      </c>
      <c r="C224" s="30">
        <v>-7</v>
      </c>
      <c r="D224" s="30">
        <v>-7</v>
      </c>
      <c r="E224" s="30">
        <v>-7</v>
      </c>
      <c r="F224" s="30">
        <v>-7</v>
      </c>
      <c r="G224" s="30">
        <v>-7</v>
      </c>
      <c r="H224" s="30">
        <v>-7</v>
      </c>
      <c r="I224" s="30">
        <v>-7</v>
      </c>
      <c r="J224" s="30">
        <v>-7</v>
      </c>
      <c r="K224" s="30">
        <v>-7</v>
      </c>
      <c r="L224" s="30">
        <v>-7</v>
      </c>
      <c r="M224" s="30">
        <v>-7</v>
      </c>
      <c r="N224" s="30">
        <v>-7</v>
      </c>
      <c r="O224" s="50"/>
      <c r="P224">
        <v>60</v>
      </c>
    </row>
    <row r="225" spans="1:29" x14ac:dyDescent="0.3">
      <c r="A225" s="35" t="s">
        <v>233</v>
      </c>
      <c r="B225" s="30">
        <v>-7</v>
      </c>
      <c r="C225" s="30">
        <v>-7</v>
      </c>
      <c r="D225" s="30">
        <v>-4</v>
      </c>
      <c r="E225" s="30">
        <v>-7</v>
      </c>
      <c r="F225" s="30">
        <v>-7</v>
      </c>
      <c r="G225" s="30">
        <v>-7</v>
      </c>
      <c r="H225" s="30">
        <v>-7</v>
      </c>
      <c r="I225" s="30">
        <v>-7</v>
      </c>
      <c r="J225" s="30">
        <v>-7</v>
      </c>
      <c r="K225" s="30">
        <v>-7</v>
      </c>
      <c r="L225" s="30">
        <v>-7</v>
      </c>
      <c r="M225" s="30">
        <v>-7</v>
      </c>
      <c r="N225" s="30">
        <v>-7</v>
      </c>
      <c r="O225" s="50"/>
      <c r="P225">
        <v>100</v>
      </c>
    </row>
    <row r="226" spans="1:29" x14ac:dyDescent="0.3">
      <c r="A226" s="35" t="s">
        <v>232</v>
      </c>
      <c r="B226" s="30">
        <v>-7</v>
      </c>
      <c r="C226" s="30">
        <v>-7</v>
      </c>
      <c r="D226" s="30">
        <v>-7</v>
      </c>
      <c r="E226" s="30">
        <v>-7</v>
      </c>
      <c r="F226" s="30">
        <v>-7</v>
      </c>
      <c r="G226" s="30">
        <v>-7</v>
      </c>
      <c r="H226" s="30">
        <v>-7</v>
      </c>
      <c r="I226" s="30">
        <v>-7</v>
      </c>
      <c r="J226" s="30">
        <v>-7</v>
      </c>
      <c r="K226" s="30">
        <v>-7</v>
      </c>
      <c r="L226" s="30">
        <v>-7</v>
      </c>
      <c r="M226" s="30">
        <v>-7</v>
      </c>
      <c r="N226" s="30">
        <v>-7</v>
      </c>
      <c r="O226" s="50"/>
      <c r="P226">
        <v>120</v>
      </c>
    </row>
    <row r="227" spans="1:29" x14ac:dyDescent="0.3">
      <c r="A227" s="35" t="s">
        <v>231</v>
      </c>
      <c r="B227" s="30">
        <v>-7</v>
      </c>
      <c r="C227" s="30">
        <v>-7</v>
      </c>
      <c r="D227" s="30">
        <v>-7</v>
      </c>
      <c r="E227" s="30">
        <v>-7</v>
      </c>
      <c r="F227" s="30">
        <v>-7</v>
      </c>
      <c r="G227" s="30">
        <v>-7</v>
      </c>
      <c r="H227" s="30">
        <v>-7</v>
      </c>
      <c r="I227" s="30">
        <v>-7</v>
      </c>
      <c r="J227" s="30">
        <v>-7</v>
      </c>
      <c r="K227" s="30">
        <v>-7</v>
      </c>
      <c r="L227" s="30">
        <v>-7</v>
      </c>
      <c r="M227" s="30">
        <v>-7</v>
      </c>
      <c r="N227" s="30">
        <v>-7</v>
      </c>
      <c r="O227" s="50"/>
      <c r="P227">
        <v>160</v>
      </c>
    </row>
    <row r="228" spans="1:29" x14ac:dyDescent="0.3">
      <c r="A228" s="35" t="s">
        <v>230</v>
      </c>
      <c r="B228" s="30">
        <v>-7</v>
      </c>
      <c r="C228" s="30">
        <v>0</v>
      </c>
      <c r="D228" s="30">
        <v>-7</v>
      </c>
      <c r="E228" s="30">
        <v>-7</v>
      </c>
      <c r="F228" s="30">
        <v>-7</v>
      </c>
      <c r="G228" s="30">
        <v>-7</v>
      </c>
      <c r="H228" s="30">
        <v>-7</v>
      </c>
      <c r="I228" s="30">
        <v>-7</v>
      </c>
      <c r="J228" s="30">
        <v>-7</v>
      </c>
      <c r="K228" s="30">
        <v>-2</v>
      </c>
      <c r="L228" s="30">
        <v>-7</v>
      </c>
      <c r="M228" s="30">
        <v>-7</v>
      </c>
      <c r="N228" s="30">
        <v>-7</v>
      </c>
      <c r="O228" s="50"/>
      <c r="P228">
        <v>80</v>
      </c>
    </row>
    <row r="229" spans="1:29" x14ac:dyDescent="0.3">
      <c r="A229" s="35" t="s">
        <v>229</v>
      </c>
      <c r="B229" s="30">
        <v>-7</v>
      </c>
      <c r="C229" s="30">
        <v>-4</v>
      </c>
      <c r="D229" s="30">
        <v>-7</v>
      </c>
      <c r="E229" s="30">
        <v>-7</v>
      </c>
      <c r="F229" s="30">
        <v>-7</v>
      </c>
      <c r="G229" s="30">
        <v>-7</v>
      </c>
      <c r="H229" s="30">
        <v>-7</v>
      </c>
      <c r="I229" s="30">
        <v>-7</v>
      </c>
      <c r="J229" s="30">
        <v>-7</v>
      </c>
      <c r="K229" s="30">
        <v>-7</v>
      </c>
      <c r="L229" s="30">
        <v>-7</v>
      </c>
      <c r="M229" s="30">
        <v>-7</v>
      </c>
      <c r="N229" s="30">
        <v>-7</v>
      </c>
      <c r="O229" s="50"/>
      <c r="P229">
        <v>120</v>
      </c>
    </row>
    <row r="230" spans="1:29" x14ac:dyDescent="0.3">
      <c r="A230" s="35" t="s">
        <v>228</v>
      </c>
      <c r="B230" s="30">
        <v>-7</v>
      </c>
      <c r="C230" s="30">
        <v>-7</v>
      </c>
      <c r="D230" s="30">
        <v>-7</v>
      </c>
      <c r="E230" s="30">
        <v>-7</v>
      </c>
      <c r="F230" s="30">
        <v>-7</v>
      </c>
      <c r="G230" s="30">
        <v>-7</v>
      </c>
      <c r="H230" s="30">
        <v>-7</v>
      </c>
      <c r="I230" s="30">
        <v>-7</v>
      </c>
      <c r="J230" s="30">
        <v>-7</v>
      </c>
      <c r="K230" s="30">
        <v>-7</v>
      </c>
      <c r="L230" s="30">
        <v>-7</v>
      </c>
      <c r="M230" s="30">
        <v>-7</v>
      </c>
      <c r="N230" s="30">
        <v>-7</v>
      </c>
      <c r="O230" s="50"/>
      <c r="P230">
        <v>160</v>
      </c>
    </row>
    <row r="231" spans="1:29" x14ac:dyDescent="0.3">
      <c r="A231" s="35" t="s">
        <v>227</v>
      </c>
      <c r="B231" s="30">
        <v>-7</v>
      </c>
      <c r="C231" s="30">
        <v>0</v>
      </c>
      <c r="D231" s="30">
        <v>-7</v>
      </c>
      <c r="E231" s="30">
        <v>-7</v>
      </c>
      <c r="F231" s="30">
        <v>-7</v>
      </c>
      <c r="G231" s="30">
        <v>-7</v>
      </c>
      <c r="H231" s="30">
        <v>-7</v>
      </c>
      <c r="I231" s="30">
        <v>-7</v>
      </c>
      <c r="J231" s="30">
        <v>-7</v>
      </c>
      <c r="K231" s="30">
        <v>-7</v>
      </c>
      <c r="L231" s="30">
        <v>-7</v>
      </c>
      <c r="M231" s="30">
        <v>-7</v>
      </c>
      <c r="N231" s="30">
        <v>-7</v>
      </c>
      <c r="O231" s="50"/>
      <c r="P231">
        <v>35</v>
      </c>
    </row>
    <row r="232" spans="1:29" x14ac:dyDescent="0.3">
      <c r="A232" s="35" t="s">
        <v>226</v>
      </c>
      <c r="B232" s="30">
        <v>-7</v>
      </c>
      <c r="C232" s="30">
        <v>0</v>
      </c>
      <c r="D232" s="30">
        <v>-7</v>
      </c>
      <c r="E232" s="30">
        <v>-7</v>
      </c>
      <c r="F232" s="30">
        <v>-7</v>
      </c>
      <c r="G232" s="30">
        <v>-7</v>
      </c>
      <c r="H232" s="30">
        <v>-7</v>
      </c>
      <c r="I232" s="30">
        <v>-7</v>
      </c>
      <c r="J232" s="30">
        <v>-7</v>
      </c>
      <c r="K232" s="30">
        <v>-7</v>
      </c>
      <c r="L232" s="30">
        <v>-7</v>
      </c>
      <c r="M232" s="30">
        <v>-7</v>
      </c>
      <c r="N232" s="30">
        <v>-7</v>
      </c>
      <c r="O232" s="50"/>
      <c r="P232">
        <v>80</v>
      </c>
      <c r="Y232">
        <v>2</v>
      </c>
      <c r="AA232">
        <v>1</v>
      </c>
    </row>
    <row r="233" spans="1:29" x14ac:dyDescent="0.3">
      <c r="A233" s="35" t="s">
        <v>225</v>
      </c>
      <c r="B233" s="30">
        <v>-7</v>
      </c>
      <c r="C233" s="30">
        <v>0</v>
      </c>
      <c r="D233" s="30">
        <v>-7</v>
      </c>
      <c r="E233" s="30">
        <v>-7</v>
      </c>
      <c r="F233" s="30">
        <v>-7</v>
      </c>
      <c r="G233" s="30">
        <v>-7</v>
      </c>
      <c r="H233" s="30">
        <v>-7</v>
      </c>
      <c r="I233" s="30">
        <v>-7</v>
      </c>
      <c r="J233" s="30">
        <v>-7</v>
      </c>
      <c r="K233" s="30">
        <v>-7</v>
      </c>
      <c r="L233" s="30">
        <v>-7</v>
      </c>
      <c r="M233" s="30">
        <v>-7</v>
      </c>
      <c r="N233" s="30">
        <v>-7</v>
      </c>
      <c r="O233" s="50"/>
      <c r="P233">
        <v>11</v>
      </c>
      <c r="Q233">
        <v>1</v>
      </c>
      <c r="Y233">
        <v>1</v>
      </c>
      <c r="AA233">
        <v>3</v>
      </c>
    </row>
    <row r="234" spans="1:29" x14ac:dyDescent="0.3">
      <c r="A234" s="35" t="s">
        <v>224</v>
      </c>
      <c r="B234" s="30">
        <v>-7</v>
      </c>
      <c r="C234" s="30">
        <v>0</v>
      </c>
      <c r="D234" s="30">
        <v>-7</v>
      </c>
      <c r="E234" s="30">
        <v>-7</v>
      </c>
      <c r="F234" s="30">
        <v>-7</v>
      </c>
      <c r="G234" s="30">
        <v>-7</v>
      </c>
      <c r="H234" s="30">
        <v>-7</v>
      </c>
      <c r="I234" s="30">
        <v>-7</v>
      </c>
      <c r="J234" s="30">
        <v>-7</v>
      </c>
      <c r="K234" s="30">
        <v>-7</v>
      </c>
      <c r="L234" s="30">
        <v>-7</v>
      </c>
      <c r="M234" s="30">
        <v>-7</v>
      </c>
      <c r="N234" s="30">
        <v>-7</v>
      </c>
      <c r="O234" s="50"/>
      <c r="P234">
        <v>32</v>
      </c>
      <c r="Q234">
        <v>1</v>
      </c>
      <c r="Y234">
        <v>1</v>
      </c>
      <c r="AA234">
        <v>3</v>
      </c>
    </row>
    <row r="235" spans="1:29" x14ac:dyDescent="0.3">
      <c r="A235" s="35" t="s">
        <v>223</v>
      </c>
      <c r="B235" s="30">
        <v>-7</v>
      </c>
      <c r="C235" s="30">
        <v>-3</v>
      </c>
      <c r="D235" s="30">
        <v>-7</v>
      </c>
      <c r="E235" s="30">
        <v>-7</v>
      </c>
      <c r="F235" s="30">
        <v>-7</v>
      </c>
      <c r="G235" s="30">
        <v>-7</v>
      </c>
      <c r="H235" s="30">
        <v>-7</v>
      </c>
      <c r="I235" s="30">
        <v>-7</v>
      </c>
      <c r="J235" s="30">
        <v>-7</v>
      </c>
      <c r="K235" s="30">
        <v>-7</v>
      </c>
      <c r="L235" s="30">
        <v>-7</v>
      </c>
      <c r="M235" s="30">
        <v>-7</v>
      </c>
      <c r="N235" s="30">
        <v>-7</v>
      </c>
      <c r="O235" s="50"/>
      <c r="P235">
        <v>80</v>
      </c>
      <c r="Q235">
        <v>1</v>
      </c>
      <c r="Y235">
        <v>1</v>
      </c>
      <c r="AA235">
        <v>3</v>
      </c>
    </row>
    <row r="236" spans="1:29" x14ac:dyDescent="0.3">
      <c r="A236" s="35" t="s">
        <v>222</v>
      </c>
      <c r="B236" s="30">
        <v>-7</v>
      </c>
      <c r="C236" s="30">
        <v>-4</v>
      </c>
      <c r="D236" s="30">
        <v>-7</v>
      </c>
      <c r="E236" s="30">
        <v>-7</v>
      </c>
      <c r="F236" s="30">
        <v>-7</v>
      </c>
      <c r="G236" s="30">
        <v>-7</v>
      </c>
      <c r="H236" s="30">
        <v>-7</v>
      </c>
      <c r="I236" s="30">
        <v>-7</v>
      </c>
      <c r="J236" s="30">
        <v>-7</v>
      </c>
      <c r="K236" s="30">
        <v>-7</v>
      </c>
      <c r="L236" s="30">
        <v>-7</v>
      </c>
      <c r="M236" s="30">
        <v>-7</v>
      </c>
      <c r="N236" s="30">
        <v>-7</v>
      </c>
      <c r="O236" s="50"/>
      <c r="P236">
        <v>100</v>
      </c>
      <c r="Q236">
        <v>1</v>
      </c>
      <c r="Y236">
        <v>1</v>
      </c>
      <c r="AA236">
        <v>3</v>
      </c>
    </row>
    <row r="237" spans="1:29" x14ac:dyDescent="0.3">
      <c r="A237" s="35" t="s">
        <v>221</v>
      </c>
      <c r="B237" s="30">
        <v>-7</v>
      </c>
      <c r="C237" s="30">
        <v>0</v>
      </c>
      <c r="D237" s="30">
        <v>-7</v>
      </c>
      <c r="E237" s="30">
        <v>-7</v>
      </c>
      <c r="F237" s="30">
        <v>-7</v>
      </c>
      <c r="G237" s="30">
        <v>-7</v>
      </c>
      <c r="H237" s="30">
        <v>-7</v>
      </c>
      <c r="I237" s="30">
        <v>-7</v>
      </c>
      <c r="J237" s="30">
        <v>-7</v>
      </c>
      <c r="K237" s="30">
        <v>-7</v>
      </c>
      <c r="L237" s="30">
        <v>-7</v>
      </c>
      <c r="M237" s="30">
        <v>-7</v>
      </c>
      <c r="N237" s="30">
        <v>-7</v>
      </c>
      <c r="O237" s="50"/>
      <c r="P237">
        <v>18</v>
      </c>
      <c r="Y237">
        <v>1</v>
      </c>
      <c r="AA237">
        <v>1</v>
      </c>
    </row>
    <row r="238" spans="1:29" x14ac:dyDescent="0.3">
      <c r="A238" s="35" t="s">
        <v>220</v>
      </c>
      <c r="B238" s="30">
        <v>-7</v>
      </c>
      <c r="C238" s="30">
        <v>-7</v>
      </c>
      <c r="D238" s="30">
        <v>-7</v>
      </c>
      <c r="E238" s="30">
        <v>-7</v>
      </c>
      <c r="F238" s="30">
        <v>-7</v>
      </c>
      <c r="G238" s="30">
        <v>-7</v>
      </c>
      <c r="H238" s="30">
        <v>-7</v>
      </c>
      <c r="I238" s="30">
        <v>-7</v>
      </c>
      <c r="J238" s="30">
        <v>-7</v>
      </c>
      <c r="K238" s="30">
        <v>-7</v>
      </c>
      <c r="L238" s="30">
        <v>0</v>
      </c>
      <c r="M238" s="30">
        <v>-3</v>
      </c>
      <c r="N238" s="30">
        <v>-7</v>
      </c>
      <c r="O238" s="50"/>
      <c r="P238">
        <v>25</v>
      </c>
    </row>
    <row r="239" spans="1:29" x14ac:dyDescent="0.3">
      <c r="A239" s="35" t="s">
        <v>219</v>
      </c>
      <c r="B239" s="30">
        <v>-7</v>
      </c>
      <c r="C239" s="30">
        <v>0</v>
      </c>
      <c r="D239" s="30">
        <v>-7</v>
      </c>
      <c r="E239" s="30">
        <v>-7</v>
      </c>
      <c r="F239" s="30">
        <v>-7</v>
      </c>
      <c r="G239" s="30">
        <v>-7</v>
      </c>
      <c r="H239" s="30">
        <v>-7</v>
      </c>
      <c r="I239" s="30">
        <v>-7</v>
      </c>
      <c r="J239" s="30">
        <v>-7</v>
      </c>
      <c r="K239" s="30">
        <v>4</v>
      </c>
      <c r="L239" s="30">
        <v>-7</v>
      </c>
      <c r="M239" s="30">
        <v>-7</v>
      </c>
      <c r="N239" s="30">
        <v>-7</v>
      </c>
      <c r="O239" s="50"/>
      <c r="AA239">
        <v>1</v>
      </c>
      <c r="AC239">
        <v>20</v>
      </c>
    </row>
    <row r="243" spans="3:13" x14ac:dyDescent="0.3">
      <c r="D243" s="61" t="s">
        <v>573</v>
      </c>
      <c r="E243" s="61" t="s">
        <v>574</v>
      </c>
      <c r="F243" s="61" t="s">
        <v>577</v>
      </c>
      <c r="G243" s="61" t="s">
        <v>575</v>
      </c>
      <c r="H243" s="61" t="s">
        <v>576</v>
      </c>
      <c r="I243" s="61" t="s">
        <v>578</v>
      </c>
      <c r="J243" s="61" t="s">
        <v>579</v>
      </c>
      <c r="K243" s="61" t="s">
        <v>580</v>
      </c>
      <c r="L243" s="61" t="s">
        <v>581</v>
      </c>
      <c r="M243" s="61" t="s">
        <v>582</v>
      </c>
    </row>
    <row r="244" spans="3:13" x14ac:dyDescent="0.3">
      <c r="C244" t="s">
        <v>510</v>
      </c>
      <c r="D244">
        <v>0</v>
      </c>
      <c r="E244">
        <v>0</v>
      </c>
      <c r="F244">
        <v>-3</v>
      </c>
      <c r="G244">
        <v>-3</v>
      </c>
      <c r="H244">
        <v>1</v>
      </c>
      <c r="I244">
        <v>-2</v>
      </c>
      <c r="J244">
        <v>-1</v>
      </c>
      <c r="K244">
        <v>0</v>
      </c>
      <c r="L244">
        <v>-1</v>
      </c>
      <c r="M244" s="47">
        <v>0</v>
      </c>
    </row>
    <row r="245" spans="3:13" x14ac:dyDescent="0.3">
      <c r="C245" t="s">
        <v>571</v>
      </c>
      <c r="D245">
        <v>0</v>
      </c>
      <c r="E245">
        <v>0</v>
      </c>
      <c r="F245">
        <v>2</v>
      </c>
      <c r="G245">
        <v>1</v>
      </c>
      <c r="H245">
        <v>3</v>
      </c>
      <c r="I245">
        <v>0</v>
      </c>
      <c r="J245">
        <v>0</v>
      </c>
      <c r="K245">
        <v>1</v>
      </c>
      <c r="L245">
        <v>1</v>
      </c>
      <c r="M245" s="47">
        <v>1</v>
      </c>
    </row>
    <row r="246" spans="3:13" x14ac:dyDescent="0.3">
      <c r="C246" t="s">
        <v>572</v>
      </c>
      <c r="D246">
        <v>0</v>
      </c>
      <c r="E246">
        <v>0</v>
      </c>
      <c r="F246">
        <v>2</v>
      </c>
      <c r="G246">
        <v>1</v>
      </c>
      <c r="H246">
        <v>3</v>
      </c>
      <c r="I246">
        <v>0</v>
      </c>
      <c r="J246">
        <v>0</v>
      </c>
      <c r="K246">
        <v>1</v>
      </c>
      <c r="L246">
        <v>1</v>
      </c>
      <c r="M246" s="47">
        <v>1</v>
      </c>
    </row>
    <row r="247" spans="3:13" x14ac:dyDescent="0.3">
      <c r="C247" t="s">
        <v>513</v>
      </c>
      <c r="D247">
        <v>0</v>
      </c>
      <c r="E247">
        <v>0</v>
      </c>
      <c r="F247">
        <v>-2</v>
      </c>
      <c r="G247">
        <v>-1</v>
      </c>
      <c r="H247">
        <v>-1</v>
      </c>
      <c r="I247">
        <v>0</v>
      </c>
      <c r="J247">
        <v>0</v>
      </c>
      <c r="K247">
        <v>-2</v>
      </c>
      <c r="L247">
        <v>-1</v>
      </c>
      <c r="M247" s="47">
        <v>2</v>
      </c>
    </row>
    <row r="248" spans="3:13" x14ac:dyDescent="0.3">
      <c r="C248" t="s">
        <v>514</v>
      </c>
      <c r="D248">
        <v>0</v>
      </c>
      <c r="E248">
        <v>0</v>
      </c>
      <c r="F248">
        <v>0</v>
      </c>
      <c r="G248">
        <v>-1</v>
      </c>
      <c r="H248">
        <v>-1</v>
      </c>
      <c r="I248">
        <v>0</v>
      </c>
      <c r="J248">
        <v>0</v>
      </c>
      <c r="K248">
        <v>-2</v>
      </c>
      <c r="L248">
        <v>0</v>
      </c>
      <c r="M248" s="47">
        <v>3</v>
      </c>
    </row>
  </sheetData>
  <autoFilter ref="A2:AI239" xr:uid="{87C49DCE-E339-4812-A1E4-C3E1C104D3F9}"/>
  <conditionalFormatting sqref="B3:O239">
    <cfRule type="cellIs" dxfId="24" priority="1" operator="equal">
      <formula>-7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4A08D-E155-48FF-A0F1-FC751419A2EF}">
  <sheetPr codeName="Sheet11"/>
  <dimension ref="A1:AJ104"/>
  <sheetViews>
    <sheetView workbookViewId="0">
      <pane xSplit="1" ySplit="2" topLeftCell="B5" activePane="bottomRight" state="frozen"/>
      <selection pane="topRight" activeCell="B1" sqref="B1"/>
      <selection pane="bottomLeft" activeCell="A3" sqref="A3"/>
      <selection pane="bottomRight" activeCell="A19" sqref="A19"/>
    </sheetView>
  </sheetViews>
  <sheetFormatPr defaultRowHeight="14.4" x14ac:dyDescent="0.3"/>
  <cols>
    <col min="1" max="1" width="19" customWidth="1"/>
    <col min="2" max="29" width="8.77734375" customWidth="1"/>
  </cols>
  <sheetData>
    <row r="1" spans="1:36" x14ac:dyDescent="0.3">
      <c r="A1" s="35" t="s">
        <v>501</v>
      </c>
      <c r="P1" t="s">
        <v>500</v>
      </c>
    </row>
    <row r="2" spans="1:36" s="33" customFormat="1" x14ac:dyDescent="0.3">
      <c r="A2" s="37"/>
      <c r="B2" s="33" t="s">
        <v>111</v>
      </c>
      <c r="C2" s="33" t="s">
        <v>112</v>
      </c>
      <c r="D2" s="33" t="s">
        <v>113</v>
      </c>
      <c r="E2" s="33" t="s">
        <v>114</v>
      </c>
      <c r="F2" s="33" t="s">
        <v>115</v>
      </c>
      <c r="G2" s="33" t="s">
        <v>116</v>
      </c>
      <c r="H2" s="33" t="s">
        <v>117</v>
      </c>
      <c r="I2" s="33" t="s">
        <v>118</v>
      </c>
      <c r="J2" s="33" t="s">
        <v>119</v>
      </c>
      <c r="K2" s="33" t="s">
        <v>120</v>
      </c>
      <c r="L2" s="33" t="s">
        <v>121</v>
      </c>
      <c r="M2" s="33" t="s">
        <v>122</v>
      </c>
      <c r="N2" s="33" t="s">
        <v>123</v>
      </c>
      <c r="O2" s="39" t="s">
        <v>508</v>
      </c>
      <c r="P2" s="33" t="s">
        <v>124</v>
      </c>
      <c r="Q2" s="33" t="s">
        <v>125</v>
      </c>
      <c r="R2" s="33" t="s">
        <v>132</v>
      </c>
      <c r="S2" s="33" t="s">
        <v>126</v>
      </c>
      <c r="T2" s="33" t="s">
        <v>135</v>
      </c>
      <c r="U2" s="33" t="s">
        <v>127</v>
      </c>
      <c r="V2" s="33" t="s">
        <v>128</v>
      </c>
      <c r="W2" s="33" t="s">
        <v>129</v>
      </c>
      <c r="X2" s="33" t="s">
        <v>133</v>
      </c>
      <c r="Y2" s="33" t="s">
        <v>130</v>
      </c>
      <c r="Z2" s="33" t="s">
        <v>131</v>
      </c>
      <c r="AA2" s="33" t="s">
        <v>134</v>
      </c>
      <c r="AB2" s="33" t="s">
        <v>136</v>
      </c>
      <c r="AC2" s="33" t="s">
        <v>137</v>
      </c>
      <c r="AD2" s="33" t="s">
        <v>138</v>
      </c>
      <c r="AE2" s="33" t="s">
        <v>139</v>
      </c>
      <c r="AF2" s="33" t="s">
        <v>140</v>
      </c>
      <c r="AG2" s="33" t="s">
        <v>141</v>
      </c>
      <c r="AH2" s="33" t="s">
        <v>142</v>
      </c>
      <c r="AI2" s="33" t="s">
        <v>143</v>
      </c>
      <c r="AJ2" s="33" t="s">
        <v>499</v>
      </c>
    </row>
    <row r="3" spans="1:36" x14ac:dyDescent="0.3">
      <c r="A3" s="49" t="s">
        <v>450</v>
      </c>
      <c r="B3" s="48">
        <v>-7</v>
      </c>
      <c r="C3" s="48">
        <v>-7</v>
      </c>
      <c r="D3" s="48">
        <v>-7</v>
      </c>
      <c r="E3" s="48">
        <v>-7</v>
      </c>
      <c r="F3" s="48">
        <v>-7</v>
      </c>
      <c r="G3" s="48">
        <v>-7</v>
      </c>
      <c r="H3" s="48">
        <v>-7</v>
      </c>
      <c r="I3" s="48">
        <v>-7</v>
      </c>
      <c r="J3" s="48">
        <v>-7</v>
      </c>
      <c r="K3" s="48">
        <v>-7</v>
      </c>
      <c r="L3" s="48">
        <v>-7</v>
      </c>
      <c r="M3" s="48">
        <v>-7</v>
      </c>
      <c r="N3" s="48">
        <v>-7</v>
      </c>
      <c r="O3" s="48">
        <v>0</v>
      </c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  <c r="AJ3" s="47"/>
    </row>
    <row r="4" spans="1:36" x14ac:dyDescent="0.3">
      <c r="A4" s="49" t="s">
        <v>498</v>
      </c>
      <c r="B4" s="48">
        <v>-7</v>
      </c>
      <c r="C4" s="48">
        <v>-7</v>
      </c>
      <c r="D4" s="48">
        <v>-7</v>
      </c>
      <c r="E4" s="48">
        <v>-7</v>
      </c>
      <c r="F4" s="48">
        <v>-7</v>
      </c>
      <c r="G4" s="48">
        <v>-7</v>
      </c>
      <c r="H4" s="48">
        <v>-7</v>
      </c>
      <c r="I4" s="48">
        <v>-7</v>
      </c>
      <c r="J4" s="48">
        <v>-7</v>
      </c>
      <c r="K4" s="48">
        <v>-7</v>
      </c>
      <c r="L4" s="48">
        <v>-7</v>
      </c>
      <c r="M4" s="48">
        <v>-7</v>
      </c>
      <c r="N4" s="48">
        <v>-7</v>
      </c>
      <c r="O4" s="48">
        <v>0</v>
      </c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</row>
    <row r="5" spans="1:36" x14ac:dyDescent="0.3">
      <c r="A5" s="49" t="s">
        <v>497</v>
      </c>
      <c r="B5" s="48">
        <v>-7</v>
      </c>
      <c r="C5" s="48">
        <v>-7</v>
      </c>
      <c r="D5" s="48">
        <v>-7</v>
      </c>
      <c r="E5" s="48">
        <v>-7</v>
      </c>
      <c r="F5" s="48">
        <v>-7</v>
      </c>
      <c r="G5" s="48">
        <v>-7</v>
      </c>
      <c r="H5" s="48">
        <v>-7</v>
      </c>
      <c r="I5" s="48">
        <v>-7</v>
      </c>
      <c r="J5" s="48">
        <v>-7</v>
      </c>
      <c r="K5" s="48">
        <v>-7</v>
      </c>
      <c r="L5" s="48">
        <v>-7</v>
      </c>
      <c r="M5" s="48">
        <v>-7</v>
      </c>
      <c r="N5" s="48">
        <v>-7</v>
      </c>
      <c r="O5" s="48">
        <v>0</v>
      </c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  <c r="AI5" s="47"/>
      <c r="AJ5" s="47"/>
    </row>
    <row r="6" spans="1:36" x14ac:dyDescent="0.3">
      <c r="A6" s="49" t="s">
        <v>496</v>
      </c>
      <c r="B6" s="48">
        <v>-7</v>
      </c>
      <c r="C6" s="48">
        <v>-7</v>
      </c>
      <c r="D6" s="48">
        <v>-7</v>
      </c>
      <c r="E6" s="48">
        <v>-7</v>
      </c>
      <c r="F6" s="48">
        <v>-7</v>
      </c>
      <c r="G6" s="48">
        <v>-7</v>
      </c>
      <c r="H6" s="48">
        <v>-7</v>
      </c>
      <c r="I6" s="48">
        <v>-7</v>
      </c>
      <c r="J6" s="48">
        <v>-7</v>
      </c>
      <c r="K6" s="48">
        <v>-7</v>
      </c>
      <c r="L6" s="48">
        <v>-7</v>
      </c>
      <c r="M6" s="48">
        <v>-7</v>
      </c>
      <c r="N6" s="48">
        <v>-7</v>
      </c>
      <c r="O6" s="48">
        <v>0</v>
      </c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</row>
    <row r="7" spans="1:36" x14ac:dyDescent="0.3">
      <c r="A7" s="49" t="s">
        <v>495</v>
      </c>
      <c r="B7" s="48">
        <v>-7</v>
      </c>
      <c r="C7" s="48">
        <v>-7</v>
      </c>
      <c r="D7" s="48">
        <v>-7</v>
      </c>
      <c r="E7" s="48">
        <v>-7</v>
      </c>
      <c r="F7" s="48">
        <v>-7</v>
      </c>
      <c r="G7" s="48">
        <v>-7</v>
      </c>
      <c r="H7" s="48">
        <v>-7</v>
      </c>
      <c r="I7" s="48">
        <v>-7</v>
      </c>
      <c r="J7" s="48">
        <v>-7</v>
      </c>
      <c r="K7" s="48">
        <v>-7</v>
      </c>
      <c r="L7" s="48">
        <v>-7</v>
      </c>
      <c r="M7" s="48">
        <v>-7</v>
      </c>
      <c r="N7" s="48">
        <v>-7</v>
      </c>
      <c r="O7" s="48">
        <v>0</v>
      </c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</row>
    <row r="8" spans="1:36" x14ac:dyDescent="0.3">
      <c r="A8" s="49" t="s">
        <v>494</v>
      </c>
      <c r="B8" s="48">
        <v>-7</v>
      </c>
      <c r="C8" s="48">
        <v>-7</v>
      </c>
      <c r="D8" s="48">
        <v>-7</v>
      </c>
      <c r="E8" s="48">
        <v>-7</v>
      </c>
      <c r="F8" s="48">
        <v>-7</v>
      </c>
      <c r="G8" s="48">
        <v>-7</v>
      </c>
      <c r="H8" s="48">
        <v>-7</v>
      </c>
      <c r="I8" s="48">
        <v>-7</v>
      </c>
      <c r="J8" s="48">
        <v>-7</v>
      </c>
      <c r="K8" s="48">
        <v>-7</v>
      </c>
      <c r="L8" s="48">
        <v>-7</v>
      </c>
      <c r="M8" s="48">
        <v>-7</v>
      </c>
      <c r="N8" s="48">
        <v>-7</v>
      </c>
      <c r="O8" s="48">
        <v>0</v>
      </c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</row>
    <row r="9" spans="1:36" x14ac:dyDescent="0.3">
      <c r="A9" s="49" t="s">
        <v>493</v>
      </c>
      <c r="B9" s="48">
        <v>-7</v>
      </c>
      <c r="C9" s="48">
        <v>-7</v>
      </c>
      <c r="D9" s="48">
        <v>-7</v>
      </c>
      <c r="E9" s="48">
        <v>-7</v>
      </c>
      <c r="F9" s="48">
        <v>-7</v>
      </c>
      <c r="G9" s="48">
        <v>-7</v>
      </c>
      <c r="H9" s="48">
        <v>-7</v>
      </c>
      <c r="I9" s="48">
        <v>-7</v>
      </c>
      <c r="J9" s="48">
        <v>-7</v>
      </c>
      <c r="K9" s="48">
        <v>-7</v>
      </c>
      <c r="L9" s="48">
        <v>-7</v>
      </c>
      <c r="M9" s="48">
        <v>-7</v>
      </c>
      <c r="N9" s="48">
        <v>-7</v>
      </c>
      <c r="O9" s="48">
        <v>0</v>
      </c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</row>
    <row r="10" spans="1:36" x14ac:dyDescent="0.3">
      <c r="A10" s="49" t="s">
        <v>492</v>
      </c>
      <c r="B10" s="48">
        <v>2</v>
      </c>
      <c r="C10" s="48">
        <v>2</v>
      </c>
      <c r="D10" s="48">
        <v>-7</v>
      </c>
      <c r="E10" s="48">
        <v>-2</v>
      </c>
      <c r="F10" s="48">
        <v>-7</v>
      </c>
      <c r="G10" s="48">
        <v>-7</v>
      </c>
      <c r="H10" s="48">
        <v>-7</v>
      </c>
      <c r="I10" s="48">
        <v>-7</v>
      </c>
      <c r="J10" s="48">
        <v>-7</v>
      </c>
      <c r="K10" s="48">
        <v>-7</v>
      </c>
      <c r="L10" s="48">
        <v>-7</v>
      </c>
      <c r="M10" s="48">
        <v>-7</v>
      </c>
      <c r="N10" s="48">
        <v>3</v>
      </c>
      <c r="O10" s="48">
        <v>1</v>
      </c>
      <c r="P10" s="47">
        <v>22</v>
      </c>
      <c r="Q10" s="47"/>
      <c r="R10" s="48"/>
      <c r="S10" s="48">
        <v>-1</v>
      </c>
      <c r="T10" s="47"/>
      <c r="U10" s="47">
        <v>3</v>
      </c>
      <c r="V10" s="47">
        <v>-4</v>
      </c>
      <c r="W10" s="47">
        <v>-5</v>
      </c>
      <c r="X10" s="47">
        <v>-6</v>
      </c>
      <c r="Y10" s="47">
        <v>-1</v>
      </c>
      <c r="Z10" s="47">
        <v>1</v>
      </c>
      <c r="AA10" s="47">
        <v>2</v>
      </c>
      <c r="AB10" s="47"/>
      <c r="AC10" s="47"/>
      <c r="AD10" s="47">
        <v>30</v>
      </c>
      <c r="AE10" s="47"/>
      <c r="AF10" s="47"/>
      <c r="AG10" s="47"/>
      <c r="AH10" s="47"/>
      <c r="AI10" s="47"/>
      <c r="AJ10" s="47" t="s">
        <v>486</v>
      </c>
    </row>
    <row r="11" spans="1:36" x14ac:dyDescent="0.3">
      <c r="A11" s="49" t="s">
        <v>490</v>
      </c>
      <c r="B11" s="48">
        <v>2</v>
      </c>
      <c r="C11" s="48">
        <v>2</v>
      </c>
      <c r="D11" s="48">
        <v>0</v>
      </c>
      <c r="E11" s="48">
        <v>-7</v>
      </c>
      <c r="F11" s="48">
        <v>-7</v>
      </c>
      <c r="G11" s="48">
        <v>-7</v>
      </c>
      <c r="H11" s="48">
        <v>-7</v>
      </c>
      <c r="I11" s="48">
        <v>-7</v>
      </c>
      <c r="J11" s="48">
        <v>-7</v>
      </c>
      <c r="K11" s="48">
        <v>-7</v>
      </c>
      <c r="L11" s="48">
        <v>-7</v>
      </c>
      <c r="M11" s="48">
        <v>-7</v>
      </c>
      <c r="N11" s="48">
        <v>2</v>
      </c>
      <c r="O11" s="48">
        <v>1</v>
      </c>
      <c r="P11" s="47">
        <v>25</v>
      </c>
      <c r="Q11" s="47"/>
      <c r="R11" s="47"/>
      <c r="S11" s="48">
        <v>-1</v>
      </c>
      <c r="T11" s="47"/>
      <c r="U11" s="47">
        <v>3</v>
      </c>
      <c r="V11" s="47">
        <v>-4</v>
      </c>
      <c r="W11" s="47">
        <v>-5</v>
      </c>
      <c r="X11" s="47">
        <v>-6</v>
      </c>
      <c r="Y11" s="47"/>
      <c r="Z11" s="47">
        <v>1</v>
      </c>
      <c r="AA11" s="47">
        <v>-1</v>
      </c>
      <c r="AB11" s="47"/>
      <c r="AC11" s="47"/>
      <c r="AD11" s="47">
        <v>26</v>
      </c>
      <c r="AE11" s="47"/>
      <c r="AF11" s="47"/>
      <c r="AG11" s="47"/>
      <c r="AH11" s="47"/>
      <c r="AI11" s="47"/>
      <c r="AJ11" s="47" t="s">
        <v>486</v>
      </c>
    </row>
    <row r="12" spans="1:36" x14ac:dyDescent="0.3">
      <c r="A12" s="49" t="s">
        <v>487</v>
      </c>
      <c r="B12" s="48">
        <v>2</v>
      </c>
      <c r="C12" s="48">
        <v>2</v>
      </c>
      <c r="D12" s="48">
        <v>3</v>
      </c>
      <c r="E12" s="48">
        <v>-7</v>
      </c>
      <c r="F12" s="48">
        <v>-7</v>
      </c>
      <c r="G12" s="48">
        <v>-7</v>
      </c>
      <c r="H12" s="48">
        <v>-7</v>
      </c>
      <c r="I12" s="48">
        <v>-7</v>
      </c>
      <c r="J12" s="48">
        <v>-7</v>
      </c>
      <c r="K12" s="48">
        <v>-7</v>
      </c>
      <c r="L12" s="48">
        <v>-7</v>
      </c>
      <c r="M12" s="48">
        <v>-7</v>
      </c>
      <c r="N12" s="48">
        <v>3</v>
      </c>
      <c r="O12" s="48">
        <v>1</v>
      </c>
      <c r="P12" s="47">
        <v>25</v>
      </c>
      <c r="Q12" s="47"/>
      <c r="R12" s="47"/>
      <c r="S12" s="48">
        <v>1</v>
      </c>
      <c r="T12" s="47"/>
      <c r="U12" s="47">
        <v>-3</v>
      </c>
      <c r="V12" s="47">
        <v>-4</v>
      </c>
      <c r="W12" s="47">
        <v>-5</v>
      </c>
      <c r="X12" s="47">
        <v>-6</v>
      </c>
      <c r="Y12" s="47">
        <v>-1</v>
      </c>
      <c r="Z12" s="47">
        <v>2</v>
      </c>
      <c r="AA12" s="47">
        <v>-1</v>
      </c>
      <c r="AB12" s="47"/>
      <c r="AC12" s="47"/>
      <c r="AD12" s="47">
        <v>30</v>
      </c>
      <c r="AE12" s="47"/>
      <c r="AF12" s="47"/>
      <c r="AG12" s="47"/>
      <c r="AH12" s="47"/>
      <c r="AI12" s="47"/>
      <c r="AJ12" s="47" t="s">
        <v>486</v>
      </c>
    </row>
    <row r="13" spans="1:36" x14ac:dyDescent="0.3">
      <c r="A13" s="49" t="s">
        <v>478</v>
      </c>
      <c r="B13" s="48">
        <v>2</v>
      </c>
      <c r="C13" s="48">
        <v>2</v>
      </c>
      <c r="D13" s="48">
        <v>2</v>
      </c>
      <c r="E13" s="48">
        <v>-7</v>
      </c>
      <c r="F13" s="48">
        <v>-7</v>
      </c>
      <c r="G13" s="48">
        <v>-7</v>
      </c>
      <c r="H13" s="48">
        <v>-1</v>
      </c>
      <c r="I13" s="48">
        <v>-7</v>
      </c>
      <c r="J13" s="48">
        <v>-7</v>
      </c>
      <c r="K13" s="48">
        <v>-7</v>
      </c>
      <c r="L13" s="48">
        <v>-7</v>
      </c>
      <c r="M13" s="48">
        <v>-7</v>
      </c>
      <c r="N13" s="48">
        <v>2</v>
      </c>
      <c r="O13" s="48">
        <v>1</v>
      </c>
      <c r="P13" s="47">
        <v>18</v>
      </c>
      <c r="Q13" s="47"/>
      <c r="R13" s="47"/>
      <c r="S13" s="48">
        <v>-1</v>
      </c>
      <c r="T13" s="47"/>
      <c r="U13" s="47">
        <v>2</v>
      </c>
      <c r="V13" s="47">
        <v>-4</v>
      </c>
      <c r="W13" s="47">
        <v>-5</v>
      </c>
      <c r="X13" s="47">
        <v>-6</v>
      </c>
      <c r="Y13" s="47"/>
      <c r="Z13" s="47">
        <v>2</v>
      </c>
      <c r="AA13" s="47">
        <v>3</v>
      </c>
      <c r="AB13" s="47"/>
      <c r="AC13" s="47"/>
      <c r="AD13" s="47">
        <v>37</v>
      </c>
      <c r="AE13" s="47"/>
      <c r="AF13" s="47"/>
      <c r="AG13" s="47"/>
      <c r="AH13" s="47"/>
      <c r="AI13" s="47"/>
      <c r="AJ13" s="47" t="s">
        <v>472</v>
      </c>
    </row>
    <row r="14" spans="1:36" x14ac:dyDescent="0.3">
      <c r="A14" s="49" t="s">
        <v>476</v>
      </c>
      <c r="B14" s="48">
        <v>2</v>
      </c>
      <c r="C14" s="48">
        <v>1</v>
      </c>
      <c r="D14" s="48">
        <v>-2</v>
      </c>
      <c r="E14" s="48">
        <v>-7</v>
      </c>
      <c r="F14" s="48">
        <v>-7</v>
      </c>
      <c r="G14" s="48">
        <v>-7</v>
      </c>
      <c r="H14" s="48">
        <v>-1</v>
      </c>
      <c r="I14" s="48">
        <v>-7</v>
      </c>
      <c r="J14" s="48">
        <v>-7</v>
      </c>
      <c r="K14" s="48">
        <v>-7</v>
      </c>
      <c r="L14" s="48">
        <v>-7</v>
      </c>
      <c r="M14" s="48">
        <v>-7</v>
      </c>
      <c r="N14" s="48">
        <v>0</v>
      </c>
      <c r="O14" s="48">
        <v>1</v>
      </c>
      <c r="P14" s="47">
        <v>16</v>
      </c>
      <c r="Q14" s="47"/>
      <c r="R14" s="47"/>
      <c r="S14" s="48">
        <v>-1</v>
      </c>
      <c r="T14" s="47"/>
      <c r="U14" s="47">
        <v>2</v>
      </c>
      <c r="V14" s="47">
        <v>-4</v>
      </c>
      <c r="W14" s="47">
        <v>-5</v>
      </c>
      <c r="X14" s="47">
        <v>-6</v>
      </c>
      <c r="Y14" s="47"/>
      <c r="Z14" s="47">
        <v>2</v>
      </c>
      <c r="AA14" s="47">
        <v>3</v>
      </c>
      <c r="AB14" s="47"/>
      <c r="AC14" s="47"/>
      <c r="AD14" s="47">
        <v>35</v>
      </c>
      <c r="AE14" s="47"/>
      <c r="AF14" s="47"/>
      <c r="AG14" s="47"/>
      <c r="AH14" s="47"/>
      <c r="AI14" s="47"/>
      <c r="AJ14" s="47" t="s">
        <v>472</v>
      </c>
    </row>
    <row r="15" spans="1:36" x14ac:dyDescent="0.3">
      <c r="A15" s="49" t="s">
        <v>473</v>
      </c>
      <c r="B15" s="48">
        <v>2</v>
      </c>
      <c r="C15" s="48">
        <v>0</v>
      </c>
      <c r="D15" s="48">
        <v>1</v>
      </c>
      <c r="E15" s="48">
        <v>-7</v>
      </c>
      <c r="F15" s="48">
        <v>-7</v>
      </c>
      <c r="G15" s="48">
        <v>-7</v>
      </c>
      <c r="H15" s="48">
        <v>-7</v>
      </c>
      <c r="I15" s="48">
        <v>-7</v>
      </c>
      <c r="J15" s="48">
        <v>-7</v>
      </c>
      <c r="K15" s="48">
        <v>-7</v>
      </c>
      <c r="L15" s="48">
        <v>-7</v>
      </c>
      <c r="M15" s="48">
        <v>-7</v>
      </c>
      <c r="N15" s="48">
        <v>1</v>
      </c>
      <c r="O15" s="48">
        <v>1</v>
      </c>
      <c r="P15" s="47">
        <v>15</v>
      </c>
      <c r="Q15" s="47"/>
      <c r="R15" s="47"/>
      <c r="S15" s="48">
        <v>-1</v>
      </c>
      <c r="T15" s="47"/>
      <c r="U15" s="47">
        <v>2</v>
      </c>
      <c r="V15" s="47">
        <v>-4</v>
      </c>
      <c r="W15" s="47">
        <v>-5</v>
      </c>
      <c r="X15" s="47">
        <v>-6</v>
      </c>
      <c r="Y15" s="47"/>
      <c r="Z15" s="47"/>
      <c r="AA15" s="47">
        <v>-2</v>
      </c>
      <c r="AB15" s="47"/>
      <c r="AC15" s="47"/>
      <c r="AD15" s="47">
        <v>32</v>
      </c>
      <c r="AE15" s="47"/>
      <c r="AF15" s="47"/>
      <c r="AG15" s="47"/>
      <c r="AH15" s="47"/>
      <c r="AI15" s="47"/>
      <c r="AJ15" s="47" t="s">
        <v>472</v>
      </c>
    </row>
    <row r="16" spans="1:36" x14ac:dyDescent="0.3">
      <c r="A16" s="49" t="s">
        <v>466</v>
      </c>
      <c r="B16" s="48">
        <v>-1</v>
      </c>
      <c r="C16" s="48">
        <v>-2</v>
      </c>
      <c r="D16" s="48">
        <v>-7</v>
      </c>
      <c r="E16" s="48">
        <v>-7</v>
      </c>
      <c r="F16" s="48">
        <v>-7</v>
      </c>
      <c r="G16" s="48">
        <v>-7</v>
      </c>
      <c r="H16" s="48">
        <v>-7</v>
      </c>
      <c r="I16" s="48">
        <v>-7</v>
      </c>
      <c r="J16" s="48">
        <v>-7</v>
      </c>
      <c r="K16" s="48">
        <v>-2</v>
      </c>
      <c r="L16" s="48">
        <v>-7</v>
      </c>
      <c r="M16" s="48">
        <v>-7</v>
      </c>
      <c r="N16" s="48">
        <v>0</v>
      </c>
      <c r="O16" s="48">
        <v>1</v>
      </c>
      <c r="P16" s="47">
        <v>20</v>
      </c>
      <c r="Q16" s="47"/>
      <c r="R16" s="47"/>
      <c r="S16" s="48">
        <v>-1</v>
      </c>
      <c r="T16" s="47"/>
      <c r="U16" s="47">
        <v>-3</v>
      </c>
      <c r="V16" s="47">
        <v>-4</v>
      </c>
      <c r="W16" s="47">
        <v>-5</v>
      </c>
      <c r="X16" s="47">
        <v>-6</v>
      </c>
      <c r="Y16" s="47"/>
      <c r="Z16" s="47">
        <v>2</v>
      </c>
      <c r="AA16" s="47">
        <v>-2</v>
      </c>
      <c r="AB16" s="47"/>
      <c r="AC16" s="47"/>
      <c r="AD16" s="47">
        <v>20</v>
      </c>
      <c r="AE16" s="47"/>
      <c r="AF16" s="47"/>
      <c r="AG16" s="47"/>
      <c r="AH16" s="47"/>
      <c r="AI16" s="47"/>
      <c r="AJ16" s="47" t="s">
        <v>529</v>
      </c>
    </row>
    <row r="17" spans="1:36" x14ac:dyDescent="0.3">
      <c r="A17" s="49" t="s">
        <v>465</v>
      </c>
      <c r="B17" s="48">
        <v>-1</v>
      </c>
      <c r="C17" s="48">
        <v>-7</v>
      </c>
      <c r="D17" s="48">
        <v>-7</v>
      </c>
      <c r="E17" s="48">
        <v>-7</v>
      </c>
      <c r="F17" s="48">
        <v>-7</v>
      </c>
      <c r="G17" s="48">
        <v>-7</v>
      </c>
      <c r="H17" s="48">
        <v>-7</v>
      </c>
      <c r="I17" s="48">
        <v>-7</v>
      </c>
      <c r="J17" s="48">
        <v>-7</v>
      </c>
      <c r="K17" s="48">
        <v>-7</v>
      </c>
      <c r="L17" s="48">
        <v>-7</v>
      </c>
      <c r="M17" s="48">
        <v>-7</v>
      </c>
      <c r="N17" s="48">
        <v>-1</v>
      </c>
      <c r="O17" s="48">
        <v>1</v>
      </c>
      <c r="P17" s="47">
        <v>16</v>
      </c>
      <c r="Q17" s="47"/>
      <c r="R17" s="47"/>
      <c r="S17" s="48">
        <v>-2</v>
      </c>
      <c r="T17" s="47"/>
      <c r="U17" s="47">
        <v>-3</v>
      </c>
      <c r="V17" s="47">
        <v>-4</v>
      </c>
      <c r="W17" s="47">
        <v>-5</v>
      </c>
      <c r="X17" s="47">
        <v>-6</v>
      </c>
      <c r="Y17" s="47"/>
      <c r="Z17" s="47"/>
      <c r="AA17" s="47"/>
      <c r="AB17" s="47"/>
      <c r="AC17" s="47"/>
      <c r="AD17" s="47">
        <v>20</v>
      </c>
      <c r="AE17" s="47"/>
      <c r="AF17" s="47"/>
      <c r="AG17" s="47"/>
      <c r="AH17" s="47"/>
      <c r="AI17" s="47"/>
      <c r="AJ17" s="47" t="s">
        <v>529</v>
      </c>
    </row>
    <row r="18" spans="1:36" x14ac:dyDescent="0.3">
      <c r="A18" s="49" t="s">
        <v>458</v>
      </c>
      <c r="B18" s="48">
        <v>2</v>
      </c>
      <c r="C18" s="48">
        <v>2</v>
      </c>
      <c r="D18" s="48">
        <v>3</v>
      </c>
      <c r="E18" s="48">
        <v>-7</v>
      </c>
      <c r="F18" s="48">
        <v>-7</v>
      </c>
      <c r="G18" s="48">
        <v>-7</v>
      </c>
      <c r="H18" s="48">
        <v>-7</v>
      </c>
      <c r="I18" s="48">
        <v>-7</v>
      </c>
      <c r="J18" s="48">
        <v>-7</v>
      </c>
      <c r="K18" s="48">
        <v>-7</v>
      </c>
      <c r="L18" s="48">
        <v>-7</v>
      </c>
      <c r="M18" s="48">
        <v>-7</v>
      </c>
      <c r="N18" s="48">
        <v>3</v>
      </c>
      <c r="O18" s="48">
        <v>1</v>
      </c>
      <c r="P18" s="47">
        <v>25</v>
      </c>
      <c r="Q18" s="47"/>
      <c r="R18" s="47"/>
      <c r="S18" s="48">
        <v>1</v>
      </c>
      <c r="T18" s="47"/>
      <c r="U18" s="47">
        <v>-3</v>
      </c>
      <c r="V18" s="47">
        <v>-4</v>
      </c>
      <c r="W18" s="47">
        <v>-5</v>
      </c>
      <c r="X18" s="47">
        <v>-6</v>
      </c>
      <c r="Y18" s="47"/>
      <c r="Z18" s="47"/>
      <c r="AA18" s="47"/>
      <c r="AB18" s="47"/>
      <c r="AC18" s="47"/>
      <c r="AD18" s="47">
        <v>30</v>
      </c>
      <c r="AE18" s="47"/>
      <c r="AF18" s="47"/>
      <c r="AG18" s="47"/>
      <c r="AH18" s="47"/>
      <c r="AI18" s="47"/>
      <c r="AJ18" s="47" t="s">
        <v>529</v>
      </c>
    </row>
    <row r="19" spans="1:36" x14ac:dyDescent="0.3">
      <c r="A19" s="49" t="s">
        <v>457</v>
      </c>
      <c r="B19" s="48">
        <v>0</v>
      </c>
      <c r="C19" s="48">
        <v>0</v>
      </c>
      <c r="D19" s="48">
        <v>-2</v>
      </c>
      <c r="E19" s="48">
        <v>-7</v>
      </c>
      <c r="F19" s="48">
        <v>-7</v>
      </c>
      <c r="G19" s="48">
        <v>-7</v>
      </c>
      <c r="H19" s="48">
        <v>-7</v>
      </c>
      <c r="I19" s="48">
        <v>-7</v>
      </c>
      <c r="J19" s="48">
        <v>-7</v>
      </c>
      <c r="K19" s="48">
        <v>-7</v>
      </c>
      <c r="L19" s="48">
        <v>-7</v>
      </c>
      <c r="M19" s="48">
        <v>-7</v>
      </c>
      <c r="N19" s="48">
        <v>2</v>
      </c>
      <c r="O19" s="48">
        <v>1</v>
      </c>
      <c r="P19" s="47">
        <v>24</v>
      </c>
      <c r="Q19" s="48">
        <v>-1</v>
      </c>
      <c r="R19" s="48">
        <v>-1</v>
      </c>
      <c r="S19" s="48">
        <v>-3</v>
      </c>
      <c r="T19" s="48">
        <v>-1</v>
      </c>
      <c r="U19" s="47">
        <v>-2</v>
      </c>
      <c r="V19" s="47">
        <v>-5</v>
      </c>
      <c r="W19" s="47">
        <v>-7</v>
      </c>
      <c r="X19" s="47">
        <v>-7</v>
      </c>
      <c r="Y19" s="47">
        <v>-1</v>
      </c>
      <c r="Z19" s="47">
        <v>1</v>
      </c>
      <c r="AA19" s="47">
        <v>2</v>
      </c>
      <c r="AB19" s="47"/>
      <c r="AC19" s="47"/>
      <c r="AD19" s="47">
        <v>70</v>
      </c>
      <c r="AE19" s="47"/>
      <c r="AF19" s="47"/>
      <c r="AG19" s="47"/>
      <c r="AH19" s="47"/>
      <c r="AI19" s="47"/>
      <c r="AJ19" s="47" t="s">
        <v>472</v>
      </c>
    </row>
    <row r="20" spans="1:36" x14ac:dyDescent="0.3">
      <c r="A20" s="49" t="s">
        <v>471</v>
      </c>
      <c r="B20" s="48">
        <v>2</v>
      </c>
      <c r="C20" s="48">
        <v>-2</v>
      </c>
      <c r="D20" s="48">
        <v>-3</v>
      </c>
      <c r="E20" s="48">
        <v>3</v>
      </c>
      <c r="F20" s="48">
        <v>0</v>
      </c>
      <c r="G20" s="48">
        <v>2</v>
      </c>
      <c r="H20" s="48">
        <v>0</v>
      </c>
      <c r="I20" s="48">
        <v>0</v>
      </c>
      <c r="J20" s="48">
        <v>-7</v>
      </c>
      <c r="K20" s="48">
        <v>0</v>
      </c>
      <c r="L20" s="48">
        <v>0</v>
      </c>
      <c r="M20" s="48">
        <v>0</v>
      </c>
      <c r="N20" s="48">
        <v>1</v>
      </c>
      <c r="O20" s="48">
        <v>1</v>
      </c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 t="s">
        <v>545</v>
      </c>
    </row>
    <row r="21" spans="1:36" x14ac:dyDescent="0.3">
      <c r="A21" s="49" t="s">
        <v>470</v>
      </c>
      <c r="B21" s="48">
        <v>2</v>
      </c>
      <c r="C21" s="48">
        <v>2</v>
      </c>
      <c r="D21" s="48">
        <v>0</v>
      </c>
      <c r="E21" s="48">
        <v>1</v>
      </c>
      <c r="F21" s="48">
        <v>-7</v>
      </c>
      <c r="G21" s="48">
        <v>-3</v>
      </c>
      <c r="H21" s="48">
        <v>-7</v>
      </c>
      <c r="I21" s="48">
        <v>-7</v>
      </c>
      <c r="J21" s="48">
        <v>-7</v>
      </c>
      <c r="K21" s="48">
        <v>-7</v>
      </c>
      <c r="L21" s="48">
        <v>-7</v>
      </c>
      <c r="M21" s="48">
        <v>-7</v>
      </c>
      <c r="N21" s="48">
        <v>2</v>
      </c>
      <c r="O21" s="48">
        <v>1</v>
      </c>
      <c r="P21" s="47">
        <v>10</v>
      </c>
      <c r="Q21" s="47"/>
      <c r="R21" s="47"/>
      <c r="S21" s="48">
        <v>1</v>
      </c>
      <c r="T21" s="47"/>
      <c r="U21" s="47">
        <v>-1</v>
      </c>
      <c r="V21" s="47">
        <v>-2</v>
      </c>
      <c r="W21" s="47">
        <v>-3</v>
      </c>
      <c r="X21" s="47">
        <v>-4</v>
      </c>
      <c r="Y21" s="47"/>
      <c r="Z21" s="47">
        <v>-1</v>
      </c>
      <c r="AA21" s="47">
        <v>-2</v>
      </c>
      <c r="AB21" s="47"/>
      <c r="AC21" s="47"/>
      <c r="AD21" s="47"/>
      <c r="AE21" s="47"/>
      <c r="AF21" s="47"/>
      <c r="AG21" s="47"/>
      <c r="AH21" s="47"/>
      <c r="AI21" s="47"/>
      <c r="AJ21" s="47" t="s">
        <v>529</v>
      </c>
    </row>
    <row r="22" spans="1:36" x14ac:dyDescent="0.3">
      <c r="A22" s="49" t="s">
        <v>469</v>
      </c>
      <c r="B22" s="48">
        <v>2</v>
      </c>
      <c r="C22" s="48">
        <v>0</v>
      </c>
      <c r="D22" s="48">
        <v>-1</v>
      </c>
      <c r="E22" s="48">
        <v>-7</v>
      </c>
      <c r="F22" s="48">
        <v>-7</v>
      </c>
      <c r="G22" s="48">
        <v>-7</v>
      </c>
      <c r="H22" s="48">
        <v>-7</v>
      </c>
      <c r="I22" s="48">
        <v>-7</v>
      </c>
      <c r="J22" s="48">
        <v>-7</v>
      </c>
      <c r="K22" s="48">
        <v>-7</v>
      </c>
      <c r="L22" s="48">
        <v>-7</v>
      </c>
      <c r="M22" s="48">
        <v>-7</v>
      </c>
      <c r="N22" s="48">
        <v>0</v>
      </c>
      <c r="O22" s="48">
        <v>1</v>
      </c>
      <c r="P22" s="47">
        <v>20</v>
      </c>
      <c r="Q22" s="47"/>
      <c r="R22" s="47"/>
      <c r="S22" s="48">
        <v>1</v>
      </c>
      <c r="T22" s="47"/>
      <c r="U22" s="47">
        <v>-1</v>
      </c>
      <c r="V22" s="47">
        <v>-3</v>
      </c>
      <c r="W22" s="47">
        <v>-4</v>
      </c>
      <c r="X22" s="47">
        <v>-5</v>
      </c>
      <c r="Y22" s="47"/>
      <c r="Z22" s="47">
        <v>1</v>
      </c>
      <c r="AA22" s="47">
        <v>-1</v>
      </c>
      <c r="AB22" s="47"/>
      <c r="AC22" s="47"/>
      <c r="AD22" s="47">
        <v>25</v>
      </c>
      <c r="AE22" s="47"/>
      <c r="AF22" s="47"/>
      <c r="AG22" s="47"/>
      <c r="AH22" s="47"/>
      <c r="AI22" s="47"/>
      <c r="AJ22" s="47" t="s">
        <v>529</v>
      </c>
    </row>
    <row r="23" spans="1:36" x14ac:dyDescent="0.3">
      <c r="A23" s="49" t="s">
        <v>468</v>
      </c>
      <c r="B23" s="48">
        <v>2</v>
      </c>
      <c r="C23" s="48">
        <v>0</v>
      </c>
      <c r="D23" s="48">
        <v>-1</v>
      </c>
      <c r="E23" s="48">
        <v>-7</v>
      </c>
      <c r="F23" s="48">
        <v>-7</v>
      </c>
      <c r="G23" s="48">
        <v>-7</v>
      </c>
      <c r="H23" s="48">
        <v>-7</v>
      </c>
      <c r="I23" s="48">
        <v>-7</v>
      </c>
      <c r="J23" s="48">
        <v>-7</v>
      </c>
      <c r="K23" s="48">
        <v>-7</v>
      </c>
      <c r="L23" s="48">
        <v>-7</v>
      </c>
      <c r="M23" s="48">
        <v>-7</v>
      </c>
      <c r="N23" s="48">
        <v>0</v>
      </c>
      <c r="O23" s="48">
        <v>1</v>
      </c>
      <c r="P23" s="47">
        <v>20</v>
      </c>
      <c r="Q23" s="47"/>
      <c r="R23" s="47"/>
      <c r="S23" s="48">
        <v>1</v>
      </c>
      <c r="T23" s="47"/>
      <c r="U23" s="47">
        <v>-1</v>
      </c>
      <c r="V23" s="47">
        <v>-3</v>
      </c>
      <c r="W23" s="47">
        <v>-4</v>
      </c>
      <c r="X23" s="47">
        <v>-5</v>
      </c>
      <c r="Y23" s="47"/>
      <c r="Z23" s="47">
        <v>1</v>
      </c>
      <c r="AA23" s="47">
        <v>-1</v>
      </c>
      <c r="AB23" s="47"/>
      <c r="AC23" s="47"/>
      <c r="AD23" s="47">
        <v>25</v>
      </c>
      <c r="AE23" s="47"/>
      <c r="AF23" s="47"/>
      <c r="AG23" s="47"/>
      <c r="AH23" s="47"/>
      <c r="AI23" s="47"/>
      <c r="AJ23" s="47" t="s">
        <v>529</v>
      </c>
    </row>
    <row r="24" spans="1:36" x14ac:dyDescent="0.3">
      <c r="A24" s="49" t="s">
        <v>467</v>
      </c>
      <c r="B24" s="48">
        <v>-1</v>
      </c>
      <c r="C24" s="48">
        <v>-7</v>
      </c>
      <c r="D24" s="48">
        <v>-7</v>
      </c>
      <c r="E24" s="48">
        <v>1</v>
      </c>
      <c r="F24" s="48">
        <v>-7</v>
      </c>
      <c r="G24" s="48">
        <v>-7</v>
      </c>
      <c r="H24" s="48">
        <v>-7</v>
      </c>
      <c r="I24" s="48">
        <v>3</v>
      </c>
      <c r="J24" s="48">
        <v>-7</v>
      </c>
      <c r="K24" s="48">
        <v>0</v>
      </c>
      <c r="L24" s="48">
        <v>-7</v>
      </c>
      <c r="M24" s="48">
        <v>-7</v>
      </c>
      <c r="N24" s="48">
        <v>-7</v>
      </c>
      <c r="O24" s="48">
        <v>4</v>
      </c>
      <c r="P24" s="47">
        <v>10</v>
      </c>
      <c r="Q24" s="47"/>
      <c r="R24" s="48">
        <v>1</v>
      </c>
      <c r="S24" s="48">
        <v>2</v>
      </c>
      <c r="T24" s="47">
        <v>1</v>
      </c>
      <c r="U24" s="47"/>
      <c r="V24" s="47">
        <v>1</v>
      </c>
      <c r="W24" s="47">
        <v>1</v>
      </c>
      <c r="X24" s="47">
        <v>2</v>
      </c>
      <c r="Y24" s="47">
        <v>-1</v>
      </c>
      <c r="Z24" s="47">
        <v>-2</v>
      </c>
      <c r="AA24" s="47">
        <v>-3</v>
      </c>
      <c r="AB24" s="47"/>
      <c r="AC24" s="47"/>
      <c r="AD24" s="47"/>
      <c r="AE24" s="47">
        <v>40</v>
      </c>
      <c r="AF24" s="47"/>
      <c r="AG24" s="47"/>
      <c r="AH24" s="47"/>
      <c r="AI24" s="47"/>
      <c r="AJ24" s="47" t="s">
        <v>530</v>
      </c>
    </row>
    <row r="25" spans="1:36" x14ac:dyDescent="0.3">
      <c r="A25" s="49" t="s">
        <v>459</v>
      </c>
      <c r="B25" s="48">
        <v>-1</v>
      </c>
      <c r="C25" s="48">
        <v>2</v>
      </c>
      <c r="D25" s="48">
        <v>3</v>
      </c>
      <c r="E25" s="48">
        <v>-7</v>
      </c>
      <c r="F25" s="48">
        <v>-7</v>
      </c>
      <c r="G25" s="48">
        <v>-7</v>
      </c>
      <c r="H25" s="48">
        <v>-7</v>
      </c>
      <c r="I25" s="48">
        <v>-7</v>
      </c>
      <c r="J25" s="48">
        <v>-7</v>
      </c>
      <c r="K25" s="48">
        <v>-7</v>
      </c>
      <c r="L25" s="48">
        <v>-7</v>
      </c>
      <c r="M25" s="48">
        <v>-7</v>
      </c>
      <c r="N25" s="48">
        <v>0</v>
      </c>
      <c r="O25" s="48">
        <v>1</v>
      </c>
      <c r="P25" s="47">
        <v>21</v>
      </c>
      <c r="Q25" s="47"/>
      <c r="R25" s="47"/>
      <c r="S25" s="48">
        <v>-1</v>
      </c>
      <c r="T25" s="47">
        <v>-1</v>
      </c>
      <c r="U25" s="47">
        <v>-2</v>
      </c>
      <c r="V25" s="47">
        <v>-4</v>
      </c>
      <c r="W25" s="47">
        <v>-5</v>
      </c>
      <c r="X25" s="47">
        <v>-6</v>
      </c>
      <c r="Y25" s="47"/>
      <c r="Z25" s="47">
        <v>1</v>
      </c>
      <c r="AA25" s="47">
        <v>-3</v>
      </c>
      <c r="AB25" s="47"/>
      <c r="AC25" s="47"/>
      <c r="AD25" s="47"/>
      <c r="AE25" s="47"/>
      <c r="AF25" s="47"/>
      <c r="AG25" s="47"/>
      <c r="AH25" s="47"/>
      <c r="AI25" s="47"/>
      <c r="AJ25" s="47"/>
    </row>
    <row r="26" spans="1:36" x14ac:dyDescent="0.3">
      <c r="A26" s="49" t="s">
        <v>454</v>
      </c>
      <c r="B26" s="48">
        <v>1</v>
      </c>
      <c r="C26" s="48">
        <v>0</v>
      </c>
      <c r="D26" s="48">
        <v>-7</v>
      </c>
      <c r="E26" s="48">
        <v>-7</v>
      </c>
      <c r="F26" s="48">
        <v>-7</v>
      </c>
      <c r="G26" s="48">
        <v>-7</v>
      </c>
      <c r="H26" s="48">
        <v>-7</v>
      </c>
      <c r="I26" s="48">
        <v>-7</v>
      </c>
      <c r="J26" s="48">
        <v>-7</v>
      </c>
      <c r="K26" s="48">
        <v>-7</v>
      </c>
      <c r="L26" s="48">
        <v>-7</v>
      </c>
      <c r="M26" s="48">
        <v>-7</v>
      </c>
      <c r="N26" s="48">
        <v>0</v>
      </c>
      <c r="O26" s="48">
        <v>3</v>
      </c>
      <c r="P26" s="47"/>
      <c r="Q26" s="47"/>
      <c r="R26" s="48">
        <v>1</v>
      </c>
      <c r="S26" s="48">
        <v>1</v>
      </c>
      <c r="T26" s="47">
        <v>1</v>
      </c>
      <c r="U26" s="47">
        <v>0</v>
      </c>
      <c r="V26" s="47">
        <v>-2</v>
      </c>
      <c r="W26" s="47">
        <v>-3</v>
      </c>
      <c r="X26" s="47">
        <v>-4</v>
      </c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</row>
    <row r="27" spans="1:36" x14ac:dyDescent="0.3">
      <c r="A27" s="49" t="s">
        <v>491</v>
      </c>
      <c r="B27" s="48">
        <v>2</v>
      </c>
      <c r="C27" s="48">
        <v>1</v>
      </c>
      <c r="D27" s="48">
        <v>0</v>
      </c>
      <c r="E27" s="48">
        <v>0</v>
      </c>
      <c r="F27" s="48">
        <v>-7</v>
      </c>
      <c r="G27" s="48">
        <v>-1</v>
      </c>
      <c r="H27" s="48">
        <v>-7</v>
      </c>
      <c r="I27" s="48">
        <v>-7</v>
      </c>
      <c r="J27" s="48">
        <v>-7</v>
      </c>
      <c r="K27" s="48">
        <v>-7</v>
      </c>
      <c r="L27" s="48">
        <v>-7</v>
      </c>
      <c r="M27" s="48">
        <v>-7</v>
      </c>
      <c r="N27" s="48">
        <v>3</v>
      </c>
      <c r="O27" s="48">
        <v>3</v>
      </c>
      <c r="P27" s="47"/>
      <c r="Q27" s="47"/>
      <c r="R27" s="47"/>
      <c r="S27" s="48">
        <v>-1</v>
      </c>
      <c r="T27" s="47"/>
      <c r="U27" s="47">
        <v>3</v>
      </c>
      <c r="V27" s="47">
        <v>0</v>
      </c>
      <c r="W27" s="47">
        <v>-1</v>
      </c>
      <c r="X27" s="47">
        <v>-2</v>
      </c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</row>
    <row r="28" spans="1:36" x14ac:dyDescent="0.3">
      <c r="A28" s="49" t="s">
        <v>455</v>
      </c>
      <c r="B28" s="48">
        <v>2</v>
      </c>
      <c r="C28" s="48">
        <v>1</v>
      </c>
      <c r="D28" s="48">
        <v>0</v>
      </c>
      <c r="E28" s="48">
        <v>-7</v>
      </c>
      <c r="F28" s="48">
        <v>-7</v>
      </c>
      <c r="G28" s="48">
        <v>-7</v>
      </c>
      <c r="H28" s="48">
        <v>-7</v>
      </c>
      <c r="I28" s="48">
        <v>-7</v>
      </c>
      <c r="J28" s="48">
        <v>-7</v>
      </c>
      <c r="K28" s="48">
        <v>-7</v>
      </c>
      <c r="L28" s="48">
        <v>-7</v>
      </c>
      <c r="M28" s="48">
        <v>-7</v>
      </c>
      <c r="N28" s="48">
        <v>-7</v>
      </c>
      <c r="O28" s="48">
        <v>3</v>
      </c>
      <c r="P28" s="47">
        <v>14</v>
      </c>
      <c r="Q28" s="47"/>
      <c r="R28" s="47"/>
      <c r="S28" s="48">
        <v>-1</v>
      </c>
      <c r="T28" s="47"/>
      <c r="U28" s="47">
        <v>3</v>
      </c>
      <c r="V28" s="47">
        <v>-2</v>
      </c>
      <c r="W28" s="47">
        <v>-3</v>
      </c>
      <c r="X28" s="47">
        <v>-4</v>
      </c>
      <c r="Y28" s="47">
        <v>1</v>
      </c>
      <c r="Z28" s="47"/>
      <c r="AA28" s="47"/>
      <c r="AB28" s="47"/>
      <c r="AC28" s="47"/>
      <c r="AD28" s="47"/>
      <c r="AE28" s="47"/>
    </row>
    <row r="29" spans="1:36" x14ac:dyDescent="0.3">
      <c r="A29" s="49" t="s">
        <v>489</v>
      </c>
      <c r="B29" s="48">
        <v>2</v>
      </c>
      <c r="C29" s="48">
        <v>0</v>
      </c>
      <c r="D29" s="48">
        <v>2</v>
      </c>
      <c r="E29" s="48">
        <v>-7</v>
      </c>
      <c r="F29" s="48">
        <v>-7</v>
      </c>
      <c r="G29" s="48">
        <v>-7</v>
      </c>
      <c r="H29" s="48">
        <v>0</v>
      </c>
      <c r="I29" s="48">
        <v>-7</v>
      </c>
      <c r="J29" s="48">
        <v>-7</v>
      </c>
      <c r="K29" s="48">
        <v>-7</v>
      </c>
      <c r="L29" s="48">
        <v>-7</v>
      </c>
      <c r="M29" s="48">
        <v>-7</v>
      </c>
      <c r="N29" s="48">
        <v>2</v>
      </c>
      <c r="O29" s="48">
        <v>3</v>
      </c>
      <c r="P29" s="47">
        <v>10</v>
      </c>
      <c r="Q29" s="48">
        <v>-1</v>
      </c>
      <c r="R29" s="48">
        <v>-1</v>
      </c>
      <c r="S29" s="48">
        <v>-1</v>
      </c>
      <c r="T29" s="48">
        <v>-1</v>
      </c>
      <c r="U29" s="47">
        <v>1</v>
      </c>
      <c r="V29" s="47">
        <v>-7</v>
      </c>
      <c r="W29" s="47">
        <v>-7</v>
      </c>
      <c r="X29" s="47">
        <v>-7</v>
      </c>
      <c r="Y29" s="47">
        <v>-1</v>
      </c>
      <c r="Z29" s="47">
        <v>2</v>
      </c>
      <c r="AA29" s="47">
        <v>3</v>
      </c>
      <c r="AB29" s="47"/>
      <c r="AC29" s="47"/>
      <c r="AD29" s="47">
        <v>90</v>
      </c>
      <c r="AE29" s="47"/>
      <c r="AF29" s="47"/>
      <c r="AG29" s="47"/>
      <c r="AH29" s="47"/>
      <c r="AI29" s="47"/>
      <c r="AJ29" s="47" t="s">
        <v>488</v>
      </c>
    </row>
    <row r="30" spans="1:36" x14ac:dyDescent="0.3">
      <c r="A30" s="49" t="s">
        <v>485</v>
      </c>
      <c r="B30" s="48">
        <v>2</v>
      </c>
      <c r="C30" s="48">
        <v>2</v>
      </c>
      <c r="D30" s="48">
        <v>-2</v>
      </c>
      <c r="E30" s="48">
        <v>1</v>
      </c>
      <c r="F30" s="48">
        <v>0</v>
      </c>
      <c r="G30" s="48">
        <v>0</v>
      </c>
      <c r="H30" s="48">
        <v>-7</v>
      </c>
      <c r="I30" s="48">
        <v>-7</v>
      </c>
      <c r="J30" s="48">
        <v>-7</v>
      </c>
      <c r="K30" s="48">
        <v>-7</v>
      </c>
      <c r="L30" s="48">
        <v>-7</v>
      </c>
      <c r="M30" s="48">
        <v>-7</v>
      </c>
      <c r="N30" s="48">
        <v>2</v>
      </c>
      <c r="O30" s="48">
        <v>3</v>
      </c>
      <c r="P30" s="47">
        <v>16</v>
      </c>
      <c r="Q30" s="47"/>
      <c r="R30" s="47"/>
      <c r="S30" s="48">
        <v>1</v>
      </c>
      <c r="T30" s="47"/>
      <c r="U30" s="47">
        <v>-1</v>
      </c>
      <c r="V30" s="47">
        <v>-1</v>
      </c>
      <c r="W30" s="47">
        <v>-2</v>
      </c>
      <c r="X30" s="47">
        <v>-2</v>
      </c>
      <c r="Y30" s="47">
        <v>3</v>
      </c>
      <c r="Z30" s="47"/>
      <c r="AA30" s="47">
        <v>-2</v>
      </c>
      <c r="AB30" s="47"/>
      <c r="AC30" s="47"/>
      <c r="AD30" s="47"/>
      <c r="AE30" s="47"/>
      <c r="AF30" s="47"/>
      <c r="AG30" s="47"/>
      <c r="AH30" s="47"/>
      <c r="AI30" s="47"/>
      <c r="AJ30" s="47"/>
    </row>
    <row r="31" spans="1:36" x14ac:dyDescent="0.3">
      <c r="A31" s="49" t="s">
        <v>484</v>
      </c>
      <c r="B31" s="48">
        <v>2</v>
      </c>
      <c r="C31" s="48">
        <v>-2</v>
      </c>
      <c r="D31" s="48">
        <v>-2</v>
      </c>
      <c r="E31" s="48">
        <v>1</v>
      </c>
      <c r="F31" s="48">
        <v>-7</v>
      </c>
      <c r="G31" s="48">
        <v>0</v>
      </c>
      <c r="H31" s="48">
        <v>-7</v>
      </c>
      <c r="I31" s="48">
        <v>-7</v>
      </c>
      <c r="J31" s="48">
        <v>-7</v>
      </c>
      <c r="K31" s="48">
        <v>-7</v>
      </c>
      <c r="L31" s="48">
        <v>-7</v>
      </c>
      <c r="M31" s="48">
        <v>-7</v>
      </c>
      <c r="N31" s="48">
        <v>2</v>
      </c>
      <c r="O31" s="48">
        <v>3</v>
      </c>
      <c r="P31" s="47">
        <v>8</v>
      </c>
      <c r="Q31" s="47"/>
      <c r="R31" s="47"/>
      <c r="S31" s="48">
        <v>1</v>
      </c>
      <c r="T31" s="47"/>
      <c r="U31" s="47">
        <v>-1</v>
      </c>
      <c r="V31" s="47">
        <v>-1</v>
      </c>
      <c r="W31" s="47">
        <v>-2</v>
      </c>
      <c r="X31" s="47">
        <v>-2</v>
      </c>
      <c r="Y31" s="47">
        <v>2</v>
      </c>
      <c r="Z31" s="47"/>
      <c r="AA31" s="47">
        <v>-2</v>
      </c>
      <c r="AB31" s="47"/>
      <c r="AC31" s="47"/>
      <c r="AD31" s="47"/>
      <c r="AE31" s="47"/>
      <c r="AF31" s="47"/>
      <c r="AG31" s="47"/>
      <c r="AH31" s="47"/>
      <c r="AI31" s="47"/>
      <c r="AJ31" s="47"/>
    </row>
    <row r="32" spans="1:36" x14ac:dyDescent="0.3">
      <c r="A32" s="49" t="s">
        <v>483</v>
      </c>
      <c r="B32" s="48">
        <v>2</v>
      </c>
      <c r="C32" s="48">
        <v>2</v>
      </c>
      <c r="D32" s="48">
        <v>2</v>
      </c>
      <c r="E32" s="48">
        <v>-1</v>
      </c>
      <c r="F32" s="48">
        <v>-7</v>
      </c>
      <c r="G32" s="48">
        <v>-7</v>
      </c>
      <c r="H32" s="48">
        <v>-7</v>
      </c>
      <c r="I32" s="48">
        <v>-7</v>
      </c>
      <c r="J32" s="48">
        <v>-7</v>
      </c>
      <c r="K32" s="48">
        <v>-7</v>
      </c>
      <c r="L32" s="48">
        <v>-7</v>
      </c>
      <c r="M32" s="48">
        <v>-7</v>
      </c>
      <c r="N32" s="48">
        <v>2</v>
      </c>
      <c r="O32" s="48">
        <v>3</v>
      </c>
      <c r="P32" s="47">
        <v>8</v>
      </c>
      <c r="Q32" s="47"/>
      <c r="R32" s="47"/>
      <c r="S32" s="48">
        <v>1</v>
      </c>
      <c r="T32" s="47"/>
      <c r="U32" s="47">
        <v>-1</v>
      </c>
      <c r="V32" s="47">
        <v>-2</v>
      </c>
      <c r="W32" s="47">
        <v>-3</v>
      </c>
      <c r="X32" s="47">
        <v>-4</v>
      </c>
      <c r="Y32" s="47"/>
      <c r="Z32" s="47"/>
      <c r="AA32" s="47"/>
      <c r="AB32" s="47"/>
      <c r="AC32" s="47"/>
      <c r="AD32" s="47"/>
      <c r="AE32" s="47"/>
      <c r="AF32" s="47"/>
      <c r="AG32" s="47"/>
      <c r="AH32" s="47"/>
      <c r="AI32" s="47"/>
      <c r="AJ32" s="47"/>
    </row>
    <row r="33" spans="1:36" x14ac:dyDescent="0.3">
      <c r="A33" s="49" t="s">
        <v>482</v>
      </c>
      <c r="B33" s="48">
        <v>2</v>
      </c>
      <c r="C33" s="48">
        <v>2</v>
      </c>
      <c r="D33" s="48">
        <v>2</v>
      </c>
      <c r="E33" s="48">
        <v>2</v>
      </c>
      <c r="F33" s="48">
        <v>-7</v>
      </c>
      <c r="G33" s="48">
        <v>-7</v>
      </c>
      <c r="H33" s="48">
        <v>-7</v>
      </c>
      <c r="I33" s="48">
        <v>-7</v>
      </c>
      <c r="J33" s="48">
        <v>-7</v>
      </c>
      <c r="K33" s="48">
        <v>-7</v>
      </c>
      <c r="L33" s="48">
        <v>-7</v>
      </c>
      <c r="M33" s="48">
        <v>-7</v>
      </c>
      <c r="N33" s="48">
        <v>2</v>
      </c>
      <c r="O33" s="48">
        <v>3</v>
      </c>
      <c r="P33" s="47">
        <v>15</v>
      </c>
      <c r="Q33" s="47"/>
      <c r="R33" s="47"/>
      <c r="S33" s="48">
        <v>1</v>
      </c>
      <c r="T33" s="47"/>
      <c r="U33" s="47">
        <v>-1</v>
      </c>
      <c r="V33" s="47">
        <v>-2</v>
      </c>
      <c r="W33" s="47">
        <v>-3</v>
      </c>
      <c r="X33" s="47">
        <v>-4</v>
      </c>
      <c r="Y33" s="47">
        <v>-1</v>
      </c>
      <c r="Z33" s="47">
        <v>-1</v>
      </c>
      <c r="AA33" s="47">
        <v>-1</v>
      </c>
      <c r="AB33" s="47"/>
      <c r="AC33" s="47"/>
      <c r="AD33" s="47"/>
      <c r="AE33" s="47"/>
      <c r="AF33" s="47"/>
      <c r="AG33" s="47"/>
      <c r="AH33" s="47"/>
      <c r="AI33" s="47"/>
      <c r="AJ33" s="47"/>
    </row>
    <row r="34" spans="1:36" x14ac:dyDescent="0.3">
      <c r="A34" s="49" t="s">
        <v>481</v>
      </c>
      <c r="B34" s="48">
        <v>-1</v>
      </c>
      <c r="C34" s="48">
        <v>-7</v>
      </c>
      <c r="D34" s="48">
        <v>-7</v>
      </c>
      <c r="E34" s="48">
        <v>-1</v>
      </c>
      <c r="F34" s="48">
        <v>3</v>
      </c>
      <c r="G34" s="48">
        <v>1</v>
      </c>
      <c r="H34" s="48">
        <v>-7</v>
      </c>
      <c r="I34" s="48">
        <v>-7</v>
      </c>
      <c r="J34" s="48">
        <v>-7</v>
      </c>
      <c r="K34" s="48">
        <v>-7</v>
      </c>
      <c r="L34" s="48">
        <v>-7</v>
      </c>
      <c r="M34" s="48">
        <v>-7</v>
      </c>
      <c r="N34" s="48">
        <v>-7</v>
      </c>
      <c r="O34" s="48">
        <v>3</v>
      </c>
      <c r="P34" s="47">
        <v>4</v>
      </c>
      <c r="Q34" s="47"/>
      <c r="R34" s="47"/>
      <c r="S34" s="48"/>
      <c r="T34" s="47"/>
      <c r="U34" s="47">
        <v>-2</v>
      </c>
      <c r="V34" s="47"/>
      <c r="W34" s="47"/>
      <c r="X34" s="47"/>
      <c r="Y34" s="47">
        <v>-2</v>
      </c>
      <c r="Z34" s="47">
        <v>-5</v>
      </c>
      <c r="AA34" s="47">
        <v>-7</v>
      </c>
      <c r="AB34" s="47"/>
      <c r="AC34" s="47"/>
      <c r="AD34" s="47"/>
      <c r="AE34" s="47">
        <v>30</v>
      </c>
    </row>
    <row r="35" spans="1:36" x14ac:dyDescent="0.3">
      <c r="A35" s="49" t="s">
        <v>480</v>
      </c>
      <c r="B35" s="48">
        <v>2</v>
      </c>
      <c r="C35" s="48">
        <v>0</v>
      </c>
      <c r="D35" s="48">
        <v>0</v>
      </c>
      <c r="E35" s="48">
        <v>2</v>
      </c>
      <c r="F35" s="48">
        <v>2</v>
      </c>
      <c r="G35" s="48">
        <v>2</v>
      </c>
      <c r="H35" s="48">
        <v>-7</v>
      </c>
      <c r="I35" s="48">
        <v>-7</v>
      </c>
      <c r="J35" s="48">
        <v>-7</v>
      </c>
      <c r="K35" s="48">
        <v>-7</v>
      </c>
      <c r="L35" s="48">
        <v>-7</v>
      </c>
      <c r="M35" s="48">
        <v>-7</v>
      </c>
      <c r="N35" s="48">
        <v>1</v>
      </c>
      <c r="O35" s="48">
        <v>3</v>
      </c>
      <c r="P35" s="47">
        <v>1</v>
      </c>
      <c r="Q35" s="47"/>
      <c r="R35" s="47"/>
      <c r="S35" s="48">
        <v>1</v>
      </c>
      <c r="T35" s="47"/>
      <c r="U35" s="47">
        <v>0</v>
      </c>
      <c r="V35" s="47">
        <v>1</v>
      </c>
      <c r="W35" s="47"/>
      <c r="X35" s="47"/>
      <c r="Y35" s="47"/>
      <c r="Z35" s="47">
        <v>-2</v>
      </c>
      <c r="AA35" s="47">
        <v>-3</v>
      </c>
      <c r="AB35" s="47"/>
      <c r="AC35" s="47"/>
      <c r="AD35" s="47"/>
      <c r="AE35" s="47"/>
    </row>
    <row r="36" spans="1:36" x14ac:dyDescent="0.3">
      <c r="A36" s="49" t="s">
        <v>477</v>
      </c>
      <c r="B36" s="48">
        <v>2</v>
      </c>
      <c r="C36" s="48">
        <v>2</v>
      </c>
      <c r="D36" s="48">
        <v>2</v>
      </c>
      <c r="E36" s="48">
        <v>0</v>
      </c>
      <c r="F36" s="48">
        <v>-7</v>
      </c>
      <c r="G36" s="48">
        <v>-7</v>
      </c>
      <c r="H36" s="48">
        <v>0</v>
      </c>
      <c r="I36" s="48">
        <v>-2</v>
      </c>
      <c r="J36" s="48">
        <v>-7</v>
      </c>
      <c r="K36" s="48">
        <v>-7</v>
      </c>
      <c r="L36" s="48">
        <v>-7</v>
      </c>
      <c r="M36" s="48">
        <v>-7</v>
      </c>
      <c r="N36" s="48">
        <v>2</v>
      </c>
      <c r="O36" s="48">
        <v>3</v>
      </c>
      <c r="P36" s="47">
        <v>3</v>
      </c>
      <c r="Q36" s="47"/>
      <c r="R36" s="48">
        <v>1</v>
      </c>
      <c r="S36" s="48">
        <v>-1</v>
      </c>
      <c r="T36" s="47"/>
      <c r="U36" s="47">
        <v>2</v>
      </c>
      <c r="V36" s="47">
        <v>-2</v>
      </c>
      <c r="W36" s="47">
        <v>-2</v>
      </c>
      <c r="X36" s="47">
        <v>-2</v>
      </c>
      <c r="Y36" s="47">
        <v>1</v>
      </c>
      <c r="Z36" s="47"/>
      <c r="AA36" s="47"/>
      <c r="AB36" s="47"/>
      <c r="AC36" s="47"/>
      <c r="AD36" s="47"/>
      <c r="AE36" s="47"/>
    </row>
    <row r="37" spans="1:36" x14ac:dyDescent="0.3">
      <c r="A37" s="49" t="s">
        <v>475</v>
      </c>
      <c r="B37" s="48">
        <v>2</v>
      </c>
      <c r="C37" s="48">
        <v>-2</v>
      </c>
      <c r="D37" s="48">
        <v>-7</v>
      </c>
      <c r="E37" s="48">
        <v>2</v>
      </c>
      <c r="F37" s="48">
        <v>0</v>
      </c>
      <c r="G37" s="48">
        <v>-7</v>
      </c>
      <c r="H37" s="48">
        <v>0</v>
      </c>
      <c r="I37" s="48">
        <v>-2</v>
      </c>
      <c r="J37" s="48">
        <v>-7</v>
      </c>
      <c r="K37" s="48">
        <v>-7</v>
      </c>
      <c r="L37" s="48">
        <v>-7</v>
      </c>
      <c r="M37" s="48">
        <v>-7</v>
      </c>
      <c r="N37" s="48">
        <v>2</v>
      </c>
      <c r="O37" s="48">
        <v>3</v>
      </c>
      <c r="P37" s="47">
        <v>5</v>
      </c>
      <c r="Q37" s="47"/>
      <c r="R37" s="47"/>
      <c r="S37" s="48">
        <v>-1</v>
      </c>
      <c r="T37" s="47"/>
      <c r="U37" s="47">
        <v>2</v>
      </c>
      <c r="V37" s="47">
        <v>-1</v>
      </c>
      <c r="W37" s="47">
        <v>-1</v>
      </c>
      <c r="X37" s="47">
        <v>-1</v>
      </c>
      <c r="Y37" s="47">
        <v>3</v>
      </c>
      <c r="Z37" s="47">
        <v>2</v>
      </c>
      <c r="AA37" s="47">
        <v>1</v>
      </c>
      <c r="AB37" s="47"/>
      <c r="AC37" s="47"/>
      <c r="AD37" s="47"/>
      <c r="AE37" s="47"/>
    </row>
    <row r="38" spans="1:36" x14ac:dyDescent="0.3">
      <c r="A38" s="49" t="s">
        <v>474</v>
      </c>
      <c r="B38" s="48">
        <v>2</v>
      </c>
      <c r="C38" s="48">
        <v>0</v>
      </c>
      <c r="D38" s="48">
        <v>2</v>
      </c>
      <c r="E38" s="48">
        <v>-7</v>
      </c>
      <c r="F38" s="48">
        <v>-7</v>
      </c>
      <c r="G38" s="48">
        <v>-7</v>
      </c>
      <c r="H38" s="48">
        <v>-7</v>
      </c>
      <c r="I38" s="48">
        <v>-7</v>
      </c>
      <c r="J38" s="48">
        <v>-7</v>
      </c>
      <c r="K38" s="48">
        <v>-7</v>
      </c>
      <c r="L38" s="48">
        <v>-7</v>
      </c>
      <c r="M38" s="48">
        <v>-7</v>
      </c>
      <c r="N38" s="48">
        <v>2</v>
      </c>
      <c r="O38" s="48">
        <v>3</v>
      </c>
      <c r="P38" s="47">
        <v>20</v>
      </c>
      <c r="Q38" s="47"/>
      <c r="R38" s="47"/>
      <c r="S38" s="48">
        <v>-1</v>
      </c>
      <c r="T38" s="47"/>
      <c r="U38" s="47">
        <v>3</v>
      </c>
      <c r="V38" s="47">
        <v>-2</v>
      </c>
      <c r="W38" s="47">
        <v>-3</v>
      </c>
      <c r="X38" s="47">
        <v>-4</v>
      </c>
      <c r="Y38" s="47">
        <v>1</v>
      </c>
      <c r="Z38" s="47"/>
      <c r="AA38" s="47"/>
      <c r="AB38" s="47"/>
      <c r="AC38" s="47"/>
      <c r="AD38" s="47"/>
      <c r="AE38" s="47"/>
    </row>
    <row r="39" spans="1:36" s="47" customFormat="1" x14ac:dyDescent="0.3">
      <c r="A39" s="60" t="s">
        <v>547</v>
      </c>
      <c r="B39" s="50">
        <v>-7</v>
      </c>
      <c r="C39" s="50">
        <v>-7</v>
      </c>
      <c r="D39" s="50">
        <v>-7</v>
      </c>
      <c r="E39" s="50">
        <v>-7</v>
      </c>
      <c r="F39" s="50">
        <v>-7</v>
      </c>
      <c r="G39" s="50">
        <v>-7</v>
      </c>
      <c r="H39" s="50">
        <v>-7</v>
      </c>
      <c r="I39" s="50">
        <v>-7</v>
      </c>
      <c r="J39" s="50">
        <v>-7</v>
      </c>
      <c r="K39" s="50">
        <v>-7</v>
      </c>
      <c r="L39" s="50">
        <v>-7</v>
      </c>
      <c r="M39" s="50">
        <v>-7</v>
      </c>
      <c r="N39" s="50">
        <v>-7</v>
      </c>
      <c r="O39" s="50">
        <v>4</v>
      </c>
    </row>
    <row r="40" spans="1:36" s="47" customFormat="1" x14ac:dyDescent="0.3">
      <c r="A40" s="60" t="s">
        <v>548</v>
      </c>
      <c r="B40" s="50">
        <v>-7</v>
      </c>
      <c r="C40" s="50">
        <v>-7</v>
      </c>
      <c r="D40" s="50">
        <v>-7</v>
      </c>
      <c r="E40" s="50">
        <v>-7</v>
      </c>
      <c r="F40" s="50">
        <v>-7</v>
      </c>
      <c r="G40" s="50">
        <v>-7</v>
      </c>
      <c r="H40" s="50">
        <v>-7</v>
      </c>
      <c r="I40" s="50">
        <v>-7</v>
      </c>
      <c r="J40" s="50">
        <v>-7</v>
      </c>
      <c r="K40" s="50">
        <v>-7</v>
      </c>
      <c r="L40" s="50">
        <v>-7</v>
      </c>
      <c r="M40" s="50">
        <v>-7</v>
      </c>
      <c r="N40" s="50">
        <v>-7</v>
      </c>
      <c r="O40" s="50">
        <v>6</v>
      </c>
    </row>
    <row r="41" spans="1:36" s="47" customFormat="1" x14ac:dyDescent="0.3">
      <c r="A41" s="60" t="s">
        <v>549</v>
      </c>
      <c r="B41" s="50">
        <v>-7</v>
      </c>
      <c r="C41" s="50">
        <v>-7</v>
      </c>
      <c r="D41" s="50">
        <v>-7</v>
      </c>
      <c r="E41" s="50">
        <v>-7</v>
      </c>
      <c r="F41" s="50">
        <v>-7</v>
      </c>
      <c r="G41" s="50">
        <v>-7</v>
      </c>
      <c r="H41" s="50">
        <v>-7</v>
      </c>
      <c r="I41" s="50">
        <v>-7</v>
      </c>
      <c r="J41" s="50">
        <v>-7</v>
      </c>
      <c r="K41" s="50">
        <v>-7</v>
      </c>
      <c r="L41" s="50">
        <v>-7</v>
      </c>
      <c r="M41" s="50">
        <v>-7</v>
      </c>
      <c r="N41" s="50">
        <v>-7</v>
      </c>
      <c r="O41" s="50">
        <v>3</v>
      </c>
    </row>
    <row r="42" spans="1:36" s="47" customFormat="1" x14ac:dyDescent="0.3">
      <c r="A42" s="60" t="s">
        <v>550</v>
      </c>
      <c r="B42" s="50">
        <v>-7</v>
      </c>
      <c r="C42" s="50">
        <v>-7</v>
      </c>
      <c r="D42" s="50">
        <v>-7</v>
      </c>
      <c r="E42" s="50">
        <v>-7</v>
      </c>
      <c r="F42" s="50">
        <v>-7</v>
      </c>
      <c r="G42" s="50">
        <v>-7</v>
      </c>
      <c r="H42" s="50">
        <v>-7</v>
      </c>
      <c r="I42" s="50">
        <v>-7</v>
      </c>
      <c r="J42" s="50">
        <v>-7</v>
      </c>
      <c r="K42" s="50">
        <v>-7</v>
      </c>
      <c r="L42" s="50">
        <v>-7</v>
      </c>
      <c r="M42" s="50">
        <v>-7</v>
      </c>
      <c r="N42" s="50">
        <v>-7</v>
      </c>
      <c r="O42" s="50">
        <v>1</v>
      </c>
    </row>
    <row r="43" spans="1:36" x14ac:dyDescent="0.3">
      <c r="A43" s="60" t="s">
        <v>551</v>
      </c>
      <c r="B43" s="48">
        <v>-7</v>
      </c>
      <c r="C43" s="48">
        <v>-7</v>
      </c>
      <c r="D43" s="48">
        <v>-7</v>
      </c>
      <c r="E43" s="48">
        <v>-7</v>
      </c>
      <c r="F43" s="48">
        <v>-7</v>
      </c>
      <c r="G43" s="48">
        <v>-7</v>
      </c>
      <c r="H43" s="48">
        <v>-7</v>
      </c>
      <c r="I43" s="48">
        <v>-7</v>
      </c>
      <c r="J43" s="48">
        <v>-7</v>
      </c>
      <c r="K43" s="48">
        <v>-7</v>
      </c>
      <c r="L43" s="48">
        <v>-7</v>
      </c>
      <c r="M43" s="48">
        <v>-7</v>
      </c>
      <c r="N43" s="48">
        <v>-7</v>
      </c>
      <c r="O43" s="48">
        <v>7</v>
      </c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</row>
    <row r="44" spans="1:36" s="47" customFormat="1" x14ac:dyDescent="0.3">
      <c r="A44" s="60" t="s">
        <v>552</v>
      </c>
      <c r="B44" s="50">
        <v>-7</v>
      </c>
      <c r="C44" s="50">
        <v>-7</v>
      </c>
      <c r="D44" s="50">
        <v>-7</v>
      </c>
      <c r="E44" s="50">
        <v>-7</v>
      </c>
      <c r="F44" s="50">
        <v>-7</v>
      </c>
      <c r="G44" s="50">
        <v>-7</v>
      </c>
      <c r="H44" s="50">
        <v>-7</v>
      </c>
      <c r="I44" s="50">
        <v>-7</v>
      </c>
      <c r="J44" s="50">
        <v>-7</v>
      </c>
      <c r="K44" s="50">
        <v>-7</v>
      </c>
      <c r="L44" s="50">
        <v>-7</v>
      </c>
      <c r="M44" s="50">
        <v>-7</v>
      </c>
      <c r="N44" s="50">
        <v>-7</v>
      </c>
      <c r="O44" s="50">
        <v>4</v>
      </c>
    </row>
    <row r="45" spans="1:36" s="47" customFormat="1" x14ac:dyDescent="0.3">
      <c r="A45" s="60" t="s">
        <v>553</v>
      </c>
      <c r="B45" s="50">
        <v>-7</v>
      </c>
      <c r="C45" s="50">
        <v>-7</v>
      </c>
      <c r="D45" s="50">
        <v>-7</v>
      </c>
      <c r="E45" s="50">
        <v>-7</v>
      </c>
      <c r="F45" s="50">
        <v>-7</v>
      </c>
      <c r="G45" s="50">
        <v>-7</v>
      </c>
      <c r="H45" s="50">
        <v>-7</v>
      </c>
      <c r="I45" s="50">
        <v>-7</v>
      </c>
      <c r="J45" s="50">
        <v>-7</v>
      </c>
      <c r="K45" s="50">
        <v>-7</v>
      </c>
      <c r="L45" s="50">
        <v>-7</v>
      </c>
      <c r="M45" s="50">
        <v>-7</v>
      </c>
      <c r="N45" s="50">
        <v>-7</v>
      </c>
      <c r="O45" s="50">
        <v>6</v>
      </c>
    </row>
    <row r="46" spans="1:36" s="47" customFormat="1" x14ac:dyDescent="0.3">
      <c r="A46" s="60" t="s">
        <v>554</v>
      </c>
      <c r="B46" s="50">
        <v>-7</v>
      </c>
      <c r="C46" s="50">
        <v>-7</v>
      </c>
      <c r="D46" s="50">
        <v>-7</v>
      </c>
      <c r="E46" s="50">
        <v>-7</v>
      </c>
      <c r="F46" s="50">
        <v>-7</v>
      </c>
      <c r="G46" s="50">
        <v>-7</v>
      </c>
      <c r="H46" s="50">
        <v>-7</v>
      </c>
      <c r="I46" s="50">
        <v>-7</v>
      </c>
      <c r="J46" s="50">
        <v>-7</v>
      </c>
      <c r="K46" s="50">
        <v>-7</v>
      </c>
      <c r="L46" s="50">
        <v>-7</v>
      </c>
      <c r="M46" s="50">
        <v>-7</v>
      </c>
      <c r="N46" s="50">
        <v>-7</v>
      </c>
      <c r="O46" s="50">
        <v>3</v>
      </c>
    </row>
    <row r="47" spans="1:36" s="47" customFormat="1" x14ac:dyDescent="0.3">
      <c r="A47" s="60" t="s">
        <v>555</v>
      </c>
      <c r="B47" s="50">
        <v>-7</v>
      </c>
      <c r="C47" s="50">
        <v>-7</v>
      </c>
      <c r="D47" s="50">
        <v>-7</v>
      </c>
      <c r="E47" s="50">
        <v>-7</v>
      </c>
      <c r="F47" s="50">
        <v>-7</v>
      </c>
      <c r="G47" s="50">
        <v>-7</v>
      </c>
      <c r="H47" s="50">
        <v>-7</v>
      </c>
      <c r="I47" s="50">
        <v>-7</v>
      </c>
      <c r="J47" s="50">
        <v>-7</v>
      </c>
      <c r="K47" s="50">
        <v>-7</v>
      </c>
      <c r="L47" s="50">
        <v>-7</v>
      </c>
      <c r="M47" s="50">
        <v>-7</v>
      </c>
      <c r="N47" s="50">
        <v>-7</v>
      </c>
      <c r="O47" s="50">
        <v>1</v>
      </c>
    </row>
    <row r="48" spans="1:36" s="47" customFormat="1" x14ac:dyDescent="0.3">
      <c r="A48" s="60" t="s">
        <v>556</v>
      </c>
      <c r="B48" s="50">
        <v>-7</v>
      </c>
      <c r="C48" s="50">
        <v>-7</v>
      </c>
      <c r="D48" s="50">
        <v>-7</v>
      </c>
      <c r="E48" s="50">
        <v>-7</v>
      </c>
      <c r="F48" s="50">
        <v>-7</v>
      </c>
      <c r="G48" s="50">
        <v>-7</v>
      </c>
      <c r="H48" s="50">
        <v>-7</v>
      </c>
      <c r="I48" s="50">
        <v>-7</v>
      </c>
      <c r="J48" s="50">
        <v>-7</v>
      </c>
      <c r="K48" s="50">
        <v>-7</v>
      </c>
      <c r="L48" s="50">
        <v>-7</v>
      </c>
      <c r="M48" s="50">
        <v>-7</v>
      </c>
      <c r="N48" s="50">
        <v>-7</v>
      </c>
      <c r="O48" s="50">
        <v>7</v>
      </c>
    </row>
    <row r="49" spans="1:31" s="47" customFormat="1" x14ac:dyDescent="0.3">
      <c r="A49" s="60" t="s">
        <v>557</v>
      </c>
      <c r="B49" s="50">
        <v>-7</v>
      </c>
      <c r="C49" s="50">
        <v>-7</v>
      </c>
      <c r="D49" s="50">
        <v>-7</v>
      </c>
      <c r="E49" s="50">
        <v>-7</v>
      </c>
      <c r="F49" s="50">
        <v>-7</v>
      </c>
      <c r="G49" s="50">
        <v>-7</v>
      </c>
      <c r="H49" s="50">
        <v>-7</v>
      </c>
      <c r="I49" s="50">
        <v>-7</v>
      </c>
      <c r="J49" s="50">
        <v>-7</v>
      </c>
      <c r="K49" s="50">
        <v>-7</v>
      </c>
      <c r="L49" s="50">
        <v>-7</v>
      </c>
      <c r="M49" s="50">
        <v>-7</v>
      </c>
      <c r="N49" s="50">
        <v>-7</v>
      </c>
      <c r="O49" s="50">
        <v>4</v>
      </c>
    </row>
    <row r="50" spans="1:31" s="47" customFormat="1" x14ac:dyDescent="0.3">
      <c r="A50" s="60" t="s">
        <v>558</v>
      </c>
      <c r="B50" s="50">
        <v>-7</v>
      </c>
      <c r="C50" s="50">
        <v>-7</v>
      </c>
      <c r="D50" s="50">
        <v>-7</v>
      </c>
      <c r="E50" s="50">
        <v>-7</v>
      </c>
      <c r="F50" s="50">
        <v>-7</v>
      </c>
      <c r="G50" s="50">
        <v>-7</v>
      </c>
      <c r="H50" s="50">
        <v>-7</v>
      </c>
      <c r="I50" s="50">
        <v>-7</v>
      </c>
      <c r="J50" s="50">
        <v>-7</v>
      </c>
      <c r="K50" s="50">
        <v>-7</v>
      </c>
      <c r="L50" s="50">
        <v>-7</v>
      </c>
      <c r="M50" s="50">
        <v>-7</v>
      </c>
      <c r="N50" s="50">
        <v>-7</v>
      </c>
      <c r="O50" s="50">
        <v>6</v>
      </c>
    </row>
    <row r="51" spans="1:31" s="47" customFormat="1" x14ac:dyDescent="0.3">
      <c r="A51" s="60" t="s">
        <v>559</v>
      </c>
      <c r="B51" s="50">
        <v>-7</v>
      </c>
      <c r="C51" s="50">
        <v>-7</v>
      </c>
      <c r="D51" s="50">
        <v>-7</v>
      </c>
      <c r="E51" s="50">
        <v>-7</v>
      </c>
      <c r="F51" s="50">
        <v>-7</v>
      </c>
      <c r="G51" s="50">
        <v>-7</v>
      </c>
      <c r="H51" s="50">
        <v>-7</v>
      </c>
      <c r="I51" s="50">
        <v>-7</v>
      </c>
      <c r="J51" s="50">
        <v>-7</v>
      </c>
      <c r="K51" s="50">
        <v>-7</v>
      </c>
      <c r="L51" s="50">
        <v>-7</v>
      </c>
      <c r="M51" s="50">
        <v>-7</v>
      </c>
      <c r="N51" s="50">
        <v>-7</v>
      </c>
      <c r="O51" s="50">
        <v>3</v>
      </c>
    </row>
    <row r="52" spans="1:31" s="47" customFormat="1" x14ac:dyDescent="0.3">
      <c r="A52" s="60" t="s">
        <v>560</v>
      </c>
      <c r="B52" s="50">
        <v>-7</v>
      </c>
      <c r="C52" s="50">
        <v>-7</v>
      </c>
      <c r="D52" s="50">
        <v>-7</v>
      </c>
      <c r="E52" s="50">
        <v>-7</v>
      </c>
      <c r="F52" s="50">
        <v>-7</v>
      </c>
      <c r="G52" s="50">
        <v>-7</v>
      </c>
      <c r="H52" s="50">
        <v>-7</v>
      </c>
      <c r="I52" s="50">
        <v>-7</v>
      </c>
      <c r="J52" s="50">
        <v>-7</v>
      </c>
      <c r="K52" s="50">
        <v>-7</v>
      </c>
      <c r="L52" s="50">
        <v>-7</v>
      </c>
      <c r="M52" s="50">
        <v>-7</v>
      </c>
      <c r="N52" s="50">
        <v>-7</v>
      </c>
      <c r="O52" s="50">
        <v>1</v>
      </c>
    </row>
    <row r="53" spans="1:31" s="47" customFormat="1" x14ac:dyDescent="0.3">
      <c r="A53" s="60" t="s">
        <v>561</v>
      </c>
      <c r="B53" s="50">
        <v>-7</v>
      </c>
      <c r="C53" s="50">
        <v>-7</v>
      </c>
      <c r="D53" s="50">
        <v>-7</v>
      </c>
      <c r="E53" s="50">
        <v>-7</v>
      </c>
      <c r="F53" s="50">
        <v>-7</v>
      </c>
      <c r="G53" s="50">
        <v>-7</v>
      </c>
      <c r="H53" s="50">
        <v>-7</v>
      </c>
      <c r="I53" s="50">
        <v>-7</v>
      </c>
      <c r="J53" s="50">
        <v>-7</v>
      </c>
      <c r="K53" s="50">
        <v>-7</v>
      </c>
      <c r="L53" s="50">
        <v>-7</v>
      </c>
      <c r="M53" s="50">
        <v>-7</v>
      </c>
      <c r="N53" s="50">
        <v>-7</v>
      </c>
      <c r="O53" s="50">
        <v>7</v>
      </c>
    </row>
    <row r="54" spans="1:31" s="47" customFormat="1" x14ac:dyDescent="0.3">
      <c r="A54" s="60" t="s">
        <v>562</v>
      </c>
      <c r="B54" s="50">
        <v>-7</v>
      </c>
      <c r="C54" s="50">
        <v>-7</v>
      </c>
      <c r="D54" s="50">
        <v>-7</v>
      </c>
      <c r="E54" s="50">
        <v>-7</v>
      </c>
      <c r="F54" s="50">
        <v>-7</v>
      </c>
      <c r="G54" s="50">
        <v>-7</v>
      </c>
      <c r="H54" s="50">
        <v>-7</v>
      </c>
      <c r="I54" s="50">
        <v>-7</v>
      </c>
      <c r="J54" s="50">
        <v>-7</v>
      </c>
      <c r="K54" s="50">
        <v>-7</v>
      </c>
      <c r="L54" s="50">
        <v>-7</v>
      </c>
      <c r="M54" s="50">
        <v>-7</v>
      </c>
      <c r="N54" s="50">
        <v>-7</v>
      </c>
      <c r="O54" s="50">
        <v>4</v>
      </c>
    </row>
    <row r="55" spans="1:31" s="47" customFormat="1" x14ac:dyDescent="0.3">
      <c r="A55" s="60" t="s">
        <v>563</v>
      </c>
      <c r="B55" s="50">
        <v>-7</v>
      </c>
      <c r="C55" s="50">
        <v>-7</v>
      </c>
      <c r="D55" s="50">
        <v>-7</v>
      </c>
      <c r="E55" s="50">
        <v>-7</v>
      </c>
      <c r="F55" s="50">
        <v>-7</v>
      </c>
      <c r="G55" s="50">
        <v>-7</v>
      </c>
      <c r="H55" s="50">
        <v>-7</v>
      </c>
      <c r="I55" s="50">
        <v>-7</v>
      </c>
      <c r="J55" s="50">
        <v>-7</v>
      </c>
      <c r="K55" s="50">
        <v>-7</v>
      </c>
      <c r="L55" s="50">
        <v>-7</v>
      </c>
      <c r="M55" s="50">
        <v>-7</v>
      </c>
      <c r="N55" s="50">
        <v>-7</v>
      </c>
      <c r="O55" s="50">
        <v>6</v>
      </c>
    </row>
    <row r="56" spans="1:31" s="47" customFormat="1" x14ac:dyDescent="0.3">
      <c r="A56" s="60" t="s">
        <v>564</v>
      </c>
      <c r="B56" s="50">
        <v>-7</v>
      </c>
      <c r="C56" s="50">
        <v>-7</v>
      </c>
      <c r="D56" s="50">
        <v>-7</v>
      </c>
      <c r="E56" s="50">
        <v>-7</v>
      </c>
      <c r="F56" s="50">
        <v>-7</v>
      </c>
      <c r="G56" s="50">
        <v>-7</v>
      </c>
      <c r="H56" s="50">
        <v>-7</v>
      </c>
      <c r="I56" s="50">
        <v>-7</v>
      </c>
      <c r="J56" s="50">
        <v>-7</v>
      </c>
      <c r="K56" s="50">
        <v>-7</v>
      </c>
      <c r="L56" s="50">
        <v>-7</v>
      </c>
      <c r="M56" s="50">
        <v>-7</v>
      </c>
      <c r="N56" s="50">
        <v>-7</v>
      </c>
      <c r="O56" s="50">
        <v>3</v>
      </c>
    </row>
    <row r="57" spans="1:31" s="47" customFormat="1" x14ac:dyDescent="0.3">
      <c r="A57" s="60" t="s">
        <v>565</v>
      </c>
      <c r="B57" s="50">
        <v>-7</v>
      </c>
      <c r="C57" s="50">
        <v>-7</v>
      </c>
      <c r="D57" s="50">
        <v>-7</v>
      </c>
      <c r="E57" s="50">
        <v>-7</v>
      </c>
      <c r="F57" s="50">
        <v>-7</v>
      </c>
      <c r="G57" s="50">
        <v>-7</v>
      </c>
      <c r="H57" s="50">
        <v>-7</v>
      </c>
      <c r="I57" s="50">
        <v>-7</v>
      </c>
      <c r="J57" s="50">
        <v>-7</v>
      </c>
      <c r="K57" s="50">
        <v>-7</v>
      </c>
      <c r="L57" s="50">
        <v>-7</v>
      </c>
      <c r="M57" s="50">
        <v>-7</v>
      </c>
      <c r="N57" s="50">
        <v>-7</v>
      </c>
      <c r="O57" s="50">
        <v>1</v>
      </c>
    </row>
    <row r="58" spans="1:31" s="47" customFormat="1" x14ac:dyDescent="0.3">
      <c r="A58" s="60" t="s">
        <v>566</v>
      </c>
      <c r="B58" s="50">
        <v>-7</v>
      </c>
      <c r="C58" s="50">
        <v>-7</v>
      </c>
      <c r="D58" s="50">
        <v>-7</v>
      </c>
      <c r="E58" s="50">
        <v>-7</v>
      </c>
      <c r="F58" s="50">
        <v>-7</v>
      </c>
      <c r="G58" s="50">
        <v>-7</v>
      </c>
      <c r="H58" s="50">
        <v>-7</v>
      </c>
      <c r="I58" s="50">
        <v>-7</v>
      </c>
      <c r="J58" s="50">
        <v>-7</v>
      </c>
      <c r="K58" s="50">
        <v>-7</v>
      </c>
      <c r="L58" s="50">
        <v>-7</v>
      </c>
      <c r="M58" s="50">
        <v>-7</v>
      </c>
      <c r="N58" s="50">
        <v>-7</v>
      </c>
      <c r="O58" s="50">
        <v>7</v>
      </c>
    </row>
    <row r="59" spans="1:31" s="47" customFormat="1" x14ac:dyDescent="0.3">
      <c r="A59" s="60" t="s">
        <v>567</v>
      </c>
      <c r="B59" s="50">
        <v>-7</v>
      </c>
      <c r="C59" s="50">
        <v>-7</v>
      </c>
      <c r="D59" s="50">
        <v>-7</v>
      </c>
      <c r="E59" s="50">
        <v>-7</v>
      </c>
      <c r="F59" s="50">
        <v>-7</v>
      </c>
      <c r="G59" s="50">
        <v>-7</v>
      </c>
      <c r="H59" s="50">
        <v>-7</v>
      </c>
      <c r="I59" s="50">
        <v>-7</v>
      </c>
      <c r="J59" s="50">
        <v>-7</v>
      </c>
      <c r="K59" s="50">
        <v>-7</v>
      </c>
      <c r="L59" s="50">
        <v>-7</v>
      </c>
      <c r="M59" s="50">
        <v>-7</v>
      </c>
      <c r="N59" s="50">
        <v>-7</v>
      </c>
      <c r="O59" s="50">
        <v>4</v>
      </c>
    </row>
    <row r="60" spans="1:31" s="47" customFormat="1" x14ac:dyDescent="0.3">
      <c r="A60" s="60" t="s">
        <v>568</v>
      </c>
      <c r="B60" s="50">
        <v>-7</v>
      </c>
      <c r="C60" s="50">
        <v>-7</v>
      </c>
      <c r="D60" s="50">
        <v>-7</v>
      </c>
      <c r="E60" s="50">
        <v>-7</v>
      </c>
      <c r="F60" s="50">
        <v>-7</v>
      </c>
      <c r="G60" s="50">
        <v>-7</v>
      </c>
      <c r="H60" s="50">
        <v>-7</v>
      </c>
      <c r="I60" s="50">
        <v>-7</v>
      </c>
      <c r="J60" s="50">
        <v>-7</v>
      </c>
      <c r="K60" s="50">
        <v>-7</v>
      </c>
      <c r="L60" s="50">
        <v>-7</v>
      </c>
      <c r="M60" s="50">
        <v>-7</v>
      </c>
      <c r="N60" s="50">
        <v>-7</v>
      </c>
      <c r="O60" s="50">
        <v>3</v>
      </c>
    </row>
    <row r="61" spans="1:31" s="47" customFormat="1" x14ac:dyDescent="0.3">
      <c r="A61" s="60" t="s">
        <v>569</v>
      </c>
      <c r="B61" s="50">
        <v>-7</v>
      </c>
      <c r="C61" s="50">
        <v>-7</v>
      </c>
      <c r="D61" s="50">
        <v>-7</v>
      </c>
      <c r="E61" s="50">
        <v>-7</v>
      </c>
      <c r="F61" s="50">
        <v>-7</v>
      </c>
      <c r="G61" s="50">
        <v>-7</v>
      </c>
      <c r="H61" s="50">
        <v>-7</v>
      </c>
      <c r="I61" s="50">
        <v>-7</v>
      </c>
      <c r="J61" s="50">
        <v>-7</v>
      </c>
      <c r="K61" s="50">
        <v>-7</v>
      </c>
      <c r="L61" s="50">
        <v>-7</v>
      </c>
      <c r="M61" s="50">
        <v>-7</v>
      </c>
      <c r="N61" s="50">
        <v>-7</v>
      </c>
      <c r="O61" s="50">
        <v>1</v>
      </c>
    </row>
    <row r="62" spans="1:31" s="47" customFormat="1" x14ac:dyDescent="0.3">
      <c r="A62" s="60" t="s">
        <v>570</v>
      </c>
      <c r="B62" s="50">
        <v>-7</v>
      </c>
      <c r="C62" s="50">
        <v>-7</v>
      </c>
      <c r="D62" s="50">
        <v>-7</v>
      </c>
      <c r="E62" s="50">
        <v>-7</v>
      </c>
      <c r="F62" s="50">
        <v>-7</v>
      </c>
      <c r="G62" s="50">
        <v>-7</v>
      </c>
      <c r="H62" s="50">
        <v>-7</v>
      </c>
      <c r="I62" s="50">
        <v>-7</v>
      </c>
      <c r="J62" s="50">
        <v>-7</v>
      </c>
      <c r="K62" s="50">
        <v>-7</v>
      </c>
      <c r="L62" s="50">
        <v>-7</v>
      </c>
      <c r="M62" s="50">
        <v>-7</v>
      </c>
      <c r="N62" s="50">
        <v>-7</v>
      </c>
      <c r="O62" s="50">
        <v>7</v>
      </c>
    </row>
    <row r="63" spans="1:31" x14ac:dyDescent="0.3">
      <c r="A63" s="49" t="s">
        <v>479</v>
      </c>
      <c r="B63" s="48">
        <v>2</v>
      </c>
      <c r="C63" s="48">
        <v>0</v>
      </c>
      <c r="D63" s="48">
        <v>0</v>
      </c>
      <c r="E63" s="48">
        <v>2</v>
      </c>
      <c r="F63" s="48">
        <v>2</v>
      </c>
      <c r="G63" s="48">
        <v>3</v>
      </c>
      <c r="H63" s="48">
        <v>-7</v>
      </c>
      <c r="I63" s="48">
        <v>-7</v>
      </c>
      <c r="J63" s="48">
        <v>-7</v>
      </c>
      <c r="K63" s="48">
        <v>0</v>
      </c>
      <c r="L63" s="48">
        <v>0</v>
      </c>
      <c r="M63" s="48">
        <v>0</v>
      </c>
      <c r="N63" s="48">
        <v>2</v>
      </c>
      <c r="O63" s="48">
        <v>4</v>
      </c>
      <c r="P63" s="47"/>
      <c r="Q63" s="47"/>
      <c r="R63" s="47"/>
      <c r="S63" s="48">
        <v>1</v>
      </c>
      <c r="T63" s="47"/>
      <c r="U63" s="47">
        <v>0</v>
      </c>
      <c r="V63" s="47">
        <v>1</v>
      </c>
      <c r="W63" s="47">
        <v>1</v>
      </c>
      <c r="X63" s="47">
        <v>1</v>
      </c>
      <c r="Y63" s="47"/>
      <c r="Z63" s="47">
        <v>-2</v>
      </c>
      <c r="AA63" s="47">
        <v>-3</v>
      </c>
      <c r="AB63" s="47"/>
      <c r="AC63" s="47"/>
      <c r="AD63" s="47"/>
      <c r="AE63" s="47"/>
    </row>
    <row r="64" spans="1:31" x14ac:dyDescent="0.3">
      <c r="A64" s="49" t="s">
        <v>463</v>
      </c>
      <c r="B64" s="48">
        <v>-2</v>
      </c>
      <c r="C64" s="48">
        <v>-7</v>
      </c>
      <c r="D64" s="48">
        <v>-7</v>
      </c>
      <c r="E64" s="48">
        <v>2</v>
      </c>
      <c r="F64" s="48">
        <v>2</v>
      </c>
      <c r="G64" s="48">
        <v>3</v>
      </c>
      <c r="H64" s="48">
        <v>-7</v>
      </c>
      <c r="I64" s="48">
        <v>-7</v>
      </c>
      <c r="J64" s="48">
        <v>-7</v>
      </c>
      <c r="K64" s="48">
        <v>-7</v>
      </c>
      <c r="L64" s="48">
        <v>-7</v>
      </c>
      <c r="M64" s="48">
        <v>-7</v>
      </c>
      <c r="N64" s="48">
        <v>-1</v>
      </c>
      <c r="O64" s="48">
        <v>4</v>
      </c>
      <c r="P64" s="47">
        <v>9</v>
      </c>
      <c r="Q64" s="47"/>
      <c r="R64" s="48">
        <v>1</v>
      </c>
      <c r="S64" s="48">
        <v>-1</v>
      </c>
      <c r="T64" s="47"/>
      <c r="U64" s="47">
        <v>-3</v>
      </c>
      <c r="V64" s="47"/>
      <c r="W64" s="47"/>
      <c r="X64" s="47"/>
      <c r="Y64" s="47"/>
      <c r="Z64" s="47"/>
      <c r="AA64" s="47">
        <v>-3</v>
      </c>
      <c r="AB64" s="47"/>
      <c r="AC64" s="47"/>
      <c r="AD64" s="47"/>
      <c r="AE64" s="47">
        <v>50</v>
      </c>
    </row>
    <row r="65" spans="1:31" x14ac:dyDescent="0.3">
      <c r="A65" s="49" t="s">
        <v>456</v>
      </c>
      <c r="B65" s="48">
        <v>-1</v>
      </c>
      <c r="C65" s="48">
        <v>-7</v>
      </c>
      <c r="D65" s="48">
        <v>-7</v>
      </c>
      <c r="E65" s="48">
        <v>-7</v>
      </c>
      <c r="F65" s="48">
        <v>0</v>
      </c>
      <c r="G65" s="48">
        <v>2</v>
      </c>
      <c r="H65" s="48">
        <v>-7</v>
      </c>
      <c r="I65" s="48">
        <v>-7</v>
      </c>
      <c r="J65" s="48">
        <v>-7</v>
      </c>
      <c r="K65" s="48">
        <v>-7</v>
      </c>
      <c r="L65" s="48">
        <v>-7</v>
      </c>
      <c r="M65" s="48">
        <v>-7</v>
      </c>
      <c r="N65" s="48">
        <v>-7</v>
      </c>
      <c r="O65" s="48">
        <v>4</v>
      </c>
      <c r="P65" s="47">
        <v>14</v>
      </c>
      <c r="Q65" s="47"/>
      <c r="R65" s="47"/>
      <c r="S65" s="47">
        <v>1</v>
      </c>
      <c r="T65" s="47"/>
      <c r="U65" s="47">
        <v>-1</v>
      </c>
      <c r="V65" s="47"/>
      <c r="W65" s="47"/>
      <c r="X65" s="47"/>
      <c r="Y65" s="47">
        <v>-1</v>
      </c>
      <c r="Z65" s="47">
        <v>-2</v>
      </c>
      <c r="AA65" s="47">
        <v>-3</v>
      </c>
      <c r="AB65" s="47"/>
      <c r="AC65" s="47"/>
      <c r="AD65" s="47"/>
      <c r="AE65" s="47"/>
    </row>
    <row r="66" spans="1:31" x14ac:dyDescent="0.3">
      <c r="A66" s="49" t="s">
        <v>453</v>
      </c>
      <c r="B66" s="48">
        <v>-1</v>
      </c>
      <c r="C66" s="48">
        <v>-7</v>
      </c>
      <c r="D66" s="48">
        <v>-7</v>
      </c>
      <c r="E66" s="48">
        <v>-7</v>
      </c>
      <c r="F66" s="48">
        <v>2</v>
      </c>
      <c r="G66" s="48">
        <v>2</v>
      </c>
      <c r="H66" s="48">
        <v>-7</v>
      </c>
      <c r="I66" s="48">
        <v>-7</v>
      </c>
      <c r="J66" s="48">
        <v>-7</v>
      </c>
      <c r="K66" s="48">
        <v>3</v>
      </c>
      <c r="L66" s="48">
        <v>-7</v>
      </c>
      <c r="M66" s="48">
        <v>-7</v>
      </c>
      <c r="N66" s="48">
        <v>-1</v>
      </c>
      <c r="O66" s="48">
        <v>4</v>
      </c>
      <c r="P66" s="47">
        <v>40</v>
      </c>
      <c r="Q66" s="47"/>
      <c r="R66" s="48"/>
      <c r="S66" s="48">
        <v>1</v>
      </c>
      <c r="T66" s="47"/>
      <c r="U66" s="47">
        <v>-1</v>
      </c>
      <c r="V66" s="47">
        <v>1</v>
      </c>
      <c r="W66" s="47">
        <v>1</v>
      </c>
      <c r="X66" s="47">
        <v>1</v>
      </c>
      <c r="Y66" s="47"/>
      <c r="Z66" s="47">
        <v>-2</v>
      </c>
      <c r="AA66" s="47">
        <v>-3</v>
      </c>
      <c r="AB66" s="47"/>
      <c r="AC66" s="47"/>
      <c r="AD66" s="47"/>
      <c r="AE66" s="47"/>
    </row>
    <row r="67" spans="1:31" x14ac:dyDescent="0.3">
      <c r="A67" s="49" t="s">
        <v>452</v>
      </c>
      <c r="B67" s="48">
        <v>0</v>
      </c>
      <c r="C67" s="48">
        <v>-1</v>
      </c>
      <c r="D67" s="48">
        <v>-7</v>
      </c>
      <c r="E67" s="48">
        <v>-7</v>
      </c>
      <c r="F67" s="48">
        <v>-1</v>
      </c>
      <c r="G67" s="48">
        <v>2</v>
      </c>
      <c r="H67" s="48">
        <v>-7</v>
      </c>
      <c r="I67" s="48">
        <v>-7</v>
      </c>
      <c r="J67" s="48">
        <v>-7</v>
      </c>
      <c r="K67" s="48">
        <v>-7</v>
      </c>
      <c r="L67" s="48">
        <v>-7</v>
      </c>
      <c r="M67" s="48">
        <v>-7</v>
      </c>
      <c r="N67" s="48">
        <v>1</v>
      </c>
      <c r="O67" s="48">
        <v>4</v>
      </c>
      <c r="P67" s="47">
        <v>12</v>
      </c>
      <c r="Q67" s="47"/>
      <c r="R67" s="47"/>
      <c r="S67" s="47"/>
      <c r="T67" s="47"/>
      <c r="U67" s="47"/>
      <c r="V67" s="47">
        <v>-1</v>
      </c>
      <c r="W67" s="47">
        <v>-2</v>
      </c>
      <c r="X67" s="47">
        <v>-3</v>
      </c>
      <c r="Y67" s="47"/>
      <c r="Z67" s="47"/>
      <c r="AA67" s="47"/>
      <c r="AB67" s="47"/>
      <c r="AC67" s="47"/>
      <c r="AD67" s="47"/>
      <c r="AE67" s="47"/>
    </row>
    <row r="68" spans="1:31" x14ac:dyDescent="0.3">
      <c r="A68" s="49" t="s">
        <v>462</v>
      </c>
      <c r="B68" s="48">
        <v>-1</v>
      </c>
      <c r="C68" s="48">
        <v>-7</v>
      </c>
      <c r="D68" s="48">
        <v>-7</v>
      </c>
      <c r="E68" s="48">
        <v>3</v>
      </c>
      <c r="F68" s="48">
        <v>0</v>
      </c>
      <c r="G68" s="48">
        <v>0</v>
      </c>
      <c r="H68" s="48">
        <v>-7</v>
      </c>
      <c r="I68" s="48">
        <v>-7</v>
      </c>
      <c r="J68" s="48">
        <v>-7</v>
      </c>
      <c r="K68" s="48">
        <v>-7</v>
      </c>
      <c r="L68" s="48">
        <v>-7</v>
      </c>
      <c r="M68" s="48">
        <v>-7</v>
      </c>
      <c r="N68" s="48">
        <v>-2</v>
      </c>
      <c r="O68" s="48">
        <v>5</v>
      </c>
      <c r="P68" s="47">
        <v>10</v>
      </c>
      <c r="Q68" s="47"/>
      <c r="R68" s="47">
        <v>1</v>
      </c>
      <c r="S68" s="47">
        <v>2</v>
      </c>
      <c r="T68" s="47">
        <v>1</v>
      </c>
      <c r="U68" s="47">
        <v>-2</v>
      </c>
      <c r="V68" s="47">
        <v>-1</v>
      </c>
      <c r="W68" s="47">
        <v>-2</v>
      </c>
      <c r="X68" s="47">
        <v>-1</v>
      </c>
      <c r="Y68" s="47">
        <v>-1</v>
      </c>
      <c r="Z68" s="47">
        <v>-3</v>
      </c>
      <c r="AA68" s="47">
        <v>-3</v>
      </c>
      <c r="AB68" s="47"/>
      <c r="AC68" s="47"/>
      <c r="AD68" s="47"/>
      <c r="AE68" s="47">
        <v>30</v>
      </c>
    </row>
    <row r="69" spans="1:31" x14ac:dyDescent="0.3">
      <c r="A69" s="49" t="s">
        <v>461</v>
      </c>
      <c r="B69" s="48">
        <v>1</v>
      </c>
      <c r="C69" s="48">
        <v>0</v>
      </c>
      <c r="D69" s="48">
        <v>-7</v>
      </c>
      <c r="E69" s="48">
        <v>0</v>
      </c>
      <c r="F69" s="48">
        <v>-7</v>
      </c>
      <c r="G69" s="48">
        <v>1</v>
      </c>
      <c r="H69" s="48">
        <v>-7</v>
      </c>
      <c r="I69" s="48">
        <v>-7</v>
      </c>
      <c r="J69" s="48">
        <v>-7</v>
      </c>
      <c r="K69" s="48">
        <v>-7</v>
      </c>
      <c r="L69" s="48">
        <v>-7</v>
      </c>
      <c r="M69" s="48">
        <v>-7</v>
      </c>
      <c r="N69" s="48">
        <v>-1</v>
      </c>
      <c r="O69" s="48">
        <v>5</v>
      </c>
      <c r="P69" s="47">
        <v>20</v>
      </c>
      <c r="Q69" s="47"/>
      <c r="R69" s="48">
        <v>-1</v>
      </c>
      <c r="S69" s="48">
        <v>-1</v>
      </c>
      <c r="T69" s="47"/>
      <c r="U69" s="47">
        <v>2</v>
      </c>
      <c r="V69" s="47">
        <v>-2</v>
      </c>
      <c r="W69" s="47">
        <v>-3</v>
      </c>
      <c r="X69" s="47">
        <v>-4</v>
      </c>
      <c r="Y69" s="47"/>
      <c r="Z69" s="47">
        <v>-1</v>
      </c>
      <c r="AA69" s="47">
        <v>-2</v>
      </c>
      <c r="AB69" s="47"/>
      <c r="AC69" s="47"/>
      <c r="AD69" s="47"/>
      <c r="AE69" s="47">
        <v>30</v>
      </c>
    </row>
    <row r="70" spans="1:31" x14ac:dyDescent="0.3">
      <c r="A70" s="49" t="s">
        <v>460</v>
      </c>
      <c r="B70" s="48">
        <v>-1</v>
      </c>
      <c r="C70" s="48">
        <v>-7</v>
      </c>
      <c r="D70" s="48">
        <v>-7</v>
      </c>
      <c r="E70" s="48">
        <v>2</v>
      </c>
      <c r="F70" s="48">
        <v>2</v>
      </c>
      <c r="G70" s="48">
        <v>2</v>
      </c>
      <c r="H70" s="48">
        <v>-7</v>
      </c>
      <c r="I70" s="48">
        <v>0</v>
      </c>
      <c r="J70" s="48">
        <v>-7</v>
      </c>
      <c r="K70" s="48">
        <v>-7</v>
      </c>
      <c r="L70" s="48">
        <v>-7</v>
      </c>
      <c r="M70" s="48">
        <v>-7</v>
      </c>
      <c r="N70" s="48">
        <v>-3</v>
      </c>
      <c r="O70" s="48">
        <v>4</v>
      </c>
      <c r="P70" s="47">
        <v>1</v>
      </c>
      <c r="Q70" s="47"/>
      <c r="R70" s="47"/>
      <c r="S70" s="47"/>
      <c r="T70" s="47"/>
      <c r="U70" s="47">
        <v>0</v>
      </c>
      <c r="V70" s="47">
        <v>2</v>
      </c>
      <c r="W70" s="47">
        <v>2</v>
      </c>
      <c r="X70" s="47">
        <v>1</v>
      </c>
      <c r="Y70" s="47">
        <v>1</v>
      </c>
      <c r="Z70" s="47">
        <v>-2</v>
      </c>
      <c r="AA70" s="47">
        <v>-4</v>
      </c>
      <c r="AB70" s="47"/>
      <c r="AC70" s="47"/>
      <c r="AD70" s="47"/>
      <c r="AE70" s="47">
        <v>20</v>
      </c>
    </row>
    <row r="71" spans="1:31" x14ac:dyDescent="0.3">
      <c r="A71" s="49" t="s">
        <v>464</v>
      </c>
      <c r="B71" s="48">
        <v>1</v>
      </c>
      <c r="C71" s="48">
        <v>1</v>
      </c>
      <c r="D71" s="48">
        <v>-1</v>
      </c>
      <c r="E71" s="48">
        <v>0</v>
      </c>
      <c r="F71" s="48">
        <v>1</v>
      </c>
      <c r="G71" s="48">
        <v>3</v>
      </c>
      <c r="H71" s="48">
        <v>-2</v>
      </c>
      <c r="I71" s="48">
        <v>-7</v>
      </c>
      <c r="J71" s="48">
        <v>-7</v>
      </c>
      <c r="K71" s="48">
        <v>-7</v>
      </c>
      <c r="L71" s="48">
        <v>-7</v>
      </c>
      <c r="M71" s="48">
        <v>-7</v>
      </c>
      <c r="N71" s="48">
        <v>0</v>
      </c>
      <c r="O71" s="48">
        <v>6</v>
      </c>
      <c r="P71" s="47"/>
      <c r="Q71" s="47"/>
      <c r="R71" s="47"/>
      <c r="S71" s="47"/>
      <c r="T71" s="47"/>
      <c r="U71" s="47">
        <v>1</v>
      </c>
      <c r="V71" s="47"/>
      <c r="W71" s="47"/>
      <c r="X71" s="47"/>
      <c r="Y71" s="47"/>
      <c r="Z71" s="47">
        <v>1</v>
      </c>
      <c r="AA71" s="47">
        <v>2</v>
      </c>
      <c r="AB71" s="47"/>
      <c r="AC71" s="47"/>
      <c r="AD71" s="47"/>
      <c r="AE71" s="47"/>
    </row>
    <row r="72" spans="1:31" x14ac:dyDescent="0.3">
      <c r="A72" s="49" t="s">
        <v>162</v>
      </c>
      <c r="B72" s="48">
        <v>-2</v>
      </c>
      <c r="C72" s="48">
        <v>-7</v>
      </c>
      <c r="D72" s="48">
        <v>-7</v>
      </c>
      <c r="E72" s="48">
        <v>0</v>
      </c>
      <c r="F72" s="48">
        <v>1</v>
      </c>
      <c r="G72" s="48">
        <v>3</v>
      </c>
      <c r="H72" s="48">
        <v>-7</v>
      </c>
      <c r="I72" s="48">
        <v>-7</v>
      </c>
      <c r="J72" s="48">
        <v>-7</v>
      </c>
      <c r="K72" s="48">
        <v>-7</v>
      </c>
      <c r="L72" s="48">
        <v>-7</v>
      </c>
      <c r="M72" s="48">
        <v>-7</v>
      </c>
      <c r="N72" s="48">
        <v>-2</v>
      </c>
      <c r="O72" s="48">
        <v>6</v>
      </c>
      <c r="P72" s="47">
        <v>12</v>
      </c>
      <c r="Q72" s="47"/>
      <c r="R72" s="47"/>
      <c r="S72" s="47"/>
      <c r="T72" s="47"/>
      <c r="U72" s="47">
        <v>0</v>
      </c>
      <c r="V72" s="47">
        <v>1</v>
      </c>
      <c r="W72" s="47"/>
      <c r="X72" s="47"/>
      <c r="Y72" s="47"/>
      <c r="Z72" s="47"/>
      <c r="AA72" s="47">
        <v>1</v>
      </c>
      <c r="AB72" s="47"/>
      <c r="AC72" s="47"/>
      <c r="AD72" s="47"/>
      <c r="AE72" s="47">
        <v>40</v>
      </c>
    </row>
    <row r="73" spans="1:31" x14ac:dyDescent="0.3">
      <c r="A73" s="49" t="s">
        <v>199</v>
      </c>
      <c r="B73" s="48">
        <v>-2</v>
      </c>
      <c r="C73" s="48">
        <v>-7</v>
      </c>
      <c r="D73" s="48">
        <v>-7</v>
      </c>
      <c r="E73" s="48">
        <v>-7</v>
      </c>
      <c r="F73" s="48">
        <v>1</v>
      </c>
      <c r="G73" s="48">
        <v>3</v>
      </c>
      <c r="H73" s="48">
        <v>-7</v>
      </c>
      <c r="I73" s="48">
        <v>-7</v>
      </c>
      <c r="J73" s="48">
        <v>-7</v>
      </c>
      <c r="K73" s="48">
        <v>-7</v>
      </c>
      <c r="L73" s="48">
        <v>-7</v>
      </c>
      <c r="M73" s="48">
        <v>-7</v>
      </c>
      <c r="N73" s="48">
        <v>-2</v>
      </c>
      <c r="O73" s="48">
        <v>6</v>
      </c>
      <c r="P73" s="47">
        <v>35</v>
      </c>
      <c r="Q73" s="47"/>
      <c r="R73" s="47"/>
      <c r="S73" s="47"/>
      <c r="T73" s="47"/>
      <c r="U73" s="47">
        <v>0</v>
      </c>
      <c r="V73" s="47">
        <v>1</v>
      </c>
      <c r="W73" s="47"/>
      <c r="X73" s="47"/>
      <c r="Y73" s="47"/>
      <c r="Z73" s="47"/>
      <c r="AA73" s="47">
        <v>1</v>
      </c>
      <c r="AB73" s="47"/>
      <c r="AC73" s="47"/>
      <c r="AD73" s="47"/>
      <c r="AE73" s="47">
        <v>40</v>
      </c>
    </row>
    <row r="74" spans="1:31" x14ac:dyDescent="0.3">
      <c r="A74" s="49" t="s">
        <v>200</v>
      </c>
      <c r="B74" s="48">
        <v>-2</v>
      </c>
      <c r="C74" s="48">
        <v>-7</v>
      </c>
      <c r="D74" s="48">
        <v>-7</v>
      </c>
      <c r="E74" s="48">
        <v>-7</v>
      </c>
      <c r="F74" s="48">
        <v>1</v>
      </c>
      <c r="G74" s="48">
        <v>3</v>
      </c>
      <c r="H74" s="48">
        <v>-7</v>
      </c>
      <c r="I74" s="48">
        <v>-7</v>
      </c>
      <c r="J74" s="48">
        <v>-7</v>
      </c>
      <c r="K74" s="48">
        <v>-7</v>
      </c>
      <c r="L74" s="48">
        <v>-7</v>
      </c>
      <c r="M74" s="48">
        <v>-7</v>
      </c>
      <c r="N74" s="48">
        <v>-2</v>
      </c>
      <c r="O74" s="48">
        <v>6</v>
      </c>
      <c r="P74" s="47">
        <v>8</v>
      </c>
      <c r="Q74" s="47"/>
      <c r="R74" s="47"/>
      <c r="S74" s="47"/>
      <c r="T74" s="47"/>
      <c r="U74" s="47">
        <v>1</v>
      </c>
      <c r="V74" s="47">
        <v>1</v>
      </c>
      <c r="W74" s="47"/>
      <c r="X74" s="47"/>
      <c r="Y74" s="47"/>
      <c r="Z74" s="47"/>
      <c r="AA74" s="47">
        <v>1</v>
      </c>
      <c r="AB74" s="47"/>
      <c r="AC74" s="47"/>
      <c r="AD74" s="47"/>
      <c r="AE74" s="47">
        <v>40</v>
      </c>
    </row>
    <row r="76" spans="1:31" s="47" customFormat="1" x14ac:dyDescent="0.3"/>
    <row r="77" spans="1:31" s="47" customFormat="1" x14ac:dyDescent="0.3"/>
    <row r="79" spans="1:31" s="47" customFormat="1" x14ac:dyDescent="0.3">
      <c r="A79" s="1"/>
      <c r="B79" s="1" t="s">
        <v>509</v>
      </c>
      <c r="C79" s="69" t="s">
        <v>544</v>
      </c>
      <c r="D79" s="69"/>
      <c r="E79" s="69"/>
      <c r="F79" s="69" t="s">
        <v>546</v>
      </c>
      <c r="G79" s="69"/>
      <c r="H79" s="69"/>
      <c r="I79" s="69" t="s">
        <v>521</v>
      </c>
      <c r="J79" s="69"/>
      <c r="K79" s="69"/>
      <c r="L79" s="69" t="s">
        <v>522</v>
      </c>
      <c r="M79" s="69"/>
      <c r="N79" s="69"/>
      <c r="O79" s="69" t="s">
        <v>523</v>
      </c>
      <c r="P79" s="69"/>
      <c r="Q79" s="69"/>
      <c r="R79" s="69" t="s">
        <v>539</v>
      </c>
      <c r="S79" s="69"/>
      <c r="T79" s="69"/>
      <c r="U79" s="69" t="s">
        <v>538</v>
      </c>
      <c r="V79" s="69"/>
      <c r="W79" s="69"/>
    </row>
    <row r="80" spans="1:31" s="47" customFormat="1" x14ac:dyDescent="0.3">
      <c r="C80" s="67" t="s">
        <v>515</v>
      </c>
      <c r="D80" s="67"/>
      <c r="E80" s="68"/>
      <c r="F80" s="66" t="s">
        <v>516</v>
      </c>
      <c r="G80" s="67"/>
      <c r="H80" s="68"/>
      <c r="I80" s="66" t="s">
        <v>517</v>
      </c>
      <c r="J80" s="67"/>
      <c r="K80" s="68"/>
      <c r="L80" s="66" t="s">
        <v>518</v>
      </c>
      <c r="M80" s="67"/>
      <c r="N80" s="68"/>
      <c r="O80" s="66" t="s">
        <v>519</v>
      </c>
      <c r="P80" s="67"/>
      <c r="Q80" s="68"/>
      <c r="R80" s="66" t="s">
        <v>520</v>
      </c>
      <c r="S80" s="67"/>
      <c r="T80" s="68"/>
      <c r="U80" s="65" t="s">
        <v>537</v>
      </c>
      <c r="V80" s="65"/>
      <c r="W80" s="65"/>
      <c r="X80" s="65"/>
      <c r="Y80" s="65"/>
      <c r="Z80" s="65"/>
      <c r="AA80" s="65"/>
      <c r="AB80" s="65"/>
      <c r="AC80" s="65"/>
    </row>
    <row r="81" spans="2:23" s="47" customFormat="1" x14ac:dyDescent="0.3">
      <c r="B81" s="1" t="s">
        <v>510</v>
      </c>
      <c r="C81" s="56">
        <v>60</v>
      </c>
      <c r="D81" s="56">
        <v>10</v>
      </c>
      <c r="E81" s="57">
        <v>4</v>
      </c>
      <c r="F81" s="58">
        <v>65</v>
      </c>
      <c r="G81" s="56">
        <v>10</v>
      </c>
      <c r="H81" s="57">
        <v>4</v>
      </c>
      <c r="I81" s="58">
        <v>50</v>
      </c>
      <c r="J81" s="56">
        <v>7</v>
      </c>
      <c r="K81" s="57">
        <v>6</v>
      </c>
      <c r="L81" s="58">
        <v>40</v>
      </c>
      <c r="M81" s="43">
        <v>3</v>
      </c>
      <c r="N81" s="57">
        <v>12</v>
      </c>
      <c r="O81" s="44">
        <v>40</v>
      </c>
      <c r="P81" s="43">
        <v>3</v>
      </c>
      <c r="Q81" s="45">
        <v>8</v>
      </c>
      <c r="R81" s="58">
        <v>35</v>
      </c>
      <c r="S81" s="43">
        <v>6</v>
      </c>
      <c r="T81" s="57">
        <v>8</v>
      </c>
      <c r="U81" s="56">
        <v>50</v>
      </c>
      <c r="V81" s="56">
        <v>10</v>
      </c>
      <c r="W81" s="57">
        <v>3</v>
      </c>
    </row>
    <row r="82" spans="2:23" s="47" customFormat="1" x14ac:dyDescent="0.3">
      <c r="B82" s="1" t="s">
        <v>511</v>
      </c>
      <c r="C82" s="56">
        <v>50</v>
      </c>
      <c r="D82" s="56">
        <v>9</v>
      </c>
      <c r="E82" s="57">
        <v>5</v>
      </c>
      <c r="F82" s="58">
        <v>55</v>
      </c>
      <c r="G82" s="56">
        <v>9</v>
      </c>
      <c r="H82" s="57">
        <v>5</v>
      </c>
      <c r="I82" s="58">
        <v>50</v>
      </c>
      <c r="J82" s="56">
        <v>6</v>
      </c>
      <c r="K82" s="57">
        <v>7</v>
      </c>
      <c r="L82" s="58">
        <v>50</v>
      </c>
      <c r="M82" s="43">
        <v>2</v>
      </c>
      <c r="N82" s="57">
        <v>13</v>
      </c>
      <c r="O82" s="44">
        <v>45</v>
      </c>
      <c r="P82" s="43">
        <v>2</v>
      </c>
      <c r="Q82" s="45">
        <v>9</v>
      </c>
      <c r="R82" s="58">
        <v>45</v>
      </c>
      <c r="S82" s="43">
        <v>5</v>
      </c>
      <c r="T82" s="57">
        <v>9</v>
      </c>
      <c r="U82" s="56">
        <v>40</v>
      </c>
      <c r="V82" s="56">
        <v>9</v>
      </c>
      <c r="W82" s="57">
        <v>3</v>
      </c>
    </row>
    <row r="83" spans="2:23" s="47" customFormat="1" x14ac:dyDescent="0.3">
      <c r="B83" s="1" t="s">
        <v>512</v>
      </c>
      <c r="C83" s="56">
        <v>40</v>
      </c>
      <c r="D83" s="56">
        <v>8</v>
      </c>
      <c r="E83" s="57">
        <v>6</v>
      </c>
      <c r="F83" s="58">
        <v>45</v>
      </c>
      <c r="G83" s="56">
        <v>8</v>
      </c>
      <c r="H83" s="57">
        <v>6</v>
      </c>
      <c r="I83" s="58">
        <v>50</v>
      </c>
      <c r="J83" s="56">
        <v>5</v>
      </c>
      <c r="K83" s="57">
        <v>8</v>
      </c>
      <c r="L83" s="58">
        <v>60</v>
      </c>
      <c r="M83" s="43">
        <v>1</v>
      </c>
      <c r="N83" s="57">
        <v>14</v>
      </c>
      <c r="O83" s="44">
        <v>50</v>
      </c>
      <c r="P83" s="43">
        <v>1</v>
      </c>
      <c r="Q83" s="45">
        <v>10</v>
      </c>
      <c r="R83" s="58">
        <v>55</v>
      </c>
      <c r="S83" s="43">
        <v>4</v>
      </c>
      <c r="T83" s="57">
        <v>10</v>
      </c>
      <c r="U83" s="56">
        <v>30</v>
      </c>
      <c r="V83" s="56">
        <v>8</v>
      </c>
      <c r="W83" s="57">
        <v>4</v>
      </c>
    </row>
    <row r="84" spans="2:23" s="47" customFormat="1" x14ac:dyDescent="0.3">
      <c r="B84" s="1" t="s">
        <v>513</v>
      </c>
      <c r="C84" s="56">
        <v>35</v>
      </c>
      <c r="D84" s="56">
        <v>7</v>
      </c>
      <c r="E84" s="57">
        <v>7</v>
      </c>
      <c r="F84" s="58">
        <v>40</v>
      </c>
      <c r="G84" s="56">
        <v>7</v>
      </c>
      <c r="H84" s="57">
        <v>7</v>
      </c>
      <c r="I84" s="58">
        <v>50</v>
      </c>
      <c r="J84" s="56">
        <v>4</v>
      </c>
      <c r="K84" s="57">
        <v>9</v>
      </c>
      <c r="L84" s="58">
        <v>80</v>
      </c>
      <c r="M84" s="56">
        <v>1</v>
      </c>
      <c r="N84" s="57">
        <v>15</v>
      </c>
      <c r="O84" s="58">
        <v>60</v>
      </c>
      <c r="P84" s="56">
        <v>1</v>
      </c>
      <c r="Q84" s="57">
        <v>11</v>
      </c>
      <c r="R84" s="58">
        <v>75</v>
      </c>
      <c r="S84" s="43">
        <v>3</v>
      </c>
      <c r="T84" s="57">
        <v>11</v>
      </c>
      <c r="U84" s="56">
        <v>20</v>
      </c>
      <c r="V84" s="56">
        <v>7</v>
      </c>
      <c r="W84" s="57">
        <v>4</v>
      </c>
    </row>
    <row r="85" spans="2:23" s="47" customFormat="1" x14ac:dyDescent="0.3">
      <c r="B85" s="1" t="s">
        <v>514</v>
      </c>
      <c r="C85" s="56">
        <v>30</v>
      </c>
      <c r="D85" s="56">
        <v>6</v>
      </c>
      <c r="E85" s="57">
        <v>8</v>
      </c>
      <c r="F85" s="58">
        <v>35</v>
      </c>
      <c r="G85" s="56">
        <v>6</v>
      </c>
      <c r="H85" s="57">
        <v>8</v>
      </c>
      <c r="I85" s="58">
        <v>50</v>
      </c>
      <c r="J85" s="56">
        <v>3</v>
      </c>
      <c r="K85" s="57">
        <v>10</v>
      </c>
      <c r="L85" s="58">
        <v>100</v>
      </c>
      <c r="M85" s="56">
        <v>1</v>
      </c>
      <c r="N85" s="57">
        <v>16</v>
      </c>
      <c r="O85" s="58">
        <v>70</v>
      </c>
      <c r="P85" s="56">
        <v>1</v>
      </c>
      <c r="Q85" s="57">
        <v>12</v>
      </c>
      <c r="R85" s="58">
        <v>95</v>
      </c>
      <c r="S85" s="43">
        <v>2</v>
      </c>
      <c r="T85" s="57">
        <v>12</v>
      </c>
      <c r="U85" s="56">
        <v>10</v>
      </c>
      <c r="V85" s="56">
        <v>6</v>
      </c>
      <c r="W85" s="57">
        <v>5</v>
      </c>
    </row>
    <row r="86" spans="2:23" s="47" customFormat="1" x14ac:dyDescent="0.3">
      <c r="C86" s="56"/>
      <c r="D86" s="56"/>
      <c r="E86" s="57"/>
      <c r="F86" s="58"/>
      <c r="G86" s="56"/>
      <c r="H86" s="57"/>
      <c r="I86" s="58"/>
      <c r="J86" s="56"/>
      <c r="K86" s="57"/>
      <c r="L86" s="58"/>
      <c r="M86" s="56"/>
      <c r="N86" s="57"/>
      <c r="O86" s="58"/>
      <c r="P86" s="56"/>
      <c r="Q86" s="57"/>
      <c r="R86" s="40"/>
      <c r="S86" s="41"/>
      <c r="T86" s="42"/>
    </row>
    <row r="87" spans="2:23" s="47" customFormat="1" x14ac:dyDescent="0.3">
      <c r="B87" s="47" t="s">
        <v>525</v>
      </c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</row>
    <row r="88" spans="2:23" s="47" customFormat="1" x14ac:dyDescent="0.3">
      <c r="B88" s="47" t="s">
        <v>528</v>
      </c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</row>
    <row r="89" spans="2:23" s="47" customFormat="1" x14ac:dyDescent="0.3">
      <c r="B89" s="47" t="s">
        <v>526</v>
      </c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</row>
    <row r="91" spans="2:23" x14ac:dyDescent="0.3">
      <c r="B91" s="1" t="s">
        <v>524</v>
      </c>
      <c r="C91" s="30"/>
    </row>
    <row r="92" spans="2:23" x14ac:dyDescent="0.3">
      <c r="C92" t="s">
        <v>527</v>
      </c>
    </row>
    <row r="94" spans="2:23" x14ac:dyDescent="0.3">
      <c r="C94" t="s">
        <v>531</v>
      </c>
      <c r="D94" t="s">
        <v>532</v>
      </c>
      <c r="E94" t="s">
        <v>518</v>
      </c>
    </row>
    <row r="95" spans="2:23" x14ac:dyDescent="0.3">
      <c r="C95" t="s">
        <v>533</v>
      </c>
      <c r="D95" t="s">
        <v>532</v>
      </c>
      <c r="E95" t="s">
        <v>519</v>
      </c>
      <c r="H95" s="62" t="s">
        <v>529</v>
      </c>
      <c r="I95" s="62" t="s">
        <v>583</v>
      </c>
      <c r="J95" s="62" t="s">
        <v>584</v>
      </c>
    </row>
    <row r="96" spans="2:23" x14ac:dyDescent="0.3">
      <c r="C96" t="s">
        <v>534</v>
      </c>
      <c r="D96" t="s">
        <v>532</v>
      </c>
      <c r="E96" t="s">
        <v>517</v>
      </c>
      <c r="G96">
        <v>200</v>
      </c>
      <c r="H96" s="62">
        <f>(G96-C81)/E81+D81</f>
        <v>45</v>
      </c>
      <c r="I96" s="64">
        <f>(G96-I81)/K81+J81</f>
        <v>32</v>
      </c>
      <c r="J96" s="64">
        <f>(G96-L81)/N81+M81</f>
        <v>16.333333333333336</v>
      </c>
      <c r="K96" t="s">
        <v>510</v>
      </c>
    </row>
    <row r="97" spans="3:11" x14ac:dyDescent="0.3">
      <c r="C97" t="s">
        <v>535</v>
      </c>
      <c r="D97" t="s">
        <v>532</v>
      </c>
      <c r="E97" t="s">
        <v>515</v>
      </c>
      <c r="G97" s="47">
        <v>200</v>
      </c>
      <c r="H97" s="64">
        <f>(G97-C85)/E85+D85</f>
        <v>27.25</v>
      </c>
      <c r="I97" s="64">
        <f>(G97-I85)/K85+J85</f>
        <v>18</v>
      </c>
      <c r="J97" s="64">
        <f>(G97-L85)/N85+M85</f>
        <v>7.25</v>
      </c>
      <c r="K97" t="s">
        <v>514</v>
      </c>
    </row>
    <row r="98" spans="3:11" x14ac:dyDescent="0.3">
      <c r="C98" t="s">
        <v>536</v>
      </c>
      <c r="D98" t="s">
        <v>532</v>
      </c>
      <c r="E98" t="s">
        <v>537</v>
      </c>
      <c r="G98" s="47"/>
      <c r="H98" s="62"/>
      <c r="I98" s="64"/>
      <c r="J98" s="64"/>
      <c r="K98" s="47"/>
    </row>
    <row r="99" spans="3:11" x14ac:dyDescent="0.3">
      <c r="H99" s="65" t="s">
        <v>510</v>
      </c>
      <c r="I99" s="65"/>
      <c r="J99" s="65" t="s">
        <v>514</v>
      </c>
      <c r="K99" s="65"/>
    </row>
    <row r="100" spans="3:11" x14ac:dyDescent="0.3">
      <c r="H100" t="s">
        <v>586</v>
      </c>
      <c r="I100" t="s">
        <v>587</v>
      </c>
      <c r="J100" s="47" t="s">
        <v>586</v>
      </c>
      <c r="K100" s="47" t="s">
        <v>587</v>
      </c>
    </row>
    <row r="101" spans="3:11" x14ac:dyDescent="0.3">
      <c r="G101" t="s">
        <v>585</v>
      </c>
      <c r="H101">
        <f>H96</f>
        <v>45</v>
      </c>
      <c r="I101">
        <f>H101*2</f>
        <v>90</v>
      </c>
      <c r="J101" s="63">
        <f>H97</f>
        <v>27.25</v>
      </c>
      <c r="K101" s="63">
        <f>2*J101</f>
        <v>54.5</v>
      </c>
    </row>
    <row r="102" spans="3:11" x14ac:dyDescent="0.3">
      <c r="G102" t="s">
        <v>588</v>
      </c>
      <c r="H102" s="63">
        <f>I96</f>
        <v>32</v>
      </c>
      <c r="I102" s="63">
        <f>2*H102</f>
        <v>64</v>
      </c>
      <c r="J102" s="63">
        <f>I97</f>
        <v>18</v>
      </c>
      <c r="K102">
        <f>2*J102</f>
        <v>36</v>
      </c>
    </row>
    <row r="103" spans="3:11" x14ac:dyDescent="0.3">
      <c r="G103" t="s">
        <v>589</v>
      </c>
      <c r="H103" s="63">
        <f>I96+J96</f>
        <v>48.333333333333336</v>
      </c>
      <c r="I103" s="63">
        <f>H103*2</f>
        <v>96.666666666666671</v>
      </c>
      <c r="J103" s="63">
        <f>I97+J97</f>
        <v>25.25</v>
      </c>
      <c r="K103" s="63">
        <f>2*J103</f>
        <v>50.5</v>
      </c>
    </row>
    <row r="104" spans="3:11" x14ac:dyDescent="0.3">
      <c r="G104" t="s">
        <v>590</v>
      </c>
      <c r="H104" s="63">
        <f>I96</f>
        <v>32</v>
      </c>
      <c r="I104">
        <f>3*I96</f>
        <v>96</v>
      </c>
      <c r="J104" s="63">
        <f>I97</f>
        <v>18</v>
      </c>
      <c r="K104">
        <f>J104*3</f>
        <v>54</v>
      </c>
    </row>
  </sheetData>
  <autoFilter ref="A2:AJ74" xr:uid="{3C9B7BAB-3FAA-4002-AC73-DEAE5D485C46}"/>
  <mergeCells count="18">
    <mergeCell ref="U79:W79"/>
    <mergeCell ref="R80:T80"/>
    <mergeCell ref="U80:W80"/>
    <mergeCell ref="C79:E79"/>
    <mergeCell ref="C80:E80"/>
    <mergeCell ref="F80:H80"/>
    <mergeCell ref="I80:K80"/>
    <mergeCell ref="L80:N80"/>
    <mergeCell ref="F79:H79"/>
    <mergeCell ref="L79:N79"/>
    <mergeCell ref="O79:Q79"/>
    <mergeCell ref="I79:K79"/>
    <mergeCell ref="R79:T79"/>
    <mergeCell ref="H99:I99"/>
    <mergeCell ref="J99:K99"/>
    <mergeCell ref="O80:Q80"/>
    <mergeCell ref="X80:Z80"/>
    <mergeCell ref="AA80:AC80"/>
  </mergeCells>
  <conditionalFormatting sqref="S10:T19 R10 Q19:R19 R24 R26 Q29:R29 R64:S64 R66:S66 R36 R69:T69 B43:O43 S63:T63 S21:T38 B63:O74 B3:O38">
    <cfRule type="cellIs" dxfId="23" priority="25" operator="equal">
      <formula>-7</formula>
    </cfRule>
  </conditionalFormatting>
  <conditionalFormatting sqref="B40:O40">
    <cfRule type="cellIs" dxfId="22" priority="24" operator="equal">
      <formula>-7</formula>
    </cfRule>
  </conditionalFormatting>
  <conditionalFormatting sqref="B41:O41">
    <cfRule type="cellIs" dxfId="21" priority="23" operator="equal">
      <formula>-7</formula>
    </cfRule>
  </conditionalFormatting>
  <conditionalFormatting sqref="B39:O39">
    <cfRule type="cellIs" dxfId="20" priority="22" operator="equal">
      <formula>-7</formula>
    </cfRule>
  </conditionalFormatting>
  <conditionalFormatting sqref="B42:O42">
    <cfRule type="cellIs" dxfId="19" priority="21" operator="equal">
      <formula>-7</formula>
    </cfRule>
  </conditionalFormatting>
  <conditionalFormatting sqref="B48:O48">
    <cfRule type="cellIs" dxfId="18" priority="20" operator="equal">
      <formula>-7</formula>
    </cfRule>
  </conditionalFormatting>
  <conditionalFormatting sqref="B45:O45">
    <cfRule type="cellIs" dxfId="17" priority="19" operator="equal">
      <formula>-7</formula>
    </cfRule>
  </conditionalFormatting>
  <conditionalFormatting sqref="B46:O46">
    <cfRule type="cellIs" dxfId="16" priority="18" operator="equal">
      <formula>-7</formula>
    </cfRule>
  </conditionalFormatting>
  <conditionalFormatting sqref="B44:O44">
    <cfRule type="cellIs" dxfId="15" priority="17" operator="equal">
      <formula>-7</formula>
    </cfRule>
  </conditionalFormatting>
  <conditionalFormatting sqref="B47:O47">
    <cfRule type="cellIs" dxfId="14" priority="16" operator="equal">
      <formula>-7</formula>
    </cfRule>
  </conditionalFormatting>
  <conditionalFormatting sqref="B53:O53">
    <cfRule type="cellIs" dxfId="13" priority="15" operator="equal">
      <formula>-7</formula>
    </cfRule>
  </conditionalFormatting>
  <conditionalFormatting sqref="B50:O50">
    <cfRule type="cellIs" dxfId="12" priority="14" operator="equal">
      <formula>-7</formula>
    </cfRule>
  </conditionalFormatting>
  <conditionalFormatting sqref="B51:O51">
    <cfRule type="cellIs" dxfId="11" priority="13" operator="equal">
      <formula>-7</formula>
    </cfRule>
  </conditionalFormatting>
  <conditionalFormatting sqref="B49:O49">
    <cfRule type="cellIs" dxfId="10" priority="12" operator="equal">
      <formula>-7</formula>
    </cfRule>
  </conditionalFormatting>
  <conditionalFormatting sqref="B52:O52">
    <cfRule type="cellIs" dxfId="9" priority="11" operator="equal">
      <formula>-7</formula>
    </cfRule>
  </conditionalFormatting>
  <conditionalFormatting sqref="B58:O58">
    <cfRule type="cellIs" dxfId="8" priority="10" operator="equal">
      <formula>-7</formula>
    </cfRule>
  </conditionalFormatting>
  <conditionalFormatting sqref="B55:O55">
    <cfRule type="cellIs" dxfId="7" priority="9" operator="equal">
      <formula>-7</formula>
    </cfRule>
  </conditionalFormatting>
  <conditionalFormatting sqref="B56:O56">
    <cfRule type="cellIs" dxfId="6" priority="8" operator="equal">
      <formula>-7</formula>
    </cfRule>
  </conditionalFormatting>
  <conditionalFormatting sqref="B54:O54">
    <cfRule type="cellIs" dxfId="5" priority="7" operator="equal">
      <formula>-7</formula>
    </cfRule>
  </conditionalFormatting>
  <conditionalFormatting sqref="B57:O57">
    <cfRule type="cellIs" dxfId="4" priority="6" operator="equal">
      <formula>-7</formula>
    </cfRule>
  </conditionalFormatting>
  <conditionalFormatting sqref="B62:O62">
    <cfRule type="cellIs" dxfId="3" priority="5" operator="equal">
      <formula>-7</formula>
    </cfRule>
  </conditionalFormatting>
  <conditionalFormatting sqref="B60:O60">
    <cfRule type="cellIs" dxfId="2" priority="3" operator="equal">
      <formula>-7</formula>
    </cfRule>
  </conditionalFormatting>
  <conditionalFormatting sqref="B59:O59">
    <cfRule type="cellIs" dxfId="1" priority="2" operator="equal">
      <formula>-7</formula>
    </cfRule>
  </conditionalFormatting>
  <conditionalFormatting sqref="B61:O61">
    <cfRule type="cellIs" dxfId="0" priority="1" operator="equal">
      <formula>-7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461F9-A531-4B71-B91A-5D6281672C83}">
  <sheetPr codeName="Sheet6"/>
  <dimension ref="A1:P65"/>
  <sheetViews>
    <sheetView topLeftCell="A44" workbookViewId="0">
      <selection activeCell="D61" sqref="D61"/>
    </sheetView>
  </sheetViews>
  <sheetFormatPr defaultRowHeight="14.4" x14ac:dyDescent="0.3"/>
  <cols>
    <col min="4" max="4" width="8.88671875" bestFit="1" customWidth="1"/>
  </cols>
  <sheetData>
    <row r="1" spans="1:16" x14ac:dyDescent="0.3">
      <c r="A1" s="1" t="s">
        <v>68</v>
      </c>
    </row>
    <row r="2" spans="1:16" x14ac:dyDescent="0.3">
      <c r="A2" s="1" t="s">
        <v>78</v>
      </c>
    </row>
    <row r="3" spans="1:16" x14ac:dyDescent="0.3">
      <c r="A3" s="1" t="s">
        <v>79</v>
      </c>
    </row>
    <row r="4" spans="1:16" x14ac:dyDescent="0.3">
      <c r="A4" s="1"/>
      <c r="E4" s="8"/>
      <c r="F4" s="8"/>
      <c r="G4" s="8"/>
    </row>
    <row r="5" spans="1:16" x14ac:dyDescent="0.3">
      <c r="A5" s="1"/>
    </row>
    <row r="6" spans="1:16" ht="21" x14ac:dyDescent="0.4">
      <c r="A6" s="28" t="s">
        <v>69</v>
      </c>
      <c r="F6" s="1" t="s">
        <v>73</v>
      </c>
      <c r="J6" s="1" t="s">
        <v>72</v>
      </c>
      <c r="N6" s="1" t="s">
        <v>74</v>
      </c>
    </row>
    <row r="7" spans="1:16" x14ac:dyDescent="0.3">
      <c r="B7" s="7" t="s">
        <v>17</v>
      </c>
      <c r="C7" s="7" t="s">
        <v>8</v>
      </c>
      <c r="D7" s="1"/>
      <c r="E7" s="1"/>
      <c r="F7" s="7" t="s">
        <v>19</v>
      </c>
      <c r="G7" s="7" t="s">
        <v>8</v>
      </c>
      <c r="H7" s="9"/>
      <c r="I7" s="9"/>
      <c r="J7" s="7" t="s">
        <v>46</v>
      </c>
      <c r="K7" s="7" t="s">
        <v>8</v>
      </c>
      <c r="L7" s="1"/>
      <c r="M7" s="1"/>
      <c r="N7" s="7" t="s">
        <v>45</v>
      </c>
      <c r="O7" s="7" t="s">
        <v>8</v>
      </c>
      <c r="P7" s="1"/>
    </row>
    <row r="8" spans="1:16" x14ac:dyDescent="0.3">
      <c r="B8" s="11" t="s">
        <v>23</v>
      </c>
      <c r="C8" s="11" t="s">
        <v>63</v>
      </c>
      <c r="D8" s="1" t="s">
        <v>67</v>
      </c>
      <c r="F8" s="1" t="s">
        <v>23</v>
      </c>
      <c r="G8" s="11" t="s">
        <v>63</v>
      </c>
      <c r="H8" s="1" t="s">
        <v>67</v>
      </c>
      <c r="J8" s="1" t="s">
        <v>23</v>
      </c>
      <c r="K8" s="11" t="s">
        <v>63</v>
      </c>
      <c r="L8" s="1" t="s">
        <v>67</v>
      </c>
      <c r="M8" s="1"/>
      <c r="N8" s="1" t="s">
        <v>23</v>
      </c>
      <c r="O8" s="11" t="s">
        <v>63</v>
      </c>
      <c r="P8" s="1" t="s">
        <v>67</v>
      </c>
    </row>
    <row r="9" spans="1:16" x14ac:dyDescent="0.3">
      <c r="A9" s="1" t="s">
        <v>0</v>
      </c>
      <c r="B9">
        <f>INDEX(TblSummary, MATCH(B$7&amp;C$7&amp;$A9,TblConcat,0), 7)</f>
        <v>31</v>
      </c>
      <c r="C9">
        <f t="shared" ref="C9:C16" si="0">INDEX(TblSummary, MATCH(B$7&amp;C$7&amp;$A9,TblConcat,0), 9)</f>
        <v>0</v>
      </c>
      <c r="D9">
        <f>B9*C9</f>
        <v>0</v>
      </c>
      <c r="F9">
        <f t="shared" ref="F9:F16" si="1">INDEX(TblSummary, MATCH(F$7&amp;G$7&amp;$A9,TblConcat,0), 7)</f>
        <v>31</v>
      </c>
      <c r="G9">
        <f t="shared" ref="G9:G16" si="2">INDEX(TblSummary, MATCH(F$7&amp;G$7&amp;$A9,TblConcat,0), 9)</f>
        <v>0</v>
      </c>
      <c r="H9">
        <f>F9*G9</f>
        <v>0</v>
      </c>
      <c r="J9">
        <f t="shared" ref="J9:J16" si="3">INDEX(TblSummary, MATCH(J$7&amp;K$7&amp;$A9,TblConcat,0), 7)</f>
        <v>31</v>
      </c>
      <c r="K9">
        <f t="shared" ref="K9:K16" si="4">INDEX(TblSummary, MATCH(J$7&amp;K$7&amp;$A9,TblConcat,0), 9)</f>
        <v>0</v>
      </c>
      <c r="L9">
        <f>J9*K9</f>
        <v>0</v>
      </c>
      <c r="N9">
        <f t="shared" ref="N9:N16" si="5">INDEX(TblSummary, MATCH(N$7&amp;O$7&amp;$A9,TblConcat,0), 7)</f>
        <v>19</v>
      </c>
      <c r="O9">
        <f t="shared" ref="O9:O16" si="6">INDEX(TblSummary, MATCH(N$7&amp;O$7&amp;$A9,TblConcat,0), 9)</f>
        <v>50</v>
      </c>
      <c r="P9">
        <f>N9*O9</f>
        <v>950</v>
      </c>
    </row>
    <row r="10" spans="1:16" x14ac:dyDescent="0.3">
      <c r="A10" s="1" t="s">
        <v>1</v>
      </c>
      <c r="B10">
        <f t="shared" ref="B10:B16" si="7">INDEX(TblSummary, MATCH($B$7&amp;$C$7&amp;$A10,TblConcat,0), 7)</f>
        <v>25</v>
      </c>
      <c r="C10">
        <f t="shared" si="0"/>
        <v>30</v>
      </c>
      <c r="D10">
        <f t="shared" ref="D10:D16" si="8">B10*C10</f>
        <v>750</v>
      </c>
      <c r="F10">
        <f t="shared" si="1"/>
        <v>25</v>
      </c>
      <c r="G10">
        <f t="shared" si="2"/>
        <v>30</v>
      </c>
      <c r="H10">
        <f t="shared" ref="H10:H16" si="9">F10*G10</f>
        <v>750</v>
      </c>
      <c r="J10">
        <f t="shared" si="3"/>
        <v>31</v>
      </c>
      <c r="K10">
        <f t="shared" si="4"/>
        <v>0</v>
      </c>
      <c r="L10">
        <f t="shared" ref="L10:L16" si="10">J10*K10</f>
        <v>0</v>
      </c>
      <c r="N10">
        <f t="shared" si="5"/>
        <v>31</v>
      </c>
      <c r="O10">
        <f t="shared" si="6"/>
        <v>0</v>
      </c>
      <c r="P10">
        <f t="shared" ref="P10:P16" si="11">N10*O10</f>
        <v>0</v>
      </c>
    </row>
    <row r="11" spans="1:16" x14ac:dyDescent="0.3">
      <c r="A11" s="1" t="s">
        <v>2</v>
      </c>
      <c r="B11">
        <f t="shared" si="7"/>
        <v>8</v>
      </c>
      <c r="C11">
        <f t="shared" si="0"/>
        <v>100</v>
      </c>
      <c r="D11">
        <f t="shared" si="8"/>
        <v>800</v>
      </c>
      <c r="F11">
        <f t="shared" si="1"/>
        <v>5</v>
      </c>
      <c r="G11">
        <f t="shared" si="2"/>
        <v>110</v>
      </c>
      <c r="H11">
        <f t="shared" si="9"/>
        <v>550</v>
      </c>
      <c r="J11">
        <f t="shared" si="3"/>
        <v>5</v>
      </c>
      <c r="K11">
        <f t="shared" si="4"/>
        <v>111</v>
      </c>
      <c r="L11">
        <f t="shared" si="10"/>
        <v>555</v>
      </c>
      <c r="N11">
        <f t="shared" si="5"/>
        <v>9</v>
      </c>
      <c r="O11">
        <f t="shared" si="6"/>
        <v>90</v>
      </c>
      <c r="P11">
        <f t="shared" si="11"/>
        <v>810</v>
      </c>
    </row>
    <row r="12" spans="1:16" x14ac:dyDescent="0.3">
      <c r="A12" s="1" t="s">
        <v>3</v>
      </c>
      <c r="B12">
        <f t="shared" si="7"/>
        <v>10</v>
      </c>
      <c r="C12">
        <f t="shared" si="0"/>
        <v>80</v>
      </c>
      <c r="D12">
        <f t="shared" si="8"/>
        <v>800</v>
      </c>
      <c r="F12">
        <f t="shared" si="1"/>
        <v>13</v>
      </c>
      <c r="G12">
        <f t="shared" si="2"/>
        <v>70</v>
      </c>
      <c r="H12">
        <f t="shared" si="9"/>
        <v>910</v>
      </c>
      <c r="J12">
        <f t="shared" si="3"/>
        <v>10</v>
      </c>
      <c r="K12">
        <f t="shared" si="4"/>
        <v>80</v>
      </c>
      <c r="L12">
        <f t="shared" si="10"/>
        <v>800</v>
      </c>
      <c r="N12">
        <f t="shared" si="5"/>
        <v>8</v>
      </c>
      <c r="O12">
        <f t="shared" si="6"/>
        <v>100</v>
      </c>
      <c r="P12">
        <f t="shared" si="11"/>
        <v>800</v>
      </c>
    </row>
    <row r="13" spans="1:16" x14ac:dyDescent="0.3">
      <c r="A13" s="1" t="s">
        <v>4</v>
      </c>
      <c r="B13">
        <f t="shared" si="7"/>
        <v>9</v>
      </c>
      <c r="C13">
        <f t="shared" si="0"/>
        <v>90</v>
      </c>
      <c r="D13">
        <f t="shared" si="8"/>
        <v>810</v>
      </c>
      <c r="F13">
        <f t="shared" si="1"/>
        <v>8</v>
      </c>
      <c r="G13">
        <f t="shared" si="2"/>
        <v>100</v>
      </c>
      <c r="H13">
        <f t="shared" si="9"/>
        <v>800</v>
      </c>
      <c r="J13">
        <f t="shared" si="3"/>
        <v>8</v>
      </c>
      <c r="K13">
        <f t="shared" si="4"/>
        <v>100</v>
      </c>
      <c r="L13">
        <f t="shared" si="10"/>
        <v>800</v>
      </c>
      <c r="N13">
        <f t="shared" si="5"/>
        <v>10</v>
      </c>
      <c r="O13">
        <f t="shared" si="6"/>
        <v>80</v>
      </c>
      <c r="P13">
        <f t="shared" si="11"/>
        <v>800</v>
      </c>
    </row>
    <row r="14" spans="1:16" x14ac:dyDescent="0.3">
      <c r="A14" s="1" t="s">
        <v>5</v>
      </c>
      <c r="B14">
        <f t="shared" si="7"/>
        <v>16</v>
      </c>
      <c r="C14">
        <f t="shared" si="0"/>
        <v>60</v>
      </c>
      <c r="D14">
        <f t="shared" si="8"/>
        <v>960</v>
      </c>
      <c r="F14">
        <f t="shared" si="1"/>
        <v>22</v>
      </c>
      <c r="G14">
        <f t="shared" si="2"/>
        <v>40</v>
      </c>
      <c r="H14">
        <f t="shared" si="9"/>
        <v>880</v>
      </c>
      <c r="J14">
        <f t="shared" si="3"/>
        <v>19</v>
      </c>
      <c r="K14">
        <f t="shared" si="4"/>
        <v>50</v>
      </c>
      <c r="L14">
        <f t="shared" si="10"/>
        <v>950</v>
      </c>
      <c r="N14">
        <f t="shared" si="5"/>
        <v>16</v>
      </c>
      <c r="O14">
        <f t="shared" si="6"/>
        <v>60</v>
      </c>
      <c r="P14">
        <f t="shared" si="11"/>
        <v>960</v>
      </c>
    </row>
    <row r="15" spans="1:16" x14ac:dyDescent="0.3">
      <c r="A15" s="1" t="s">
        <v>6</v>
      </c>
      <c r="B15">
        <f t="shared" si="7"/>
        <v>13</v>
      </c>
      <c r="C15">
        <f t="shared" si="0"/>
        <v>70</v>
      </c>
      <c r="D15">
        <f t="shared" si="8"/>
        <v>910</v>
      </c>
      <c r="F15">
        <f t="shared" si="1"/>
        <v>13</v>
      </c>
      <c r="G15">
        <f t="shared" si="2"/>
        <v>70</v>
      </c>
      <c r="H15">
        <f t="shared" si="9"/>
        <v>910</v>
      </c>
      <c r="J15">
        <f t="shared" si="3"/>
        <v>16</v>
      </c>
      <c r="K15">
        <f t="shared" si="4"/>
        <v>60</v>
      </c>
      <c r="L15">
        <f t="shared" si="10"/>
        <v>960</v>
      </c>
      <c r="N15">
        <f t="shared" si="5"/>
        <v>10</v>
      </c>
      <c r="O15">
        <f t="shared" si="6"/>
        <v>80</v>
      </c>
      <c r="P15">
        <f t="shared" si="11"/>
        <v>800</v>
      </c>
    </row>
    <row r="16" spans="1:16" x14ac:dyDescent="0.3">
      <c r="A16" s="1" t="s">
        <v>7</v>
      </c>
      <c r="B16">
        <f t="shared" si="7"/>
        <v>7</v>
      </c>
      <c r="C16">
        <f t="shared" si="0"/>
        <v>105</v>
      </c>
      <c r="D16">
        <f t="shared" si="8"/>
        <v>735</v>
      </c>
      <c r="F16">
        <f t="shared" si="1"/>
        <v>5</v>
      </c>
      <c r="G16">
        <f t="shared" si="2"/>
        <v>110</v>
      </c>
      <c r="H16">
        <f t="shared" si="9"/>
        <v>550</v>
      </c>
      <c r="J16">
        <f t="shared" si="3"/>
        <v>5</v>
      </c>
      <c r="K16">
        <f t="shared" si="4"/>
        <v>110</v>
      </c>
      <c r="L16">
        <f t="shared" si="10"/>
        <v>550</v>
      </c>
      <c r="N16">
        <f t="shared" si="5"/>
        <v>10</v>
      </c>
      <c r="O16">
        <f t="shared" si="6"/>
        <v>80</v>
      </c>
      <c r="P16">
        <f t="shared" si="11"/>
        <v>800</v>
      </c>
    </row>
    <row r="18" spans="1:16" x14ac:dyDescent="0.3">
      <c r="D18" s="1">
        <f>SUM(D9:D16)</f>
        <v>5765</v>
      </c>
      <c r="H18" s="1">
        <f>SUM(H9:H16)</f>
        <v>5350</v>
      </c>
      <c r="I18" s="5"/>
      <c r="L18" s="1">
        <f>SUM(L9:L16)</f>
        <v>4615</v>
      </c>
      <c r="P18" s="1">
        <f>SUM(P9:P16)</f>
        <v>5920</v>
      </c>
    </row>
    <row r="21" spans="1:16" ht="21" x14ac:dyDescent="0.4">
      <c r="A21" s="28" t="s">
        <v>70</v>
      </c>
      <c r="F21" s="1" t="s">
        <v>73</v>
      </c>
      <c r="J21" s="1" t="s">
        <v>93</v>
      </c>
      <c r="N21" s="1" t="s">
        <v>74</v>
      </c>
    </row>
    <row r="22" spans="1:16" x14ac:dyDescent="0.3">
      <c r="B22" s="7" t="s">
        <v>17</v>
      </c>
      <c r="C22" s="7" t="s">
        <v>13</v>
      </c>
      <c r="D22" s="1"/>
      <c r="E22" s="1"/>
      <c r="F22" s="7" t="s">
        <v>20</v>
      </c>
      <c r="G22" s="7" t="s">
        <v>13</v>
      </c>
      <c r="H22" s="9"/>
      <c r="I22" s="9"/>
      <c r="J22" s="7" t="s">
        <v>19</v>
      </c>
      <c r="K22" s="7" t="s">
        <v>13</v>
      </c>
      <c r="L22" s="1"/>
      <c r="M22" s="1"/>
      <c r="N22" s="7" t="s">
        <v>42</v>
      </c>
      <c r="O22" s="7" t="s">
        <v>13</v>
      </c>
      <c r="P22" s="1"/>
    </row>
    <row r="23" spans="1:16" x14ac:dyDescent="0.3">
      <c r="B23" s="11" t="s">
        <v>23</v>
      </c>
      <c r="C23" s="11" t="s">
        <v>63</v>
      </c>
      <c r="D23" s="1" t="s">
        <v>67</v>
      </c>
      <c r="F23" s="1" t="s">
        <v>23</v>
      </c>
      <c r="G23" s="11" t="s">
        <v>63</v>
      </c>
      <c r="H23" s="1" t="s">
        <v>67</v>
      </c>
      <c r="J23" s="1" t="s">
        <v>23</v>
      </c>
      <c r="K23" s="11" t="s">
        <v>63</v>
      </c>
      <c r="L23" s="1" t="s">
        <v>67</v>
      </c>
      <c r="M23" s="1"/>
      <c r="N23" s="1" t="s">
        <v>23</v>
      </c>
      <c r="O23" s="11" t="s">
        <v>63</v>
      </c>
      <c r="P23" s="1" t="s">
        <v>67</v>
      </c>
    </row>
    <row r="24" spans="1:16" x14ac:dyDescent="0.3">
      <c r="A24" s="1" t="s">
        <v>0</v>
      </c>
      <c r="B24">
        <f t="shared" ref="B24:B31" si="12">INDEX(TblSummary, MATCH(B$22&amp;C$22&amp;$A24,TblConcat,0), 7)</f>
        <v>25</v>
      </c>
      <c r="C24">
        <f t="shared" ref="C24:C31" si="13">INDEX(TblSummary, MATCH(B$22&amp;C$22&amp;$A24,TblConcat,0), 9)</f>
        <v>30</v>
      </c>
      <c r="D24">
        <f>B24*C24</f>
        <v>750</v>
      </c>
      <c r="F24">
        <f t="shared" ref="F24:F31" si="14">INDEX(TblSummary, MATCH(F$22&amp;G$22&amp;$A24,TblConcat,0), 7)</f>
        <v>25</v>
      </c>
      <c r="G24">
        <f t="shared" ref="G24:G31" si="15">INDEX(TblSummary, MATCH(F$22&amp;G$22&amp;$A24,TblConcat,0), 9)</f>
        <v>30</v>
      </c>
      <c r="H24">
        <f>F24*G24</f>
        <v>750</v>
      </c>
      <c r="J24">
        <f t="shared" ref="J24:J31" si="16">INDEX(TblSummary, MATCH(J$22&amp;K$22&amp;$A24,TblConcat,0), 7)</f>
        <v>31</v>
      </c>
      <c r="K24">
        <f t="shared" ref="K24:K31" si="17">INDEX(TblSummary, MATCH(J$22&amp;K$22&amp;$A24,TblConcat,0), 9)</f>
        <v>0</v>
      </c>
      <c r="L24">
        <f>J24*K24</f>
        <v>0</v>
      </c>
      <c r="N24">
        <f t="shared" ref="N24:N31" si="18">INDEX(TblSummary, MATCH(N$22&amp;O$22&amp;$A24,TblConcat,0), 7)</f>
        <v>28</v>
      </c>
      <c r="O24">
        <f t="shared" ref="O24:O31" si="19">INDEX(TblSummary, MATCH(N$22&amp;O$22&amp;$A24,TblConcat,0), 9)</f>
        <v>15</v>
      </c>
      <c r="P24">
        <f>N24*O24</f>
        <v>420</v>
      </c>
    </row>
    <row r="25" spans="1:16" x14ac:dyDescent="0.3">
      <c r="A25" s="1" t="s">
        <v>1</v>
      </c>
      <c r="B25">
        <f t="shared" si="12"/>
        <v>31</v>
      </c>
      <c r="C25">
        <f t="shared" si="13"/>
        <v>0</v>
      </c>
      <c r="D25">
        <f t="shared" ref="D25:D31" si="20">B25*C25</f>
        <v>0</v>
      </c>
      <c r="F25">
        <f t="shared" si="14"/>
        <v>31</v>
      </c>
      <c r="G25">
        <f t="shared" si="15"/>
        <v>0</v>
      </c>
      <c r="H25">
        <f t="shared" ref="H25:H31" si="21">F25*G25</f>
        <v>0</v>
      </c>
      <c r="J25">
        <f t="shared" si="16"/>
        <v>31</v>
      </c>
      <c r="K25">
        <f t="shared" si="17"/>
        <v>0</v>
      </c>
      <c r="L25">
        <f t="shared" ref="L25:L31" si="22">J25*K25</f>
        <v>0</v>
      </c>
      <c r="N25">
        <f t="shared" si="18"/>
        <v>28</v>
      </c>
      <c r="O25">
        <f t="shared" si="19"/>
        <v>15</v>
      </c>
      <c r="P25">
        <f t="shared" ref="P25:P31" si="23">N25*O25</f>
        <v>420</v>
      </c>
    </row>
    <row r="26" spans="1:16" x14ac:dyDescent="0.3">
      <c r="A26" s="1" t="s">
        <v>2</v>
      </c>
      <c r="B26">
        <f t="shared" si="12"/>
        <v>10</v>
      </c>
      <c r="C26">
        <f t="shared" si="13"/>
        <v>80</v>
      </c>
      <c r="D26">
        <f t="shared" si="20"/>
        <v>800</v>
      </c>
      <c r="F26">
        <f t="shared" si="14"/>
        <v>10</v>
      </c>
      <c r="G26">
        <f t="shared" si="15"/>
        <v>80</v>
      </c>
      <c r="H26">
        <f t="shared" si="21"/>
        <v>800</v>
      </c>
      <c r="J26">
        <f t="shared" si="16"/>
        <v>7</v>
      </c>
      <c r="K26">
        <f t="shared" si="17"/>
        <v>105</v>
      </c>
      <c r="L26">
        <f t="shared" si="22"/>
        <v>735</v>
      </c>
      <c r="N26">
        <f t="shared" si="18"/>
        <v>10</v>
      </c>
      <c r="O26">
        <f t="shared" si="19"/>
        <v>80</v>
      </c>
      <c r="P26">
        <f t="shared" si="23"/>
        <v>800</v>
      </c>
    </row>
    <row r="27" spans="1:16" x14ac:dyDescent="0.3">
      <c r="A27" s="1" t="s">
        <v>3</v>
      </c>
      <c r="B27">
        <f t="shared" si="12"/>
        <v>7</v>
      </c>
      <c r="C27">
        <f t="shared" si="13"/>
        <v>105</v>
      </c>
      <c r="D27">
        <f t="shared" si="20"/>
        <v>735</v>
      </c>
      <c r="F27">
        <f t="shared" si="14"/>
        <v>5</v>
      </c>
      <c r="G27">
        <f t="shared" si="15"/>
        <v>111</v>
      </c>
      <c r="H27">
        <f t="shared" si="21"/>
        <v>555</v>
      </c>
      <c r="J27">
        <f t="shared" si="16"/>
        <v>8</v>
      </c>
      <c r="K27">
        <f t="shared" si="17"/>
        <v>100</v>
      </c>
      <c r="L27">
        <f t="shared" si="22"/>
        <v>800</v>
      </c>
      <c r="N27">
        <f t="shared" si="18"/>
        <v>9</v>
      </c>
      <c r="O27">
        <f t="shared" si="19"/>
        <v>90</v>
      </c>
      <c r="P27">
        <f t="shared" si="23"/>
        <v>810</v>
      </c>
    </row>
    <row r="28" spans="1:16" x14ac:dyDescent="0.3">
      <c r="A28" s="1" t="s">
        <v>4</v>
      </c>
      <c r="B28">
        <f t="shared" si="12"/>
        <v>13</v>
      </c>
      <c r="C28">
        <f t="shared" si="13"/>
        <v>70</v>
      </c>
      <c r="D28">
        <f t="shared" si="20"/>
        <v>910</v>
      </c>
      <c r="F28">
        <f t="shared" si="14"/>
        <v>13</v>
      </c>
      <c r="G28">
        <f t="shared" si="15"/>
        <v>70</v>
      </c>
      <c r="H28">
        <f t="shared" si="21"/>
        <v>910</v>
      </c>
      <c r="J28">
        <f t="shared" si="16"/>
        <v>10</v>
      </c>
      <c r="K28">
        <f t="shared" si="17"/>
        <v>80</v>
      </c>
      <c r="L28">
        <f t="shared" si="22"/>
        <v>800</v>
      </c>
      <c r="N28">
        <f t="shared" si="18"/>
        <v>9</v>
      </c>
      <c r="O28">
        <f t="shared" si="19"/>
        <v>90</v>
      </c>
      <c r="P28">
        <f t="shared" si="23"/>
        <v>810</v>
      </c>
    </row>
    <row r="29" spans="1:16" x14ac:dyDescent="0.3">
      <c r="A29" s="1" t="s">
        <v>5</v>
      </c>
      <c r="B29">
        <f t="shared" si="12"/>
        <v>16</v>
      </c>
      <c r="C29">
        <f t="shared" si="13"/>
        <v>60</v>
      </c>
      <c r="D29">
        <f t="shared" si="20"/>
        <v>960</v>
      </c>
      <c r="F29">
        <f t="shared" si="14"/>
        <v>16</v>
      </c>
      <c r="G29">
        <f t="shared" si="15"/>
        <v>60</v>
      </c>
      <c r="H29">
        <f t="shared" si="21"/>
        <v>960</v>
      </c>
      <c r="J29">
        <f t="shared" si="16"/>
        <v>22</v>
      </c>
      <c r="K29">
        <f t="shared" si="17"/>
        <v>40</v>
      </c>
      <c r="L29">
        <f t="shared" si="22"/>
        <v>880</v>
      </c>
      <c r="N29">
        <f t="shared" si="18"/>
        <v>16</v>
      </c>
      <c r="O29">
        <f t="shared" si="19"/>
        <v>60</v>
      </c>
      <c r="P29">
        <f t="shared" si="23"/>
        <v>960</v>
      </c>
    </row>
    <row r="30" spans="1:16" x14ac:dyDescent="0.3">
      <c r="A30" s="1" t="s">
        <v>6</v>
      </c>
      <c r="B30">
        <f t="shared" si="12"/>
        <v>8</v>
      </c>
      <c r="C30">
        <f t="shared" si="13"/>
        <v>100</v>
      </c>
      <c r="D30">
        <f t="shared" si="20"/>
        <v>800</v>
      </c>
      <c r="F30">
        <f t="shared" si="14"/>
        <v>9</v>
      </c>
      <c r="G30">
        <f t="shared" si="15"/>
        <v>90</v>
      </c>
      <c r="H30">
        <f t="shared" si="21"/>
        <v>810</v>
      </c>
      <c r="J30">
        <f t="shared" si="16"/>
        <v>8</v>
      </c>
      <c r="K30">
        <f t="shared" si="17"/>
        <v>100</v>
      </c>
      <c r="L30">
        <f t="shared" si="22"/>
        <v>800</v>
      </c>
      <c r="N30">
        <f t="shared" si="18"/>
        <v>8</v>
      </c>
      <c r="O30">
        <f t="shared" si="19"/>
        <v>100</v>
      </c>
      <c r="P30">
        <f t="shared" si="23"/>
        <v>800</v>
      </c>
    </row>
    <row r="31" spans="1:16" x14ac:dyDescent="0.3">
      <c r="A31" s="1" t="s">
        <v>7</v>
      </c>
      <c r="B31">
        <f t="shared" si="12"/>
        <v>9</v>
      </c>
      <c r="C31">
        <f t="shared" si="13"/>
        <v>90</v>
      </c>
      <c r="D31">
        <f t="shared" si="20"/>
        <v>810</v>
      </c>
      <c r="F31">
        <f t="shared" si="14"/>
        <v>10</v>
      </c>
      <c r="G31">
        <f t="shared" si="15"/>
        <v>80</v>
      </c>
      <c r="H31">
        <f t="shared" si="21"/>
        <v>800</v>
      </c>
      <c r="J31">
        <f t="shared" si="16"/>
        <v>7</v>
      </c>
      <c r="K31">
        <f t="shared" si="17"/>
        <v>105</v>
      </c>
      <c r="L31">
        <f t="shared" si="22"/>
        <v>735</v>
      </c>
      <c r="N31">
        <f t="shared" si="18"/>
        <v>9</v>
      </c>
      <c r="O31">
        <f t="shared" si="19"/>
        <v>90</v>
      </c>
      <c r="P31">
        <f t="shared" si="23"/>
        <v>810</v>
      </c>
    </row>
    <row r="33" spans="1:16" x14ac:dyDescent="0.3">
      <c r="D33" s="1">
        <f>SUM(D24:D31)</f>
        <v>5765</v>
      </c>
      <c r="H33" s="1">
        <f>SUM(H24:H31)</f>
        <v>5585</v>
      </c>
      <c r="I33" s="5"/>
      <c r="L33" s="1">
        <f>SUM(L24:L31)</f>
        <v>4750</v>
      </c>
      <c r="P33" s="1">
        <f>SUM(P24:P31)</f>
        <v>5830</v>
      </c>
    </row>
    <row r="37" spans="1:16" ht="21" x14ac:dyDescent="0.4">
      <c r="A37" s="28" t="s">
        <v>71</v>
      </c>
      <c r="F37" s="1" t="s">
        <v>73</v>
      </c>
      <c r="J37" s="1" t="s">
        <v>72</v>
      </c>
      <c r="N37" s="1" t="s">
        <v>74</v>
      </c>
    </row>
    <row r="38" spans="1:16" x14ac:dyDescent="0.3">
      <c r="B38" s="7" t="s">
        <v>17</v>
      </c>
      <c r="C38" s="7" t="s">
        <v>92</v>
      </c>
      <c r="D38" s="1"/>
      <c r="E38" s="1"/>
      <c r="F38" s="7" t="s">
        <v>21</v>
      </c>
      <c r="G38" s="7" t="s">
        <v>92</v>
      </c>
      <c r="H38" s="9"/>
      <c r="I38" s="9"/>
      <c r="J38" s="7" t="s">
        <v>45</v>
      </c>
      <c r="K38" s="7" t="s">
        <v>92</v>
      </c>
      <c r="L38" s="1"/>
      <c r="M38" s="1"/>
      <c r="N38" s="7" t="s">
        <v>43</v>
      </c>
      <c r="O38" s="7" t="s">
        <v>92</v>
      </c>
      <c r="P38" s="1"/>
    </row>
    <row r="39" spans="1:16" x14ac:dyDescent="0.3">
      <c r="B39" s="11" t="s">
        <v>23</v>
      </c>
      <c r="C39" s="11" t="s">
        <v>63</v>
      </c>
      <c r="D39" s="1" t="s">
        <v>67</v>
      </c>
      <c r="F39" s="1" t="s">
        <v>23</v>
      </c>
      <c r="G39" s="11" t="s">
        <v>63</v>
      </c>
      <c r="H39" s="1" t="s">
        <v>67</v>
      </c>
      <c r="J39" s="1" t="s">
        <v>23</v>
      </c>
      <c r="K39" s="11" t="s">
        <v>63</v>
      </c>
      <c r="L39" s="1" t="s">
        <v>67</v>
      </c>
      <c r="M39" s="1"/>
      <c r="N39" s="1" t="s">
        <v>23</v>
      </c>
      <c r="O39" s="11" t="s">
        <v>63</v>
      </c>
      <c r="P39" s="1" t="s">
        <v>67</v>
      </c>
    </row>
    <row r="40" spans="1:16" x14ac:dyDescent="0.3">
      <c r="A40" s="1" t="s">
        <v>0</v>
      </c>
      <c r="B40">
        <f t="shared" ref="B40:B47" si="24">INDEX(TblSummary, MATCH(B$38&amp;C$38&amp;$A40,TblConcat,0), 7)</f>
        <v>8</v>
      </c>
      <c r="C40">
        <f t="shared" ref="C40:C47" si="25">INDEX(TblSummary, MATCH(B$38&amp;C$38&amp;$A40,TblConcat,0), 9)</f>
        <v>100</v>
      </c>
      <c r="D40">
        <f>B40*C40</f>
        <v>800</v>
      </c>
      <c r="F40">
        <f t="shared" ref="F40:F47" si="26">INDEX(TblSummary, MATCH(F$38&amp;G$38&amp;$A40,TblConcat,0), 7)</f>
        <v>5</v>
      </c>
      <c r="G40">
        <f t="shared" ref="G40:G47" si="27">INDEX(TblSummary, MATCH(F$38&amp;G$38&amp;$A40,TblConcat,0), 9)</f>
        <v>110</v>
      </c>
      <c r="H40">
        <f>F40*G40</f>
        <v>550</v>
      </c>
      <c r="J40">
        <f t="shared" ref="J40:J47" si="28">INDEX(TblSummary, MATCH(J$38&amp;K$38&amp;$A40,TblConcat,0), 7)</f>
        <v>5</v>
      </c>
      <c r="K40">
        <f t="shared" ref="K40:K47" si="29">INDEX(TblSummary, MATCH(J$38&amp;K$38&amp;$A40,TblConcat,0), 9)</f>
        <v>111</v>
      </c>
      <c r="L40">
        <f>J40*K40</f>
        <v>555</v>
      </c>
      <c r="N40">
        <f t="shared" ref="N40:N47" si="30">INDEX(TblSummary, MATCH(N$38&amp;O$38&amp;$A40,TblConcat,0), 7)</f>
        <v>13</v>
      </c>
      <c r="O40">
        <f t="shared" ref="O40:O47" si="31">INDEX(TblSummary, MATCH(N$38&amp;O$38&amp;$A40,TblConcat,0), 9)</f>
        <v>70</v>
      </c>
      <c r="P40">
        <f>N40*O40</f>
        <v>910</v>
      </c>
    </row>
    <row r="41" spans="1:16" x14ac:dyDescent="0.3">
      <c r="A41" s="1" t="s">
        <v>1</v>
      </c>
      <c r="B41">
        <f t="shared" si="24"/>
        <v>31</v>
      </c>
      <c r="C41">
        <f t="shared" si="25"/>
        <v>0</v>
      </c>
      <c r="D41">
        <f t="shared" ref="D41:D47" si="32">B41*C41</f>
        <v>0</v>
      </c>
      <c r="F41">
        <f t="shared" si="26"/>
        <v>31</v>
      </c>
      <c r="G41">
        <f t="shared" si="27"/>
        <v>0</v>
      </c>
      <c r="H41">
        <f t="shared" ref="H41:H47" si="33">F41*G41</f>
        <v>0</v>
      </c>
      <c r="J41">
        <f t="shared" si="28"/>
        <v>31</v>
      </c>
      <c r="K41">
        <f t="shared" si="29"/>
        <v>0</v>
      </c>
      <c r="L41">
        <f t="shared" ref="L41:L47" si="34">J41*K41</f>
        <v>0</v>
      </c>
      <c r="N41">
        <f t="shared" si="30"/>
        <v>31</v>
      </c>
      <c r="O41">
        <f t="shared" si="31"/>
        <v>0</v>
      </c>
      <c r="P41">
        <f t="shared" ref="P41:P47" si="35">N41*O41</f>
        <v>0</v>
      </c>
    </row>
    <row r="42" spans="1:16" x14ac:dyDescent="0.3">
      <c r="A42" s="1" t="s">
        <v>2</v>
      </c>
      <c r="B42">
        <f t="shared" si="24"/>
        <v>19</v>
      </c>
      <c r="C42">
        <f t="shared" si="25"/>
        <v>50</v>
      </c>
      <c r="D42">
        <f t="shared" si="32"/>
        <v>950</v>
      </c>
      <c r="F42">
        <f t="shared" si="26"/>
        <v>22</v>
      </c>
      <c r="G42">
        <f t="shared" si="27"/>
        <v>40</v>
      </c>
      <c r="H42">
        <f t="shared" si="33"/>
        <v>880</v>
      </c>
      <c r="J42">
        <f t="shared" si="28"/>
        <v>22</v>
      </c>
      <c r="K42">
        <f t="shared" si="29"/>
        <v>40</v>
      </c>
      <c r="L42">
        <f t="shared" si="34"/>
        <v>880</v>
      </c>
      <c r="N42">
        <f t="shared" si="30"/>
        <v>10</v>
      </c>
      <c r="O42">
        <f t="shared" si="31"/>
        <v>80</v>
      </c>
      <c r="P42">
        <f t="shared" si="35"/>
        <v>800</v>
      </c>
    </row>
    <row r="43" spans="1:16" x14ac:dyDescent="0.3">
      <c r="A43" s="1" t="s">
        <v>3</v>
      </c>
      <c r="B43">
        <f t="shared" si="24"/>
        <v>10</v>
      </c>
      <c r="C43">
        <f t="shared" si="25"/>
        <v>80</v>
      </c>
      <c r="D43">
        <f t="shared" si="32"/>
        <v>800</v>
      </c>
      <c r="F43">
        <f t="shared" si="26"/>
        <v>10</v>
      </c>
      <c r="G43">
        <f t="shared" si="27"/>
        <v>80</v>
      </c>
      <c r="H43">
        <f t="shared" si="33"/>
        <v>800</v>
      </c>
      <c r="J43">
        <f t="shared" si="28"/>
        <v>8</v>
      </c>
      <c r="K43">
        <f t="shared" si="29"/>
        <v>100</v>
      </c>
      <c r="L43">
        <f t="shared" si="34"/>
        <v>800</v>
      </c>
      <c r="N43">
        <f t="shared" si="30"/>
        <v>13</v>
      </c>
      <c r="O43">
        <f t="shared" si="31"/>
        <v>70</v>
      </c>
      <c r="P43">
        <f t="shared" si="35"/>
        <v>910</v>
      </c>
    </row>
    <row r="44" spans="1:16" x14ac:dyDescent="0.3">
      <c r="A44" s="1" t="s">
        <v>4</v>
      </c>
      <c r="B44">
        <f t="shared" si="24"/>
        <v>13</v>
      </c>
      <c r="C44">
        <f t="shared" si="25"/>
        <v>70</v>
      </c>
      <c r="D44">
        <f t="shared" si="32"/>
        <v>910</v>
      </c>
      <c r="F44">
        <f t="shared" si="26"/>
        <v>13</v>
      </c>
      <c r="G44">
        <f t="shared" si="27"/>
        <v>70</v>
      </c>
      <c r="H44">
        <f t="shared" si="33"/>
        <v>910</v>
      </c>
      <c r="J44">
        <f t="shared" si="28"/>
        <v>16</v>
      </c>
      <c r="K44">
        <f t="shared" si="29"/>
        <v>60</v>
      </c>
      <c r="L44">
        <f t="shared" si="34"/>
        <v>960</v>
      </c>
      <c r="N44">
        <f t="shared" si="30"/>
        <v>10</v>
      </c>
      <c r="O44">
        <f t="shared" si="31"/>
        <v>80</v>
      </c>
      <c r="P44">
        <f t="shared" si="35"/>
        <v>800</v>
      </c>
    </row>
    <row r="45" spans="1:16" x14ac:dyDescent="0.3">
      <c r="A45" s="1" t="s">
        <v>5</v>
      </c>
      <c r="B45">
        <f t="shared" si="24"/>
        <v>9</v>
      </c>
      <c r="C45">
        <f t="shared" si="25"/>
        <v>90</v>
      </c>
      <c r="D45">
        <f t="shared" si="32"/>
        <v>810</v>
      </c>
      <c r="F45">
        <f t="shared" si="26"/>
        <v>8</v>
      </c>
      <c r="G45">
        <f t="shared" si="27"/>
        <v>100</v>
      </c>
      <c r="H45">
        <f t="shared" si="33"/>
        <v>800</v>
      </c>
      <c r="J45">
        <f t="shared" si="28"/>
        <v>9</v>
      </c>
      <c r="K45">
        <f t="shared" si="29"/>
        <v>90</v>
      </c>
      <c r="L45">
        <f t="shared" si="34"/>
        <v>810</v>
      </c>
      <c r="N45">
        <f t="shared" si="30"/>
        <v>9</v>
      </c>
      <c r="O45">
        <f t="shared" si="31"/>
        <v>90</v>
      </c>
      <c r="P45">
        <f t="shared" si="35"/>
        <v>810</v>
      </c>
    </row>
    <row r="46" spans="1:16" x14ac:dyDescent="0.3">
      <c r="A46" s="1" t="s">
        <v>6</v>
      </c>
      <c r="B46">
        <f t="shared" si="24"/>
        <v>7</v>
      </c>
      <c r="C46">
        <f t="shared" si="25"/>
        <v>105</v>
      </c>
      <c r="D46">
        <f t="shared" si="32"/>
        <v>735</v>
      </c>
      <c r="F46">
        <f t="shared" si="26"/>
        <v>5</v>
      </c>
      <c r="G46">
        <f t="shared" si="27"/>
        <v>110</v>
      </c>
      <c r="H46">
        <f t="shared" si="33"/>
        <v>550</v>
      </c>
      <c r="J46">
        <f t="shared" si="28"/>
        <v>6</v>
      </c>
      <c r="K46">
        <f t="shared" si="29"/>
        <v>108</v>
      </c>
      <c r="L46">
        <f t="shared" si="34"/>
        <v>648</v>
      </c>
      <c r="N46">
        <f t="shared" si="30"/>
        <v>7</v>
      </c>
      <c r="O46">
        <f t="shared" si="31"/>
        <v>105</v>
      </c>
      <c r="P46">
        <f t="shared" si="35"/>
        <v>735</v>
      </c>
    </row>
    <row r="47" spans="1:16" x14ac:dyDescent="0.3">
      <c r="A47" s="1" t="s">
        <v>7</v>
      </c>
      <c r="B47">
        <f t="shared" si="24"/>
        <v>16</v>
      </c>
      <c r="C47">
        <f t="shared" si="25"/>
        <v>60</v>
      </c>
      <c r="D47">
        <f t="shared" si="32"/>
        <v>960</v>
      </c>
      <c r="F47">
        <f t="shared" si="26"/>
        <v>22</v>
      </c>
      <c r="G47">
        <f t="shared" si="27"/>
        <v>40</v>
      </c>
      <c r="H47">
        <f t="shared" si="33"/>
        <v>880</v>
      </c>
      <c r="J47">
        <f t="shared" si="28"/>
        <v>25</v>
      </c>
      <c r="K47">
        <f t="shared" si="29"/>
        <v>30</v>
      </c>
      <c r="L47">
        <f t="shared" si="34"/>
        <v>750</v>
      </c>
      <c r="N47">
        <f t="shared" si="30"/>
        <v>10</v>
      </c>
      <c r="O47">
        <f t="shared" si="31"/>
        <v>80</v>
      </c>
      <c r="P47">
        <f t="shared" si="35"/>
        <v>800</v>
      </c>
    </row>
    <row r="49" spans="1:16" x14ac:dyDescent="0.3">
      <c r="D49" s="1">
        <f>SUM(D40:D47)</f>
        <v>5965</v>
      </c>
      <c r="H49" s="1">
        <f>SUM(H40:H47)</f>
        <v>5370</v>
      </c>
      <c r="I49" s="5"/>
      <c r="L49" s="1">
        <f>SUM(L40:L47)</f>
        <v>5403</v>
      </c>
      <c r="P49" s="1">
        <f>SUM(P40:P47)</f>
        <v>5765</v>
      </c>
    </row>
    <row r="52" spans="1:16" x14ac:dyDescent="0.3">
      <c r="F52" t="s">
        <v>76</v>
      </c>
      <c r="J52" t="s">
        <v>77</v>
      </c>
    </row>
    <row r="53" spans="1:16" ht="21" x14ac:dyDescent="0.4">
      <c r="A53" s="28" t="s">
        <v>75</v>
      </c>
      <c r="F53" s="1" t="s">
        <v>73</v>
      </c>
      <c r="J53" s="1" t="s">
        <v>72</v>
      </c>
      <c r="N53" s="1" t="s">
        <v>74</v>
      </c>
    </row>
    <row r="54" spans="1:16" x14ac:dyDescent="0.3">
      <c r="B54" s="7" t="s">
        <v>17</v>
      </c>
      <c r="C54" s="7" t="s">
        <v>15</v>
      </c>
      <c r="D54" s="1"/>
      <c r="E54" s="1"/>
      <c r="F54" s="7" t="s">
        <v>44</v>
      </c>
      <c r="G54" s="7" t="s">
        <v>15</v>
      </c>
      <c r="H54" s="9"/>
      <c r="I54" s="9"/>
      <c r="J54" s="7" t="s">
        <v>17</v>
      </c>
      <c r="K54" s="7" t="s">
        <v>15</v>
      </c>
      <c r="L54" s="1"/>
      <c r="M54" s="1"/>
      <c r="N54" s="7" t="s">
        <v>21</v>
      </c>
      <c r="O54" s="7" t="s">
        <v>15</v>
      </c>
      <c r="P54" s="1"/>
    </row>
    <row r="55" spans="1:16" x14ac:dyDescent="0.3">
      <c r="B55" s="11" t="s">
        <v>23</v>
      </c>
      <c r="C55" s="11" t="s">
        <v>63</v>
      </c>
      <c r="D55" s="1" t="s">
        <v>67</v>
      </c>
      <c r="F55" s="1" t="s">
        <v>23</v>
      </c>
      <c r="G55" s="11" t="s">
        <v>63</v>
      </c>
      <c r="H55" s="1" t="s">
        <v>67</v>
      </c>
      <c r="J55" s="1" t="s">
        <v>23</v>
      </c>
      <c r="K55" s="11" t="s">
        <v>63</v>
      </c>
      <c r="L55" s="1" t="s">
        <v>67</v>
      </c>
      <c r="M55" s="1"/>
      <c r="N55" s="1" t="s">
        <v>23</v>
      </c>
      <c r="O55" s="11" t="s">
        <v>63</v>
      </c>
      <c r="P55" s="1" t="s">
        <v>67</v>
      </c>
    </row>
    <row r="56" spans="1:16" x14ac:dyDescent="0.3">
      <c r="A56" s="1" t="s">
        <v>0</v>
      </c>
      <c r="B56">
        <f t="shared" ref="B56:B63" si="36">INDEX(TblSummary, MATCH(B$54&amp;C$54&amp;$A56,TblConcat,0), 7)</f>
        <v>31</v>
      </c>
      <c r="C56">
        <f t="shared" ref="C56:C63" si="37">INDEX(TblSummary, MATCH(B$54&amp;C$54&amp;$A56,TblConcat,0), 9)</f>
        <v>0</v>
      </c>
      <c r="D56">
        <f>B56*C56</f>
        <v>0</v>
      </c>
      <c r="F56">
        <f t="shared" ref="F56:F63" si="38">INDEX(TblSummary, MATCH(F$54&amp;G$54&amp;$A56,TblConcat,0), 7)</f>
        <v>31</v>
      </c>
      <c r="G56">
        <f t="shared" ref="G56:G63" si="39">INDEX(TblSummary, MATCH(F$54&amp;G$54&amp;$A56,TblConcat,0), 9)</f>
        <v>0</v>
      </c>
      <c r="H56">
        <f>F56*G56</f>
        <v>0</v>
      </c>
      <c r="J56">
        <f t="shared" ref="J56:J63" si="40">INDEX(TblSummary, MATCH(J$54&amp;K$54&amp;$A56,TblConcat,0), 7)</f>
        <v>31</v>
      </c>
      <c r="K56">
        <f t="shared" ref="K56:K63" si="41">INDEX(TblSummary, MATCH(J$54&amp;K$54&amp;$A56,TblConcat,0), 9)</f>
        <v>0</v>
      </c>
      <c r="L56">
        <f>J56*K56</f>
        <v>0</v>
      </c>
      <c r="N56">
        <f t="shared" ref="N56:N63" si="42">INDEX(TblSummary, MATCH(N$54&amp;O$54&amp;$A56,TblConcat,0), 7)</f>
        <v>22</v>
      </c>
      <c r="O56">
        <f t="shared" ref="O56:O63" si="43">INDEX(TblSummary, MATCH(N$54&amp;O$54&amp;$A56,TblConcat,0), 9)</f>
        <v>40</v>
      </c>
      <c r="P56">
        <f>N56*O56</f>
        <v>880</v>
      </c>
    </row>
    <row r="57" spans="1:16" x14ac:dyDescent="0.3">
      <c r="A57" s="1" t="s">
        <v>1</v>
      </c>
      <c r="B57">
        <f t="shared" si="36"/>
        <v>7</v>
      </c>
      <c r="C57">
        <f t="shared" si="37"/>
        <v>105</v>
      </c>
      <c r="D57">
        <f t="shared" ref="D57:D63" si="44">B57*C57</f>
        <v>735</v>
      </c>
      <c r="F57">
        <f t="shared" si="38"/>
        <v>5</v>
      </c>
      <c r="G57">
        <f t="shared" si="39"/>
        <v>111</v>
      </c>
      <c r="H57">
        <f t="shared" ref="H57:H63" si="45">F57*G57</f>
        <v>555</v>
      </c>
      <c r="J57">
        <f t="shared" si="40"/>
        <v>7</v>
      </c>
      <c r="K57">
        <f t="shared" si="41"/>
        <v>105</v>
      </c>
      <c r="L57">
        <f t="shared" ref="L57:L63" si="46">J57*K57</f>
        <v>735</v>
      </c>
      <c r="N57">
        <f t="shared" si="42"/>
        <v>10</v>
      </c>
      <c r="O57">
        <f t="shared" si="43"/>
        <v>80</v>
      </c>
      <c r="P57">
        <f t="shared" ref="P57:P63" si="47">N57*O57</f>
        <v>800</v>
      </c>
    </row>
    <row r="58" spans="1:16" x14ac:dyDescent="0.3">
      <c r="A58" s="1" t="s">
        <v>2</v>
      </c>
      <c r="B58">
        <f t="shared" si="36"/>
        <v>10</v>
      </c>
      <c r="C58">
        <f t="shared" si="37"/>
        <v>80</v>
      </c>
      <c r="D58">
        <f t="shared" si="44"/>
        <v>800</v>
      </c>
      <c r="F58">
        <f t="shared" si="38"/>
        <v>10</v>
      </c>
      <c r="G58">
        <f t="shared" si="39"/>
        <v>80</v>
      </c>
      <c r="H58">
        <f t="shared" si="45"/>
        <v>800</v>
      </c>
      <c r="J58">
        <f t="shared" si="40"/>
        <v>10</v>
      </c>
      <c r="K58">
        <f t="shared" si="41"/>
        <v>80</v>
      </c>
      <c r="L58">
        <f t="shared" si="46"/>
        <v>800</v>
      </c>
      <c r="N58">
        <f t="shared" si="42"/>
        <v>13</v>
      </c>
      <c r="O58">
        <f t="shared" si="43"/>
        <v>70</v>
      </c>
      <c r="P58">
        <f t="shared" si="47"/>
        <v>910</v>
      </c>
    </row>
    <row r="59" spans="1:16" x14ac:dyDescent="0.3">
      <c r="A59" s="1" t="s">
        <v>3</v>
      </c>
      <c r="B59">
        <f t="shared" si="36"/>
        <v>16</v>
      </c>
      <c r="C59">
        <f t="shared" si="37"/>
        <v>60</v>
      </c>
      <c r="D59">
        <f t="shared" si="44"/>
        <v>960</v>
      </c>
      <c r="F59">
        <f t="shared" si="38"/>
        <v>13</v>
      </c>
      <c r="G59">
        <f t="shared" si="39"/>
        <v>70</v>
      </c>
      <c r="H59">
        <f t="shared" si="45"/>
        <v>910</v>
      </c>
      <c r="J59">
        <f t="shared" si="40"/>
        <v>16</v>
      </c>
      <c r="K59">
        <f t="shared" si="41"/>
        <v>60</v>
      </c>
      <c r="L59">
        <f t="shared" si="46"/>
        <v>960</v>
      </c>
      <c r="N59">
        <f t="shared" si="42"/>
        <v>16</v>
      </c>
      <c r="O59">
        <f t="shared" si="43"/>
        <v>60</v>
      </c>
      <c r="P59">
        <f t="shared" si="47"/>
        <v>960</v>
      </c>
    </row>
    <row r="60" spans="1:16" x14ac:dyDescent="0.3">
      <c r="A60" s="1" t="s">
        <v>4</v>
      </c>
      <c r="B60">
        <f t="shared" si="36"/>
        <v>19</v>
      </c>
      <c r="C60">
        <f t="shared" si="37"/>
        <v>50</v>
      </c>
      <c r="D60">
        <f t="shared" si="44"/>
        <v>950</v>
      </c>
      <c r="F60">
        <f t="shared" si="38"/>
        <v>28</v>
      </c>
      <c r="G60">
        <f t="shared" si="39"/>
        <v>15</v>
      </c>
      <c r="H60">
        <f t="shared" si="45"/>
        <v>420</v>
      </c>
      <c r="J60">
        <f t="shared" si="40"/>
        <v>19</v>
      </c>
      <c r="K60">
        <f t="shared" si="41"/>
        <v>50</v>
      </c>
      <c r="L60">
        <f t="shared" si="46"/>
        <v>950</v>
      </c>
      <c r="N60">
        <f t="shared" si="42"/>
        <v>19</v>
      </c>
      <c r="O60">
        <f t="shared" si="43"/>
        <v>50</v>
      </c>
      <c r="P60">
        <f t="shared" si="47"/>
        <v>950</v>
      </c>
    </row>
    <row r="61" spans="1:16" x14ac:dyDescent="0.3">
      <c r="A61" s="1" t="s">
        <v>5</v>
      </c>
      <c r="B61">
        <f t="shared" si="36"/>
        <v>8</v>
      </c>
      <c r="C61">
        <f t="shared" si="37"/>
        <v>100</v>
      </c>
      <c r="D61">
        <f t="shared" si="44"/>
        <v>800</v>
      </c>
      <c r="F61">
        <f t="shared" si="38"/>
        <v>6</v>
      </c>
      <c r="G61">
        <f t="shared" si="39"/>
        <v>108</v>
      </c>
      <c r="H61">
        <f t="shared" si="45"/>
        <v>648</v>
      </c>
      <c r="J61">
        <f t="shared" si="40"/>
        <v>8</v>
      </c>
      <c r="K61">
        <f t="shared" si="41"/>
        <v>100</v>
      </c>
      <c r="L61">
        <f t="shared" si="46"/>
        <v>800</v>
      </c>
      <c r="N61">
        <f t="shared" si="42"/>
        <v>7</v>
      </c>
      <c r="O61">
        <f t="shared" si="43"/>
        <v>105</v>
      </c>
      <c r="P61">
        <f t="shared" si="47"/>
        <v>735</v>
      </c>
    </row>
    <row r="62" spans="1:16" x14ac:dyDescent="0.3">
      <c r="A62" s="1" t="s">
        <v>6</v>
      </c>
      <c r="B62">
        <f t="shared" si="36"/>
        <v>9</v>
      </c>
      <c r="C62">
        <f t="shared" si="37"/>
        <v>90</v>
      </c>
      <c r="D62">
        <f t="shared" si="44"/>
        <v>810</v>
      </c>
      <c r="F62">
        <f t="shared" si="38"/>
        <v>9</v>
      </c>
      <c r="G62">
        <f t="shared" si="39"/>
        <v>90</v>
      </c>
      <c r="H62">
        <f t="shared" si="45"/>
        <v>810</v>
      </c>
      <c r="J62">
        <f t="shared" si="40"/>
        <v>9</v>
      </c>
      <c r="K62">
        <f t="shared" si="41"/>
        <v>90</v>
      </c>
      <c r="L62">
        <f t="shared" si="46"/>
        <v>810</v>
      </c>
      <c r="N62">
        <f t="shared" si="42"/>
        <v>7</v>
      </c>
      <c r="O62">
        <f t="shared" si="43"/>
        <v>105</v>
      </c>
      <c r="P62">
        <f t="shared" si="47"/>
        <v>735</v>
      </c>
    </row>
    <row r="63" spans="1:16" x14ac:dyDescent="0.3">
      <c r="A63" s="1" t="s">
        <v>7</v>
      </c>
      <c r="B63">
        <f t="shared" si="36"/>
        <v>13</v>
      </c>
      <c r="C63">
        <f t="shared" si="37"/>
        <v>70</v>
      </c>
      <c r="D63">
        <f t="shared" si="44"/>
        <v>910</v>
      </c>
      <c r="F63">
        <f t="shared" si="38"/>
        <v>16</v>
      </c>
      <c r="G63">
        <f t="shared" si="39"/>
        <v>60</v>
      </c>
      <c r="H63">
        <f t="shared" si="45"/>
        <v>960</v>
      </c>
      <c r="J63">
        <f t="shared" si="40"/>
        <v>13</v>
      </c>
      <c r="K63">
        <f t="shared" si="41"/>
        <v>70</v>
      </c>
      <c r="L63">
        <f t="shared" si="46"/>
        <v>910</v>
      </c>
      <c r="N63">
        <f t="shared" si="42"/>
        <v>19</v>
      </c>
      <c r="O63">
        <f t="shared" si="43"/>
        <v>50</v>
      </c>
      <c r="P63">
        <f t="shared" si="47"/>
        <v>950</v>
      </c>
    </row>
    <row r="65" spans="4:16" x14ac:dyDescent="0.3">
      <c r="D65" s="1">
        <f>SUM(D56:D63)</f>
        <v>5965</v>
      </c>
      <c r="H65" s="1">
        <f>SUM(H56:H63)</f>
        <v>5103</v>
      </c>
      <c r="I65" s="5"/>
      <c r="L65" s="1">
        <f>SUM(L56:L63)</f>
        <v>5965</v>
      </c>
      <c r="P65" s="1">
        <f>SUM(P56:P63)</f>
        <v>6920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7B7F9-19F0-403A-BF71-0F001159F82E}">
  <sheetPr codeName="Sheet7"/>
  <dimension ref="A1:O35"/>
  <sheetViews>
    <sheetView topLeftCell="A18" workbookViewId="0">
      <selection activeCell="F36" sqref="F36"/>
    </sheetView>
  </sheetViews>
  <sheetFormatPr defaultRowHeight="14.4" x14ac:dyDescent="0.3"/>
  <sheetData>
    <row r="1" spans="1:15" x14ac:dyDescent="0.3">
      <c r="A1" s="3" t="s">
        <v>80</v>
      </c>
    </row>
    <row r="2" spans="1:15" x14ac:dyDescent="0.3">
      <c r="A2" t="s">
        <v>86</v>
      </c>
    </row>
    <row r="3" spans="1:15" x14ac:dyDescent="0.3">
      <c r="A3" t="s">
        <v>87</v>
      </c>
    </row>
    <row r="4" spans="1:15" x14ac:dyDescent="0.3">
      <c r="A4" s="31" t="s">
        <v>88</v>
      </c>
      <c r="F4" s="29"/>
      <c r="G4" s="29"/>
      <c r="H4" s="29"/>
      <c r="I4" s="29"/>
    </row>
    <row r="5" spans="1:15" x14ac:dyDescent="0.3">
      <c r="A5" s="31" t="s">
        <v>89</v>
      </c>
      <c r="F5" s="29"/>
      <c r="G5" s="29"/>
      <c r="H5" s="29"/>
      <c r="I5" s="29"/>
    </row>
    <row r="6" spans="1:15" x14ac:dyDescent="0.3">
      <c r="A6" s="31" t="s">
        <v>90</v>
      </c>
      <c r="F6" s="29"/>
      <c r="G6" s="29"/>
      <c r="H6" s="29"/>
      <c r="I6" s="29"/>
    </row>
    <row r="7" spans="1:15" x14ac:dyDescent="0.3">
      <c r="A7" s="1"/>
      <c r="F7" s="29"/>
      <c r="G7" s="29"/>
      <c r="H7" s="29"/>
      <c r="I7" s="29"/>
    </row>
    <row r="8" spans="1:15" x14ac:dyDescent="0.3">
      <c r="A8" s="1"/>
    </row>
    <row r="9" spans="1:15" ht="21" x14ac:dyDescent="0.4">
      <c r="A9" s="28" t="s">
        <v>81</v>
      </c>
      <c r="D9" s="30" t="s">
        <v>82</v>
      </c>
      <c r="E9" s="30"/>
      <c r="H9" s="1"/>
      <c r="K9" t="s">
        <v>82</v>
      </c>
    </row>
    <row r="10" spans="1:15" x14ac:dyDescent="0.3">
      <c r="B10" s="7" t="s">
        <v>19</v>
      </c>
      <c r="C10" s="7" t="s">
        <v>8</v>
      </c>
      <c r="D10" s="1">
        <v>55</v>
      </c>
      <c r="E10" s="1"/>
      <c r="G10" s="1"/>
      <c r="H10" s="7" t="s">
        <v>19</v>
      </c>
      <c r="I10" s="7" t="s">
        <v>15</v>
      </c>
      <c r="J10" s="9"/>
      <c r="K10" s="9">
        <v>45</v>
      </c>
    </row>
    <row r="11" spans="1:15" x14ac:dyDescent="0.3">
      <c r="B11" s="29" t="s">
        <v>23</v>
      </c>
      <c r="C11" s="29" t="s">
        <v>83</v>
      </c>
      <c r="D11" s="29" t="s">
        <v>63</v>
      </c>
      <c r="E11" s="29" t="s">
        <v>84</v>
      </c>
      <c r="F11" s="1" t="s">
        <v>67</v>
      </c>
      <c r="H11" s="1" t="s">
        <v>23</v>
      </c>
      <c r="I11" s="1" t="s">
        <v>83</v>
      </c>
      <c r="J11" s="29" t="s">
        <v>63</v>
      </c>
      <c r="K11" s="29" t="s">
        <v>84</v>
      </c>
      <c r="L11" s="1" t="s">
        <v>67</v>
      </c>
      <c r="O11" s="1" t="s">
        <v>85</v>
      </c>
    </row>
    <row r="12" spans="1:15" x14ac:dyDescent="0.3">
      <c r="A12" s="1" t="s">
        <v>0</v>
      </c>
      <c r="B12">
        <f>INDEX(TblSummary, MATCH(B$10&amp;C$10&amp;$A12,TblConcat,0), 7)</f>
        <v>31</v>
      </c>
      <c r="C12">
        <f t="shared" ref="C12:C19" si="0">INDEX(TblSummary, MATCH(B$10&amp;C$10&amp;$A12,TblConcat,0), 8)</f>
        <v>0</v>
      </c>
      <c r="D12">
        <f t="shared" ref="D12:D19" si="1">INDEX(TblSummary, MATCH(B$10&amp;C$10&amp;$A12,TblConcat,0), 9)</f>
        <v>0</v>
      </c>
      <c r="E12">
        <v>0</v>
      </c>
      <c r="F12">
        <v>0</v>
      </c>
      <c r="H12">
        <f t="shared" ref="H12:H19" si="2">INDEX(TblSummary, MATCH(H$10&amp;I$10&amp;$A12,TblConcat,0), 7)</f>
        <v>31</v>
      </c>
      <c r="I12">
        <f t="shared" ref="I12:I19" si="3">INDEX(TblSummary, MATCH(H$10&amp;I$10&amp;$A12,TblConcat,0), 8)</f>
        <v>0</v>
      </c>
      <c r="J12">
        <f t="shared" ref="J12:J19" si="4">INDEX(TblSummary, MATCH(H$10&amp;I$10&amp;$A12,TblConcat,0), 9)</f>
        <v>0</v>
      </c>
      <c r="K12">
        <v>0</v>
      </c>
      <c r="L12">
        <f>K12*H12</f>
        <v>0</v>
      </c>
      <c r="N12" t="str">
        <f t="shared" ref="N12:N19" si="5">A12</f>
        <v>Mag</v>
      </c>
      <c r="O12">
        <f t="shared" ref="O12:O19" si="6">E12+K12</f>
        <v>0</v>
      </c>
    </row>
    <row r="13" spans="1:15" x14ac:dyDescent="0.3">
      <c r="A13" s="1" t="s">
        <v>1</v>
      </c>
      <c r="B13">
        <f t="shared" ref="B13:B19" si="7">INDEX(TblSummary, MATCH($B$10&amp;$C$10&amp;$A13,TblConcat,0), 7)</f>
        <v>25</v>
      </c>
      <c r="C13">
        <f t="shared" si="0"/>
        <v>0</v>
      </c>
      <c r="D13">
        <f t="shared" si="1"/>
        <v>30</v>
      </c>
      <c r="E13">
        <v>0</v>
      </c>
      <c r="F13">
        <f>E13*B13</f>
        <v>0</v>
      </c>
      <c r="H13">
        <f t="shared" si="2"/>
        <v>7</v>
      </c>
      <c r="I13">
        <f t="shared" si="3"/>
        <v>11</v>
      </c>
      <c r="J13">
        <f t="shared" si="4"/>
        <v>105</v>
      </c>
      <c r="K13">
        <v>86</v>
      </c>
      <c r="L13">
        <f>K13*H13+(K13-K10)*I13</f>
        <v>1053</v>
      </c>
      <c r="N13" t="str">
        <f t="shared" si="5"/>
        <v>Div</v>
      </c>
      <c r="O13">
        <f t="shared" si="6"/>
        <v>86</v>
      </c>
    </row>
    <row r="14" spans="1:15" x14ac:dyDescent="0.3">
      <c r="A14" s="1" t="s">
        <v>2</v>
      </c>
      <c r="B14">
        <f t="shared" si="7"/>
        <v>5</v>
      </c>
      <c r="C14">
        <f t="shared" si="0"/>
        <v>8</v>
      </c>
      <c r="D14">
        <f t="shared" si="1"/>
        <v>110</v>
      </c>
      <c r="E14">
        <v>108</v>
      </c>
      <c r="F14">
        <f>(E14/2)*B14+E14/2*C14</f>
        <v>702</v>
      </c>
      <c r="H14">
        <f t="shared" si="2"/>
        <v>7</v>
      </c>
      <c r="I14">
        <f t="shared" si="3"/>
        <v>11</v>
      </c>
      <c r="J14">
        <f t="shared" si="4"/>
        <v>105</v>
      </c>
      <c r="K14">
        <v>0</v>
      </c>
      <c r="L14">
        <f t="shared" ref="L14:L19" si="8">K14*H14</f>
        <v>0</v>
      </c>
      <c r="N14" t="str">
        <f t="shared" si="5"/>
        <v>Str</v>
      </c>
      <c r="O14">
        <f t="shared" si="6"/>
        <v>108</v>
      </c>
    </row>
    <row r="15" spans="1:15" x14ac:dyDescent="0.3">
      <c r="A15" s="1" t="s">
        <v>3</v>
      </c>
      <c r="B15">
        <f t="shared" si="7"/>
        <v>13</v>
      </c>
      <c r="C15">
        <f t="shared" si="0"/>
        <v>0</v>
      </c>
      <c r="D15">
        <f t="shared" si="1"/>
        <v>70</v>
      </c>
      <c r="E15">
        <v>40</v>
      </c>
      <c r="F15">
        <f>E15*B15</f>
        <v>520</v>
      </c>
      <c r="H15">
        <f t="shared" si="2"/>
        <v>19</v>
      </c>
      <c r="I15">
        <f t="shared" si="3"/>
        <v>0</v>
      </c>
      <c r="J15">
        <f t="shared" si="4"/>
        <v>50</v>
      </c>
      <c r="K15">
        <v>0</v>
      </c>
      <c r="L15">
        <f t="shared" si="8"/>
        <v>0</v>
      </c>
      <c r="N15" t="str">
        <f t="shared" si="5"/>
        <v>Dex</v>
      </c>
      <c r="O15">
        <f t="shared" si="6"/>
        <v>40</v>
      </c>
    </row>
    <row r="16" spans="1:15" x14ac:dyDescent="0.3">
      <c r="A16" s="1" t="s">
        <v>4</v>
      </c>
      <c r="B16">
        <f t="shared" si="7"/>
        <v>8</v>
      </c>
      <c r="C16">
        <f t="shared" si="0"/>
        <v>12</v>
      </c>
      <c r="D16">
        <f t="shared" si="1"/>
        <v>100</v>
      </c>
      <c r="E16">
        <v>100</v>
      </c>
      <c r="F16">
        <f>(E16/2)*B16+E16/2*C16</f>
        <v>1000</v>
      </c>
      <c r="H16">
        <f t="shared" si="2"/>
        <v>16</v>
      </c>
      <c r="I16">
        <f t="shared" si="3"/>
        <v>0</v>
      </c>
      <c r="J16">
        <f t="shared" si="4"/>
        <v>60</v>
      </c>
      <c r="K16">
        <v>0</v>
      </c>
      <c r="L16">
        <f t="shared" si="8"/>
        <v>0</v>
      </c>
      <c r="N16" t="str">
        <f t="shared" si="5"/>
        <v>Con</v>
      </c>
      <c r="O16">
        <f t="shared" si="6"/>
        <v>100</v>
      </c>
    </row>
    <row r="17" spans="1:15" x14ac:dyDescent="0.3">
      <c r="A17" s="1" t="s">
        <v>5</v>
      </c>
      <c r="B17">
        <f t="shared" si="7"/>
        <v>22</v>
      </c>
      <c r="C17">
        <f t="shared" si="0"/>
        <v>0</v>
      </c>
      <c r="D17">
        <f t="shared" si="1"/>
        <v>40</v>
      </c>
      <c r="E17">
        <v>5</v>
      </c>
      <c r="F17">
        <f>E17*B17</f>
        <v>110</v>
      </c>
      <c r="H17">
        <f t="shared" si="2"/>
        <v>10</v>
      </c>
      <c r="I17">
        <f t="shared" si="3"/>
        <v>0</v>
      </c>
      <c r="J17">
        <f t="shared" si="4"/>
        <v>80</v>
      </c>
      <c r="K17">
        <v>41</v>
      </c>
      <c r="L17">
        <f t="shared" si="8"/>
        <v>410</v>
      </c>
      <c r="N17" t="str">
        <f t="shared" si="5"/>
        <v>Cha</v>
      </c>
      <c r="O17">
        <f t="shared" si="6"/>
        <v>46</v>
      </c>
    </row>
    <row r="18" spans="1:15" x14ac:dyDescent="0.3">
      <c r="A18" s="1" t="s">
        <v>6</v>
      </c>
      <c r="B18">
        <f t="shared" si="7"/>
        <v>13</v>
      </c>
      <c r="C18">
        <f t="shared" si="0"/>
        <v>0</v>
      </c>
      <c r="D18">
        <f t="shared" si="1"/>
        <v>70</v>
      </c>
      <c r="E18">
        <v>5</v>
      </c>
      <c r="F18">
        <f>E18*B18</f>
        <v>65</v>
      </c>
      <c r="H18">
        <f t="shared" si="2"/>
        <v>9</v>
      </c>
      <c r="I18">
        <f t="shared" si="3"/>
        <v>14</v>
      </c>
      <c r="J18">
        <f t="shared" si="4"/>
        <v>90</v>
      </c>
      <c r="K18">
        <v>40</v>
      </c>
      <c r="L18">
        <f t="shared" si="8"/>
        <v>360</v>
      </c>
      <c r="N18" t="str">
        <f t="shared" si="5"/>
        <v>Bra</v>
      </c>
      <c r="O18">
        <f t="shared" si="6"/>
        <v>45</v>
      </c>
    </row>
    <row r="19" spans="1:15" x14ac:dyDescent="0.3">
      <c r="A19" s="1" t="s">
        <v>7</v>
      </c>
      <c r="B19">
        <f t="shared" si="7"/>
        <v>5</v>
      </c>
      <c r="C19">
        <f t="shared" si="0"/>
        <v>8</v>
      </c>
      <c r="D19">
        <f t="shared" si="1"/>
        <v>110</v>
      </c>
      <c r="E19">
        <v>110</v>
      </c>
      <c r="F19">
        <f>(E19/2)*B19+E19/2*C19</f>
        <v>715</v>
      </c>
      <c r="H19">
        <f t="shared" si="2"/>
        <v>9</v>
      </c>
      <c r="I19">
        <f t="shared" si="3"/>
        <v>14</v>
      </c>
      <c r="J19">
        <f t="shared" si="4"/>
        <v>90</v>
      </c>
      <c r="K19">
        <v>0</v>
      </c>
      <c r="L19">
        <f t="shared" si="8"/>
        <v>0</v>
      </c>
      <c r="N19" t="str">
        <f t="shared" si="5"/>
        <v>HP</v>
      </c>
      <c r="O19">
        <f t="shared" si="6"/>
        <v>110</v>
      </c>
    </row>
    <row r="21" spans="1:15" x14ac:dyDescent="0.3">
      <c r="F21" s="1">
        <f>SUM(F12:F19)</f>
        <v>3112</v>
      </c>
      <c r="L21" s="1">
        <f>SUM(L12:L19)</f>
        <v>1823</v>
      </c>
      <c r="O21" s="1">
        <f>F21+L21</f>
        <v>4935</v>
      </c>
    </row>
    <row r="23" spans="1:15" ht="21" x14ac:dyDescent="0.4">
      <c r="A23" s="28" t="s">
        <v>100</v>
      </c>
      <c r="D23" s="30" t="s">
        <v>82</v>
      </c>
      <c r="E23" s="30"/>
      <c r="H23" s="1"/>
      <c r="K23" t="s">
        <v>82</v>
      </c>
    </row>
    <row r="24" spans="1:15" x14ac:dyDescent="0.3">
      <c r="B24" s="7" t="s">
        <v>21</v>
      </c>
      <c r="C24" s="7" t="s">
        <v>92</v>
      </c>
      <c r="D24" s="1">
        <v>55</v>
      </c>
      <c r="E24" s="1"/>
      <c r="G24" s="1"/>
      <c r="H24" s="7" t="s">
        <v>21</v>
      </c>
      <c r="I24" s="7" t="s">
        <v>13</v>
      </c>
      <c r="J24" s="9"/>
      <c r="K24" s="9">
        <v>45</v>
      </c>
    </row>
    <row r="25" spans="1:15" x14ac:dyDescent="0.3">
      <c r="B25" s="32" t="s">
        <v>23</v>
      </c>
      <c r="C25" s="32" t="s">
        <v>83</v>
      </c>
      <c r="D25" s="32" t="s">
        <v>63</v>
      </c>
      <c r="E25" s="32" t="s">
        <v>84</v>
      </c>
      <c r="F25" s="1" t="s">
        <v>67</v>
      </c>
      <c r="H25" s="1" t="s">
        <v>23</v>
      </c>
      <c r="I25" s="1" t="s">
        <v>83</v>
      </c>
      <c r="J25" s="32" t="s">
        <v>63</v>
      </c>
      <c r="K25" s="32" t="s">
        <v>84</v>
      </c>
      <c r="L25" s="1" t="s">
        <v>67</v>
      </c>
      <c r="O25" s="1" t="s">
        <v>85</v>
      </c>
    </row>
    <row r="26" spans="1:15" x14ac:dyDescent="0.3">
      <c r="A26" s="1" t="s">
        <v>0</v>
      </c>
      <c r="B26">
        <f t="shared" ref="B26:B33" si="9">INDEX(TblSummary, MATCH(B$24&amp;C$24&amp;$A26,TblConcat,0), 7)</f>
        <v>5</v>
      </c>
      <c r="C26">
        <f t="shared" ref="C26:C33" si="10">INDEX(TblSummary, MATCH(B$24&amp;C$24&amp;$A26,TblConcat,0), 8)</f>
        <v>8</v>
      </c>
      <c r="D26">
        <f t="shared" ref="D26:D33" si="11">INDEX(TblSummary, MATCH(B$24&amp;C$24&amp;$A26,TblConcat,0), 9)</f>
        <v>110</v>
      </c>
      <c r="E26">
        <v>110</v>
      </c>
      <c r="F26">
        <f>(E26/2)*B26+E26/2*C26</f>
        <v>715</v>
      </c>
      <c r="H26">
        <f t="shared" ref="H26:H33" si="12">INDEX(TblSummary, MATCH(H$24&amp;I$24&amp;$A26,TblConcat,0), 7)</f>
        <v>16</v>
      </c>
      <c r="I26">
        <f t="shared" ref="I26:I33" si="13">INDEX(TblSummary, MATCH(H$24&amp;I$24&amp;$A26,TblConcat,0), 8)</f>
        <v>0</v>
      </c>
      <c r="J26">
        <f t="shared" ref="J26:J33" si="14">INDEX(TblSummary, MATCH(H$24&amp;I$24&amp;$A26,TblConcat,0), 9)</f>
        <v>60</v>
      </c>
      <c r="K26">
        <v>0</v>
      </c>
      <c r="L26">
        <f t="shared" ref="L26:L33" si="15">H26*K26</f>
        <v>0</v>
      </c>
      <c r="N26" t="str">
        <f t="shared" ref="N26:N33" si="16">A26</f>
        <v>Mag</v>
      </c>
      <c r="O26">
        <f t="shared" ref="O26:O33" si="17">E26+K26</f>
        <v>110</v>
      </c>
    </row>
    <row r="27" spans="1:15" x14ac:dyDescent="0.3">
      <c r="A27" s="1" t="s">
        <v>1</v>
      </c>
      <c r="B27">
        <f t="shared" si="9"/>
        <v>31</v>
      </c>
      <c r="C27">
        <f t="shared" si="10"/>
        <v>0</v>
      </c>
      <c r="D27">
        <f t="shared" si="11"/>
        <v>0</v>
      </c>
      <c r="E27">
        <v>0</v>
      </c>
      <c r="F27">
        <f>B27*E27</f>
        <v>0</v>
      </c>
      <c r="H27">
        <f t="shared" si="12"/>
        <v>31</v>
      </c>
      <c r="I27">
        <f t="shared" si="13"/>
        <v>0</v>
      </c>
      <c r="J27">
        <f t="shared" si="14"/>
        <v>0</v>
      </c>
      <c r="K27">
        <v>0</v>
      </c>
      <c r="L27">
        <f t="shared" si="15"/>
        <v>0</v>
      </c>
      <c r="N27" t="str">
        <f t="shared" si="16"/>
        <v>Div</v>
      </c>
      <c r="O27">
        <f t="shared" si="17"/>
        <v>0</v>
      </c>
    </row>
    <row r="28" spans="1:15" x14ac:dyDescent="0.3">
      <c r="A28" s="1" t="s">
        <v>2</v>
      </c>
      <c r="B28">
        <f t="shared" si="9"/>
        <v>22</v>
      </c>
      <c r="C28">
        <f t="shared" si="10"/>
        <v>0</v>
      </c>
      <c r="D28">
        <f t="shared" si="11"/>
        <v>40</v>
      </c>
      <c r="E28">
        <v>0</v>
      </c>
      <c r="F28">
        <f>B28*E28</f>
        <v>0</v>
      </c>
      <c r="H28">
        <f t="shared" si="12"/>
        <v>13</v>
      </c>
      <c r="I28">
        <f t="shared" si="13"/>
        <v>0</v>
      </c>
      <c r="J28">
        <f t="shared" si="14"/>
        <v>70</v>
      </c>
      <c r="K28">
        <v>62</v>
      </c>
      <c r="L28">
        <f t="shared" si="15"/>
        <v>806</v>
      </c>
      <c r="N28" t="str">
        <f t="shared" si="16"/>
        <v>Str</v>
      </c>
      <c r="O28">
        <f t="shared" si="17"/>
        <v>62</v>
      </c>
    </row>
    <row r="29" spans="1:15" x14ac:dyDescent="0.3">
      <c r="A29" s="1" t="s">
        <v>3</v>
      </c>
      <c r="B29">
        <f t="shared" si="9"/>
        <v>10</v>
      </c>
      <c r="C29">
        <f t="shared" si="10"/>
        <v>0</v>
      </c>
      <c r="D29">
        <f t="shared" si="11"/>
        <v>80</v>
      </c>
      <c r="E29">
        <v>60</v>
      </c>
      <c r="F29">
        <f>B29*E29</f>
        <v>600</v>
      </c>
      <c r="H29">
        <f t="shared" si="12"/>
        <v>7</v>
      </c>
      <c r="I29">
        <f t="shared" si="13"/>
        <v>11</v>
      </c>
      <c r="J29">
        <f t="shared" si="14"/>
        <v>105</v>
      </c>
      <c r="K29">
        <v>45</v>
      </c>
      <c r="L29">
        <f t="shared" si="15"/>
        <v>315</v>
      </c>
      <c r="N29" t="str">
        <f t="shared" si="16"/>
        <v>Dex</v>
      </c>
      <c r="O29">
        <f t="shared" si="17"/>
        <v>105</v>
      </c>
    </row>
    <row r="30" spans="1:15" x14ac:dyDescent="0.3">
      <c r="A30" s="1" t="s">
        <v>4</v>
      </c>
      <c r="B30">
        <f t="shared" si="9"/>
        <v>13</v>
      </c>
      <c r="C30">
        <f t="shared" si="10"/>
        <v>0</v>
      </c>
      <c r="D30">
        <f t="shared" si="11"/>
        <v>70</v>
      </c>
      <c r="E30">
        <v>0</v>
      </c>
      <c r="F30">
        <f>B30*E30</f>
        <v>0</v>
      </c>
      <c r="H30">
        <f t="shared" si="12"/>
        <v>13</v>
      </c>
      <c r="I30">
        <f t="shared" si="13"/>
        <v>0</v>
      </c>
      <c r="J30">
        <f t="shared" si="14"/>
        <v>70</v>
      </c>
      <c r="K30">
        <v>20</v>
      </c>
      <c r="L30">
        <f t="shared" si="15"/>
        <v>260</v>
      </c>
      <c r="N30" t="str">
        <f t="shared" si="16"/>
        <v>Con</v>
      </c>
      <c r="O30">
        <f t="shared" si="17"/>
        <v>20</v>
      </c>
    </row>
    <row r="31" spans="1:15" x14ac:dyDescent="0.3">
      <c r="A31" s="1" t="s">
        <v>5</v>
      </c>
      <c r="B31">
        <f t="shared" si="9"/>
        <v>8</v>
      </c>
      <c r="C31">
        <f t="shared" si="10"/>
        <v>12</v>
      </c>
      <c r="D31">
        <f t="shared" si="11"/>
        <v>100</v>
      </c>
      <c r="E31">
        <v>80</v>
      </c>
      <c r="F31">
        <f>(E31/2)*B31+E31/2*C31</f>
        <v>800</v>
      </c>
      <c r="H31">
        <f t="shared" si="12"/>
        <v>13</v>
      </c>
      <c r="I31">
        <f t="shared" si="13"/>
        <v>0</v>
      </c>
      <c r="J31">
        <f t="shared" si="14"/>
        <v>70</v>
      </c>
      <c r="K31">
        <v>0</v>
      </c>
      <c r="L31">
        <f t="shared" si="15"/>
        <v>0</v>
      </c>
      <c r="N31" t="str">
        <f t="shared" si="16"/>
        <v>Cha</v>
      </c>
      <c r="O31">
        <f t="shared" si="17"/>
        <v>80</v>
      </c>
    </row>
    <row r="32" spans="1:15" x14ac:dyDescent="0.3">
      <c r="A32" s="1" t="s">
        <v>6</v>
      </c>
      <c r="B32">
        <f t="shared" si="9"/>
        <v>5</v>
      </c>
      <c r="C32">
        <f t="shared" si="10"/>
        <v>8</v>
      </c>
      <c r="D32">
        <f t="shared" si="11"/>
        <v>110</v>
      </c>
      <c r="E32">
        <v>110</v>
      </c>
      <c r="F32">
        <f>(E32/2)*B32+E32/2*C32</f>
        <v>715</v>
      </c>
      <c r="H32">
        <f t="shared" si="12"/>
        <v>6</v>
      </c>
      <c r="I32">
        <f t="shared" si="13"/>
        <v>9</v>
      </c>
      <c r="J32">
        <f t="shared" si="14"/>
        <v>108</v>
      </c>
      <c r="K32">
        <v>0</v>
      </c>
      <c r="L32">
        <f t="shared" si="15"/>
        <v>0</v>
      </c>
      <c r="N32" t="str">
        <f t="shared" si="16"/>
        <v>Bra</v>
      </c>
      <c r="O32">
        <f t="shared" si="17"/>
        <v>110</v>
      </c>
    </row>
    <row r="33" spans="1:15" x14ac:dyDescent="0.3">
      <c r="A33" s="1" t="s">
        <v>7</v>
      </c>
      <c r="B33">
        <f t="shared" si="9"/>
        <v>22</v>
      </c>
      <c r="C33">
        <f t="shared" si="10"/>
        <v>0</v>
      </c>
      <c r="D33">
        <f t="shared" si="11"/>
        <v>40</v>
      </c>
      <c r="E33">
        <v>0</v>
      </c>
      <c r="F33">
        <f>B33*E33</f>
        <v>0</v>
      </c>
      <c r="H33">
        <f t="shared" si="12"/>
        <v>13</v>
      </c>
      <c r="I33">
        <f t="shared" si="13"/>
        <v>0</v>
      </c>
      <c r="J33">
        <f t="shared" si="14"/>
        <v>70</v>
      </c>
      <c r="K33">
        <v>60</v>
      </c>
      <c r="L33">
        <f t="shared" si="15"/>
        <v>780</v>
      </c>
      <c r="N33" t="str">
        <f t="shared" si="16"/>
        <v>HP</v>
      </c>
      <c r="O33">
        <f t="shared" si="17"/>
        <v>60</v>
      </c>
    </row>
    <row r="35" spans="1:15" x14ac:dyDescent="0.3">
      <c r="F35" s="1">
        <f>SUM(F26:F33)</f>
        <v>2830</v>
      </c>
      <c r="L35" s="1">
        <f>SUM(L26:L33)</f>
        <v>2161</v>
      </c>
      <c r="O35" s="1">
        <f>F35+L35</f>
        <v>4991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8CBB0-8419-4398-8313-CA9AB84C50D0}">
  <sheetPr codeName="Sheet8"/>
  <dimension ref="A1:A1793"/>
  <sheetViews>
    <sheetView workbookViewId="0">
      <selection sqref="A1:A1048576"/>
    </sheetView>
  </sheetViews>
  <sheetFormatPr defaultRowHeight="14.4" x14ac:dyDescent="0.3"/>
  <cols>
    <col min="1" max="1" width="29.44140625" bestFit="1" customWidth="1"/>
  </cols>
  <sheetData>
    <row r="1" spans="1:1" x14ac:dyDescent="0.3">
      <c r="A1" t="s">
        <v>591</v>
      </c>
    </row>
    <row r="2" spans="1:1" x14ac:dyDescent="0.3">
      <c r="A2" t="s">
        <v>592</v>
      </c>
    </row>
    <row r="3" spans="1:1" x14ac:dyDescent="0.3">
      <c r="A3" t="s">
        <v>593</v>
      </c>
    </row>
    <row r="4" spans="1:1" x14ac:dyDescent="0.3">
      <c r="A4" t="s">
        <v>594</v>
      </c>
    </row>
    <row r="5" spans="1:1" x14ac:dyDescent="0.3">
      <c r="A5" t="s">
        <v>595</v>
      </c>
    </row>
    <row r="6" spans="1:1" x14ac:dyDescent="0.3">
      <c r="A6" t="s">
        <v>596</v>
      </c>
    </row>
    <row r="7" spans="1:1" x14ac:dyDescent="0.3">
      <c r="A7" t="s">
        <v>597</v>
      </c>
    </row>
    <row r="8" spans="1:1" x14ac:dyDescent="0.3">
      <c r="A8" t="s">
        <v>598</v>
      </c>
    </row>
    <row r="9" spans="1:1" x14ac:dyDescent="0.3">
      <c r="A9" t="s">
        <v>599</v>
      </c>
    </row>
    <row r="10" spans="1:1" x14ac:dyDescent="0.3">
      <c r="A10" t="s">
        <v>600</v>
      </c>
    </row>
    <row r="11" spans="1:1" x14ac:dyDescent="0.3">
      <c r="A11" t="s">
        <v>601</v>
      </c>
    </row>
    <row r="12" spans="1:1" x14ac:dyDescent="0.3">
      <c r="A12" t="s">
        <v>602</v>
      </c>
    </row>
    <row r="13" spans="1:1" x14ac:dyDescent="0.3">
      <c r="A13" t="s">
        <v>603</v>
      </c>
    </row>
    <row r="14" spans="1:1" x14ac:dyDescent="0.3">
      <c r="A14" t="s">
        <v>604</v>
      </c>
    </row>
    <row r="15" spans="1:1" x14ac:dyDescent="0.3">
      <c r="A15" t="s">
        <v>605</v>
      </c>
    </row>
    <row r="16" spans="1:1" x14ac:dyDescent="0.3">
      <c r="A16" t="s">
        <v>606</v>
      </c>
    </row>
    <row r="17" spans="1:1" x14ac:dyDescent="0.3">
      <c r="A17" t="s">
        <v>607</v>
      </c>
    </row>
    <row r="18" spans="1:1" x14ac:dyDescent="0.3">
      <c r="A18" t="s">
        <v>592</v>
      </c>
    </row>
    <row r="19" spans="1:1" x14ac:dyDescent="0.3">
      <c r="A19" t="s">
        <v>593</v>
      </c>
    </row>
    <row r="20" spans="1:1" x14ac:dyDescent="0.3">
      <c r="A20" t="s">
        <v>594</v>
      </c>
    </row>
    <row r="21" spans="1:1" x14ac:dyDescent="0.3">
      <c r="A21" t="s">
        <v>595</v>
      </c>
    </row>
    <row r="22" spans="1:1" x14ac:dyDescent="0.3">
      <c r="A22" t="s">
        <v>596</v>
      </c>
    </row>
    <row r="23" spans="1:1" x14ac:dyDescent="0.3">
      <c r="A23" t="s">
        <v>597</v>
      </c>
    </row>
    <row r="24" spans="1:1" x14ac:dyDescent="0.3">
      <c r="A24" t="s">
        <v>598</v>
      </c>
    </row>
    <row r="25" spans="1:1" x14ac:dyDescent="0.3">
      <c r="A25" t="s">
        <v>599</v>
      </c>
    </row>
    <row r="26" spans="1:1" x14ac:dyDescent="0.3">
      <c r="A26" t="s">
        <v>600</v>
      </c>
    </row>
    <row r="27" spans="1:1" x14ac:dyDescent="0.3">
      <c r="A27" t="s">
        <v>601</v>
      </c>
    </row>
    <row r="28" spans="1:1" x14ac:dyDescent="0.3">
      <c r="A28" t="s">
        <v>602</v>
      </c>
    </row>
    <row r="29" spans="1:1" x14ac:dyDescent="0.3">
      <c r="A29" t="s">
        <v>603</v>
      </c>
    </row>
    <row r="30" spans="1:1" x14ac:dyDescent="0.3">
      <c r="A30" t="s">
        <v>604</v>
      </c>
    </row>
    <row r="31" spans="1:1" x14ac:dyDescent="0.3">
      <c r="A31" t="s">
        <v>605</v>
      </c>
    </row>
    <row r="32" spans="1:1" x14ac:dyDescent="0.3">
      <c r="A32" t="s">
        <v>608</v>
      </c>
    </row>
    <row r="33" spans="1:1" x14ac:dyDescent="0.3">
      <c r="A33" t="s">
        <v>609</v>
      </c>
    </row>
    <row r="34" spans="1:1" x14ac:dyDescent="0.3">
      <c r="A34" t="s">
        <v>592</v>
      </c>
    </row>
    <row r="35" spans="1:1" x14ac:dyDescent="0.3">
      <c r="A35" t="s">
        <v>593</v>
      </c>
    </row>
    <row r="36" spans="1:1" x14ac:dyDescent="0.3">
      <c r="A36" t="s">
        <v>594</v>
      </c>
    </row>
    <row r="37" spans="1:1" x14ac:dyDescent="0.3">
      <c r="A37" t="s">
        <v>595</v>
      </c>
    </row>
    <row r="38" spans="1:1" x14ac:dyDescent="0.3">
      <c r="A38" t="s">
        <v>596</v>
      </c>
    </row>
    <row r="39" spans="1:1" x14ac:dyDescent="0.3">
      <c r="A39" t="s">
        <v>597</v>
      </c>
    </row>
    <row r="40" spans="1:1" x14ac:dyDescent="0.3">
      <c r="A40" t="s">
        <v>598</v>
      </c>
    </row>
    <row r="41" spans="1:1" x14ac:dyDescent="0.3">
      <c r="A41" t="s">
        <v>599</v>
      </c>
    </row>
    <row r="42" spans="1:1" x14ac:dyDescent="0.3">
      <c r="A42" t="s">
        <v>600</v>
      </c>
    </row>
    <row r="43" spans="1:1" x14ac:dyDescent="0.3">
      <c r="A43" t="s">
        <v>601</v>
      </c>
    </row>
    <row r="44" spans="1:1" x14ac:dyDescent="0.3">
      <c r="A44" t="s">
        <v>602</v>
      </c>
    </row>
    <row r="45" spans="1:1" x14ac:dyDescent="0.3">
      <c r="A45" t="s">
        <v>603</v>
      </c>
    </row>
    <row r="46" spans="1:1" x14ac:dyDescent="0.3">
      <c r="A46" t="s">
        <v>604</v>
      </c>
    </row>
    <row r="47" spans="1:1" x14ac:dyDescent="0.3">
      <c r="A47" t="s">
        <v>605</v>
      </c>
    </row>
    <row r="48" spans="1:1" x14ac:dyDescent="0.3">
      <c r="A48" t="s">
        <v>610</v>
      </c>
    </row>
    <row r="49" spans="1:1" x14ac:dyDescent="0.3">
      <c r="A49" t="s">
        <v>611</v>
      </c>
    </row>
    <row r="50" spans="1:1" x14ac:dyDescent="0.3">
      <c r="A50" t="s">
        <v>592</v>
      </c>
    </row>
    <row r="51" spans="1:1" x14ac:dyDescent="0.3">
      <c r="A51" t="s">
        <v>593</v>
      </c>
    </row>
    <row r="52" spans="1:1" x14ac:dyDescent="0.3">
      <c r="A52" t="s">
        <v>594</v>
      </c>
    </row>
    <row r="53" spans="1:1" x14ac:dyDescent="0.3">
      <c r="A53" t="s">
        <v>595</v>
      </c>
    </row>
    <row r="54" spans="1:1" x14ac:dyDescent="0.3">
      <c r="A54" t="s">
        <v>596</v>
      </c>
    </row>
    <row r="55" spans="1:1" x14ac:dyDescent="0.3">
      <c r="A55" t="s">
        <v>597</v>
      </c>
    </row>
    <row r="56" spans="1:1" x14ac:dyDescent="0.3">
      <c r="A56" t="s">
        <v>598</v>
      </c>
    </row>
    <row r="57" spans="1:1" x14ac:dyDescent="0.3">
      <c r="A57" t="s">
        <v>599</v>
      </c>
    </row>
    <row r="58" spans="1:1" x14ac:dyDescent="0.3">
      <c r="A58" t="s">
        <v>600</v>
      </c>
    </row>
    <row r="59" spans="1:1" x14ac:dyDescent="0.3">
      <c r="A59" t="s">
        <v>601</v>
      </c>
    </row>
    <row r="60" spans="1:1" x14ac:dyDescent="0.3">
      <c r="A60" t="s">
        <v>602</v>
      </c>
    </row>
    <row r="61" spans="1:1" x14ac:dyDescent="0.3">
      <c r="A61" t="s">
        <v>603</v>
      </c>
    </row>
    <row r="62" spans="1:1" x14ac:dyDescent="0.3">
      <c r="A62" t="s">
        <v>604</v>
      </c>
    </row>
    <row r="63" spans="1:1" x14ac:dyDescent="0.3">
      <c r="A63" t="s">
        <v>605</v>
      </c>
    </row>
    <row r="64" spans="1:1" x14ac:dyDescent="0.3">
      <c r="A64" t="s">
        <v>612</v>
      </c>
    </row>
    <row r="65" spans="1:1" x14ac:dyDescent="0.3">
      <c r="A65" t="s">
        <v>613</v>
      </c>
    </row>
    <row r="66" spans="1:1" x14ac:dyDescent="0.3">
      <c r="A66" t="s">
        <v>592</v>
      </c>
    </row>
    <row r="67" spans="1:1" x14ac:dyDescent="0.3">
      <c r="A67" t="s">
        <v>593</v>
      </c>
    </row>
    <row r="68" spans="1:1" x14ac:dyDescent="0.3">
      <c r="A68" t="s">
        <v>594</v>
      </c>
    </row>
    <row r="69" spans="1:1" x14ac:dyDescent="0.3">
      <c r="A69" t="s">
        <v>595</v>
      </c>
    </row>
    <row r="70" spans="1:1" x14ac:dyDescent="0.3">
      <c r="A70" t="s">
        <v>596</v>
      </c>
    </row>
    <row r="71" spans="1:1" x14ac:dyDescent="0.3">
      <c r="A71" t="s">
        <v>597</v>
      </c>
    </row>
    <row r="72" spans="1:1" x14ac:dyDescent="0.3">
      <c r="A72" t="s">
        <v>598</v>
      </c>
    </row>
    <row r="73" spans="1:1" x14ac:dyDescent="0.3">
      <c r="A73" t="s">
        <v>599</v>
      </c>
    </row>
    <row r="74" spans="1:1" x14ac:dyDescent="0.3">
      <c r="A74" t="s">
        <v>600</v>
      </c>
    </row>
    <row r="75" spans="1:1" x14ac:dyDescent="0.3">
      <c r="A75" t="s">
        <v>601</v>
      </c>
    </row>
    <row r="76" spans="1:1" x14ac:dyDescent="0.3">
      <c r="A76" t="s">
        <v>602</v>
      </c>
    </row>
    <row r="77" spans="1:1" x14ac:dyDescent="0.3">
      <c r="A77" t="s">
        <v>603</v>
      </c>
    </row>
    <row r="78" spans="1:1" x14ac:dyDescent="0.3">
      <c r="A78" t="s">
        <v>604</v>
      </c>
    </row>
    <row r="79" spans="1:1" x14ac:dyDescent="0.3">
      <c r="A79" t="s">
        <v>605</v>
      </c>
    </row>
    <row r="80" spans="1:1" x14ac:dyDescent="0.3">
      <c r="A80" t="s">
        <v>614</v>
      </c>
    </row>
    <row r="81" spans="1:1" x14ac:dyDescent="0.3">
      <c r="A81" t="s">
        <v>615</v>
      </c>
    </row>
    <row r="82" spans="1:1" x14ac:dyDescent="0.3">
      <c r="A82" t="s">
        <v>592</v>
      </c>
    </row>
    <row r="83" spans="1:1" x14ac:dyDescent="0.3">
      <c r="A83" t="s">
        <v>593</v>
      </c>
    </row>
    <row r="84" spans="1:1" x14ac:dyDescent="0.3">
      <c r="A84" t="s">
        <v>594</v>
      </c>
    </row>
    <row r="85" spans="1:1" x14ac:dyDescent="0.3">
      <c r="A85" t="s">
        <v>595</v>
      </c>
    </row>
    <row r="86" spans="1:1" x14ac:dyDescent="0.3">
      <c r="A86" t="s">
        <v>596</v>
      </c>
    </row>
    <row r="87" spans="1:1" x14ac:dyDescent="0.3">
      <c r="A87" t="s">
        <v>597</v>
      </c>
    </row>
    <row r="88" spans="1:1" x14ac:dyDescent="0.3">
      <c r="A88" t="s">
        <v>598</v>
      </c>
    </row>
    <row r="89" spans="1:1" x14ac:dyDescent="0.3">
      <c r="A89" t="s">
        <v>599</v>
      </c>
    </row>
    <row r="90" spans="1:1" x14ac:dyDescent="0.3">
      <c r="A90" t="s">
        <v>600</v>
      </c>
    </row>
    <row r="91" spans="1:1" x14ac:dyDescent="0.3">
      <c r="A91" t="s">
        <v>601</v>
      </c>
    </row>
    <row r="92" spans="1:1" x14ac:dyDescent="0.3">
      <c r="A92" t="s">
        <v>602</v>
      </c>
    </row>
    <row r="93" spans="1:1" x14ac:dyDescent="0.3">
      <c r="A93" t="s">
        <v>603</v>
      </c>
    </row>
    <row r="94" spans="1:1" x14ac:dyDescent="0.3">
      <c r="A94" t="s">
        <v>604</v>
      </c>
    </row>
    <row r="95" spans="1:1" x14ac:dyDescent="0.3">
      <c r="A95" t="s">
        <v>605</v>
      </c>
    </row>
    <row r="96" spans="1:1" x14ac:dyDescent="0.3">
      <c r="A96" t="s">
        <v>616</v>
      </c>
    </row>
    <row r="97" spans="1:1" x14ac:dyDescent="0.3">
      <c r="A97" t="s">
        <v>617</v>
      </c>
    </row>
    <row r="98" spans="1:1" x14ac:dyDescent="0.3">
      <c r="A98" t="s">
        <v>592</v>
      </c>
    </row>
    <row r="99" spans="1:1" x14ac:dyDescent="0.3">
      <c r="A99" t="s">
        <v>593</v>
      </c>
    </row>
    <row r="100" spans="1:1" x14ac:dyDescent="0.3">
      <c r="A100" t="s">
        <v>594</v>
      </c>
    </row>
    <row r="101" spans="1:1" x14ac:dyDescent="0.3">
      <c r="A101" t="s">
        <v>595</v>
      </c>
    </row>
    <row r="102" spans="1:1" x14ac:dyDescent="0.3">
      <c r="A102" t="s">
        <v>596</v>
      </c>
    </row>
    <row r="103" spans="1:1" x14ac:dyDescent="0.3">
      <c r="A103" t="s">
        <v>597</v>
      </c>
    </row>
    <row r="104" spans="1:1" x14ac:dyDescent="0.3">
      <c r="A104" t="s">
        <v>598</v>
      </c>
    </row>
    <row r="105" spans="1:1" x14ac:dyDescent="0.3">
      <c r="A105" t="s">
        <v>599</v>
      </c>
    </row>
    <row r="106" spans="1:1" x14ac:dyDescent="0.3">
      <c r="A106" t="s">
        <v>600</v>
      </c>
    </row>
    <row r="107" spans="1:1" x14ac:dyDescent="0.3">
      <c r="A107" t="s">
        <v>601</v>
      </c>
    </row>
    <row r="108" spans="1:1" x14ac:dyDescent="0.3">
      <c r="A108" t="s">
        <v>602</v>
      </c>
    </row>
    <row r="109" spans="1:1" x14ac:dyDescent="0.3">
      <c r="A109" t="s">
        <v>603</v>
      </c>
    </row>
    <row r="110" spans="1:1" x14ac:dyDescent="0.3">
      <c r="A110" t="s">
        <v>604</v>
      </c>
    </row>
    <row r="111" spans="1:1" x14ac:dyDescent="0.3">
      <c r="A111" t="s">
        <v>605</v>
      </c>
    </row>
    <row r="112" spans="1:1" x14ac:dyDescent="0.3">
      <c r="A112" t="s">
        <v>618</v>
      </c>
    </row>
    <row r="113" spans="1:1" x14ac:dyDescent="0.3">
      <c r="A113" t="s">
        <v>619</v>
      </c>
    </row>
    <row r="114" spans="1:1" x14ac:dyDescent="0.3">
      <c r="A114" t="s">
        <v>620</v>
      </c>
    </row>
    <row r="115" spans="1:1" x14ac:dyDescent="0.3">
      <c r="A115" t="s">
        <v>621</v>
      </c>
    </row>
    <row r="116" spans="1:1" x14ac:dyDescent="0.3">
      <c r="A116" t="s">
        <v>594</v>
      </c>
    </row>
    <row r="117" spans="1:1" x14ac:dyDescent="0.3">
      <c r="A117" t="s">
        <v>622</v>
      </c>
    </row>
    <row r="118" spans="1:1" x14ac:dyDescent="0.3">
      <c r="A118" t="s">
        <v>596</v>
      </c>
    </row>
    <row r="119" spans="1:1" x14ac:dyDescent="0.3">
      <c r="A119" t="s">
        <v>597</v>
      </c>
    </row>
    <row r="120" spans="1:1" x14ac:dyDescent="0.3">
      <c r="A120" t="s">
        <v>598</v>
      </c>
    </row>
    <row r="121" spans="1:1" x14ac:dyDescent="0.3">
      <c r="A121" t="s">
        <v>599</v>
      </c>
    </row>
    <row r="122" spans="1:1" x14ac:dyDescent="0.3">
      <c r="A122" t="s">
        <v>600</v>
      </c>
    </row>
    <row r="123" spans="1:1" x14ac:dyDescent="0.3">
      <c r="A123" t="s">
        <v>601</v>
      </c>
    </row>
    <row r="124" spans="1:1" x14ac:dyDescent="0.3">
      <c r="A124" t="s">
        <v>602</v>
      </c>
    </row>
    <row r="125" spans="1:1" x14ac:dyDescent="0.3">
      <c r="A125" t="s">
        <v>603</v>
      </c>
    </row>
    <row r="126" spans="1:1" x14ac:dyDescent="0.3">
      <c r="A126" t="s">
        <v>623</v>
      </c>
    </row>
    <row r="127" spans="1:1" x14ac:dyDescent="0.3">
      <c r="A127" t="s">
        <v>624</v>
      </c>
    </row>
    <row r="128" spans="1:1" x14ac:dyDescent="0.3">
      <c r="A128" t="s">
        <v>625</v>
      </c>
    </row>
    <row r="129" spans="1:1" x14ac:dyDescent="0.3">
      <c r="A129" t="s">
        <v>626</v>
      </c>
    </row>
    <row r="130" spans="1:1" x14ac:dyDescent="0.3">
      <c r="A130" t="s">
        <v>627</v>
      </c>
    </row>
    <row r="131" spans="1:1" x14ac:dyDescent="0.3">
      <c r="A131" t="s">
        <v>628</v>
      </c>
    </row>
    <row r="132" spans="1:1" x14ac:dyDescent="0.3">
      <c r="A132" t="s">
        <v>629</v>
      </c>
    </row>
    <row r="133" spans="1:1" x14ac:dyDescent="0.3">
      <c r="A133" t="s">
        <v>630</v>
      </c>
    </row>
    <row r="134" spans="1:1" x14ac:dyDescent="0.3">
      <c r="A134" t="s">
        <v>631</v>
      </c>
    </row>
    <row r="135" spans="1:1" x14ac:dyDescent="0.3">
      <c r="A135" t="s">
        <v>632</v>
      </c>
    </row>
    <row r="136" spans="1:1" x14ac:dyDescent="0.3">
      <c r="A136" t="s">
        <v>633</v>
      </c>
    </row>
    <row r="137" spans="1:1" x14ac:dyDescent="0.3">
      <c r="A137" s="54" t="s">
        <v>634</v>
      </c>
    </row>
    <row r="138" spans="1:1" x14ac:dyDescent="0.3">
      <c r="A138" t="s">
        <v>635</v>
      </c>
    </row>
    <row r="139" spans="1:1" x14ac:dyDescent="0.3">
      <c r="A139" t="s">
        <v>636</v>
      </c>
    </row>
    <row r="140" spans="1:1" x14ac:dyDescent="0.3">
      <c r="A140" t="s">
        <v>637</v>
      </c>
    </row>
    <row r="141" spans="1:1" x14ac:dyDescent="0.3">
      <c r="A141" t="s">
        <v>638</v>
      </c>
    </row>
    <row r="142" spans="1:1" x14ac:dyDescent="0.3">
      <c r="A142" t="s">
        <v>639</v>
      </c>
    </row>
    <row r="143" spans="1:1" x14ac:dyDescent="0.3">
      <c r="A143" t="s">
        <v>640</v>
      </c>
    </row>
    <row r="144" spans="1:1" x14ac:dyDescent="0.3">
      <c r="A144" t="s">
        <v>641</v>
      </c>
    </row>
    <row r="145" spans="1:1" x14ac:dyDescent="0.3">
      <c r="A145" t="s">
        <v>620</v>
      </c>
    </row>
    <row r="146" spans="1:1" x14ac:dyDescent="0.3">
      <c r="A146" t="s">
        <v>621</v>
      </c>
    </row>
    <row r="147" spans="1:1" x14ac:dyDescent="0.3">
      <c r="A147" t="s">
        <v>642</v>
      </c>
    </row>
    <row r="148" spans="1:1" x14ac:dyDescent="0.3">
      <c r="A148" t="s">
        <v>595</v>
      </c>
    </row>
    <row r="149" spans="1:1" x14ac:dyDescent="0.3">
      <c r="A149" t="s">
        <v>596</v>
      </c>
    </row>
    <row r="150" spans="1:1" x14ac:dyDescent="0.3">
      <c r="A150" t="s">
        <v>597</v>
      </c>
    </row>
    <row r="151" spans="1:1" x14ac:dyDescent="0.3">
      <c r="A151" t="s">
        <v>598</v>
      </c>
    </row>
    <row r="152" spans="1:1" x14ac:dyDescent="0.3">
      <c r="A152" t="s">
        <v>599</v>
      </c>
    </row>
    <row r="153" spans="1:1" x14ac:dyDescent="0.3">
      <c r="A153" t="s">
        <v>600</v>
      </c>
    </row>
    <row r="154" spans="1:1" x14ac:dyDescent="0.3">
      <c r="A154" t="s">
        <v>601</v>
      </c>
    </row>
    <row r="155" spans="1:1" x14ac:dyDescent="0.3">
      <c r="A155" t="s">
        <v>602</v>
      </c>
    </row>
    <row r="156" spans="1:1" x14ac:dyDescent="0.3">
      <c r="A156" t="s">
        <v>603</v>
      </c>
    </row>
    <row r="157" spans="1:1" x14ac:dyDescent="0.3">
      <c r="A157" t="s">
        <v>643</v>
      </c>
    </row>
    <row r="158" spans="1:1" x14ac:dyDescent="0.3">
      <c r="A158" t="s">
        <v>624</v>
      </c>
    </row>
    <row r="159" spans="1:1" x14ac:dyDescent="0.3">
      <c r="A159" t="s">
        <v>625</v>
      </c>
    </row>
    <row r="160" spans="1:1" x14ac:dyDescent="0.3">
      <c r="A160" t="s">
        <v>626</v>
      </c>
    </row>
    <row r="161" spans="1:1" x14ac:dyDescent="0.3">
      <c r="A161" t="s">
        <v>627</v>
      </c>
    </row>
    <row r="162" spans="1:1" x14ac:dyDescent="0.3">
      <c r="A162" s="54" t="s">
        <v>628</v>
      </c>
    </row>
    <row r="163" spans="1:1" x14ac:dyDescent="0.3">
      <c r="A163" t="s">
        <v>630</v>
      </c>
    </row>
    <row r="164" spans="1:1" x14ac:dyDescent="0.3">
      <c r="A164" t="s">
        <v>644</v>
      </c>
    </row>
    <row r="165" spans="1:1" x14ac:dyDescent="0.3">
      <c r="A165" t="s">
        <v>645</v>
      </c>
    </row>
    <row r="166" spans="1:1" x14ac:dyDescent="0.3">
      <c r="A166" t="s">
        <v>646</v>
      </c>
    </row>
    <row r="167" spans="1:1" x14ac:dyDescent="0.3">
      <c r="A167" t="s">
        <v>634</v>
      </c>
    </row>
    <row r="168" spans="1:1" x14ac:dyDescent="0.3">
      <c r="A168" t="s">
        <v>635</v>
      </c>
    </row>
    <row r="169" spans="1:1" x14ac:dyDescent="0.3">
      <c r="A169" t="s">
        <v>636</v>
      </c>
    </row>
    <row r="170" spans="1:1" x14ac:dyDescent="0.3">
      <c r="A170" t="s">
        <v>637</v>
      </c>
    </row>
    <row r="171" spans="1:1" x14ac:dyDescent="0.3">
      <c r="A171" t="s">
        <v>638</v>
      </c>
    </row>
    <row r="172" spans="1:1" x14ac:dyDescent="0.3">
      <c r="A172" t="s">
        <v>639</v>
      </c>
    </row>
    <row r="173" spans="1:1" x14ac:dyDescent="0.3">
      <c r="A173" t="s">
        <v>647</v>
      </c>
    </row>
    <row r="174" spans="1:1" x14ac:dyDescent="0.3">
      <c r="A174" t="s">
        <v>648</v>
      </c>
    </row>
    <row r="175" spans="1:1" x14ac:dyDescent="0.3">
      <c r="A175" t="s">
        <v>620</v>
      </c>
    </row>
    <row r="176" spans="1:1" x14ac:dyDescent="0.3">
      <c r="A176" t="s">
        <v>621</v>
      </c>
    </row>
    <row r="177" spans="1:1" x14ac:dyDescent="0.3">
      <c r="A177" t="s">
        <v>649</v>
      </c>
    </row>
    <row r="178" spans="1:1" x14ac:dyDescent="0.3">
      <c r="A178" t="s">
        <v>595</v>
      </c>
    </row>
    <row r="179" spans="1:1" x14ac:dyDescent="0.3">
      <c r="A179" t="s">
        <v>596</v>
      </c>
    </row>
    <row r="180" spans="1:1" x14ac:dyDescent="0.3">
      <c r="A180" t="s">
        <v>597</v>
      </c>
    </row>
    <row r="181" spans="1:1" x14ac:dyDescent="0.3">
      <c r="A181" t="s">
        <v>598</v>
      </c>
    </row>
    <row r="182" spans="1:1" x14ac:dyDescent="0.3">
      <c r="A182" t="s">
        <v>599</v>
      </c>
    </row>
    <row r="183" spans="1:1" x14ac:dyDescent="0.3">
      <c r="A183" t="s">
        <v>600</v>
      </c>
    </row>
    <row r="184" spans="1:1" x14ac:dyDescent="0.3">
      <c r="A184" t="s">
        <v>601</v>
      </c>
    </row>
    <row r="185" spans="1:1" x14ac:dyDescent="0.3">
      <c r="A185" t="s">
        <v>602</v>
      </c>
    </row>
    <row r="186" spans="1:1" x14ac:dyDescent="0.3">
      <c r="A186" t="s">
        <v>603</v>
      </c>
    </row>
    <row r="187" spans="1:1" x14ac:dyDescent="0.3">
      <c r="A187" t="s">
        <v>623</v>
      </c>
    </row>
    <row r="188" spans="1:1" x14ac:dyDescent="0.3">
      <c r="A188" s="54" t="s">
        <v>650</v>
      </c>
    </row>
    <row r="189" spans="1:1" x14ac:dyDescent="0.3">
      <c r="A189" t="s">
        <v>651</v>
      </c>
    </row>
    <row r="190" spans="1:1" x14ac:dyDescent="0.3">
      <c r="A190" t="s">
        <v>626</v>
      </c>
    </row>
    <row r="191" spans="1:1" x14ac:dyDescent="0.3">
      <c r="A191" t="s">
        <v>627</v>
      </c>
    </row>
    <row r="192" spans="1:1" x14ac:dyDescent="0.3">
      <c r="A192" t="s">
        <v>628</v>
      </c>
    </row>
    <row r="193" spans="1:1" x14ac:dyDescent="0.3">
      <c r="A193" t="s">
        <v>629</v>
      </c>
    </row>
    <row r="194" spans="1:1" x14ac:dyDescent="0.3">
      <c r="A194" t="s">
        <v>652</v>
      </c>
    </row>
    <row r="195" spans="1:1" x14ac:dyDescent="0.3">
      <c r="A195" t="s">
        <v>644</v>
      </c>
    </row>
    <row r="196" spans="1:1" x14ac:dyDescent="0.3">
      <c r="A196" t="s">
        <v>632</v>
      </c>
    </row>
    <row r="197" spans="1:1" x14ac:dyDescent="0.3">
      <c r="A197" t="s">
        <v>646</v>
      </c>
    </row>
    <row r="198" spans="1:1" x14ac:dyDescent="0.3">
      <c r="A198" t="s">
        <v>634</v>
      </c>
    </row>
    <row r="199" spans="1:1" x14ac:dyDescent="0.3">
      <c r="A199" t="s">
        <v>635</v>
      </c>
    </row>
    <row r="200" spans="1:1" x14ac:dyDescent="0.3">
      <c r="A200" t="s">
        <v>636</v>
      </c>
    </row>
    <row r="201" spans="1:1" x14ac:dyDescent="0.3">
      <c r="A201" t="s">
        <v>637</v>
      </c>
    </row>
    <row r="202" spans="1:1" x14ac:dyDescent="0.3">
      <c r="A202" t="s">
        <v>638</v>
      </c>
    </row>
    <row r="203" spans="1:1" x14ac:dyDescent="0.3">
      <c r="A203" t="s">
        <v>639</v>
      </c>
    </row>
    <row r="204" spans="1:1" x14ac:dyDescent="0.3">
      <c r="A204" t="s">
        <v>653</v>
      </c>
    </row>
    <row r="205" spans="1:1" x14ac:dyDescent="0.3">
      <c r="A205" t="s">
        <v>654</v>
      </c>
    </row>
    <row r="206" spans="1:1" x14ac:dyDescent="0.3">
      <c r="A206" t="s">
        <v>620</v>
      </c>
    </row>
    <row r="207" spans="1:1" x14ac:dyDescent="0.3">
      <c r="A207" t="s">
        <v>621</v>
      </c>
    </row>
    <row r="208" spans="1:1" x14ac:dyDescent="0.3">
      <c r="A208" t="s">
        <v>655</v>
      </c>
    </row>
    <row r="209" spans="1:1" x14ac:dyDescent="0.3">
      <c r="A209" t="s">
        <v>595</v>
      </c>
    </row>
    <row r="210" spans="1:1" x14ac:dyDescent="0.3">
      <c r="A210" t="s">
        <v>596</v>
      </c>
    </row>
    <row r="211" spans="1:1" x14ac:dyDescent="0.3">
      <c r="A211" t="s">
        <v>597</v>
      </c>
    </row>
    <row r="212" spans="1:1" x14ac:dyDescent="0.3">
      <c r="A212" t="s">
        <v>656</v>
      </c>
    </row>
    <row r="213" spans="1:1" x14ac:dyDescent="0.3">
      <c r="A213" s="54" t="s">
        <v>599</v>
      </c>
    </row>
    <row r="214" spans="1:1" x14ac:dyDescent="0.3">
      <c r="A214" t="s">
        <v>600</v>
      </c>
    </row>
    <row r="215" spans="1:1" x14ac:dyDescent="0.3">
      <c r="A215" t="s">
        <v>601</v>
      </c>
    </row>
    <row r="216" spans="1:1" x14ac:dyDescent="0.3">
      <c r="A216" t="s">
        <v>602</v>
      </c>
    </row>
    <row r="217" spans="1:1" x14ac:dyDescent="0.3">
      <c r="A217" t="s">
        <v>603</v>
      </c>
    </row>
    <row r="218" spans="1:1" x14ac:dyDescent="0.3">
      <c r="A218" t="s">
        <v>643</v>
      </c>
    </row>
    <row r="219" spans="1:1" x14ac:dyDescent="0.3">
      <c r="A219" t="s">
        <v>624</v>
      </c>
    </row>
    <row r="220" spans="1:1" x14ac:dyDescent="0.3">
      <c r="A220" t="s">
        <v>657</v>
      </c>
    </row>
    <row r="221" spans="1:1" x14ac:dyDescent="0.3">
      <c r="A221" t="s">
        <v>626</v>
      </c>
    </row>
    <row r="222" spans="1:1" x14ac:dyDescent="0.3">
      <c r="A222" t="s">
        <v>627</v>
      </c>
    </row>
    <row r="223" spans="1:1" x14ac:dyDescent="0.3">
      <c r="A223" t="s">
        <v>628</v>
      </c>
    </row>
    <row r="224" spans="1:1" x14ac:dyDescent="0.3">
      <c r="A224" t="s">
        <v>652</v>
      </c>
    </row>
    <row r="225" spans="1:1" x14ac:dyDescent="0.3">
      <c r="A225" t="s">
        <v>658</v>
      </c>
    </row>
    <row r="226" spans="1:1" x14ac:dyDescent="0.3">
      <c r="A226" t="s">
        <v>659</v>
      </c>
    </row>
    <row r="227" spans="1:1" x14ac:dyDescent="0.3">
      <c r="A227" t="s">
        <v>660</v>
      </c>
    </row>
    <row r="228" spans="1:1" x14ac:dyDescent="0.3">
      <c r="A228" t="s">
        <v>634</v>
      </c>
    </row>
    <row r="229" spans="1:1" x14ac:dyDescent="0.3">
      <c r="A229" t="s">
        <v>635</v>
      </c>
    </row>
    <row r="230" spans="1:1" x14ac:dyDescent="0.3">
      <c r="A230" t="s">
        <v>636</v>
      </c>
    </row>
    <row r="231" spans="1:1" x14ac:dyDescent="0.3">
      <c r="A231" t="s">
        <v>637</v>
      </c>
    </row>
    <row r="232" spans="1:1" x14ac:dyDescent="0.3">
      <c r="A232" t="s">
        <v>638</v>
      </c>
    </row>
    <row r="233" spans="1:1" x14ac:dyDescent="0.3">
      <c r="A233" t="s">
        <v>639</v>
      </c>
    </row>
    <row r="234" spans="1:1" x14ac:dyDescent="0.3">
      <c r="A234" t="s">
        <v>661</v>
      </c>
    </row>
    <row r="235" spans="1:1" x14ac:dyDescent="0.3">
      <c r="A235" t="s">
        <v>662</v>
      </c>
    </row>
    <row r="236" spans="1:1" x14ac:dyDescent="0.3">
      <c r="A236" t="s">
        <v>620</v>
      </c>
    </row>
    <row r="237" spans="1:1" x14ac:dyDescent="0.3">
      <c r="A237" t="s">
        <v>663</v>
      </c>
    </row>
    <row r="238" spans="1:1" x14ac:dyDescent="0.3">
      <c r="A238" s="54" t="s">
        <v>664</v>
      </c>
    </row>
    <row r="239" spans="1:1" x14ac:dyDescent="0.3">
      <c r="A239" t="s">
        <v>595</v>
      </c>
    </row>
    <row r="240" spans="1:1" x14ac:dyDescent="0.3">
      <c r="A240" t="s">
        <v>596</v>
      </c>
    </row>
    <row r="241" spans="1:1" x14ac:dyDescent="0.3">
      <c r="A241" t="s">
        <v>597</v>
      </c>
    </row>
    <row r="242" spans="1:1" x14ac:dyDescent="0.3">
      <c r="A242" t="s">
        <v>656</v>
      </c>
    </row>
    <row r="243" spans="1:1" x14ac:dyDescent="0.3">
      <c r="A243" t="s">
        <v>599</v>
      </c>
    </row>
    <row r="244" spans="1:1" x14ac:dyDescent="0.3">
      <c r="A244" t="s">
        <v>600</v>
      </c>
    </row>
    <row r="245" spans="1:1" x14ac:dyDescent="0.3">
      <c r="A245" t="s">
        <v>601</v>
      </c>
    </row>
    <row r="246" spans="1:1" x14ac:dyDescent="0.3">
      <c r="A246" t="s">
        <v>602</v>
      </c>
    </row>
    <row r="247" spans="1:1" x14ac:dyDescent="0.3">
      <c r="A247" t="s">
        <v>603</v>
      </c>
    </row>
    <row r="248" spans="1:1" x14ac:dyDescent="0.3">
      <c r="A248" t="s">
        <v>665</v>
      </c>
    </row>
    <row r="249" spans="1:1" x14ac:dyDescent="0.3">
      <c r="A249" t="s">
        <v>624</v>
      </c>
    </row>
    <row r="250" spans="1:1" x14ac:dyDescent="0.3">
      <c r="A250" t="s">
        <v>657</v>
      </c>
    </row>
    <row r="251" spans="1:1" x14ac:dyDescent="0.3">
      <c r="A251" t="s">
        <v>626</v>
      </c>
    </row>
    <row r="252" spans="1:1" x14ac:dyDescent="0.3">
      <c r="A252" t="s">
        <v>627</v>
      </c>
    </row>
    <row r="253" spans="1:1" x14ac:dyDescent="0.3">
      <c r="A253" t="s">
        <v>628</v>
      </c>
    </row>
    <row r="254" spans="1:1" x14ac:dyDescent="0.3">
      <c r="A254" t="s">
        <v>652</v>
      </c>
    </row>
    <row r="255" spans="1:1" x14ac:dyDescent="0.3">
      <c r="A255" t="s">
        <v>658</v>
      </c>
    </row>
    <row r="256" spans="1:1" x14ac:dyDescent="0.3">
      <c r="A256" t="s">
        <v>666</v>
      </c>
    </row>
    <row r="257" spans="1:1" x14ac:dyDescent="0.3">
      <c r="A257" t="s">
        <v>667</v>
      </c>
    </row>
    <row r="258" spans="1:1" x14ac:dyDescent="0.3">
      <c r="A258" t="s">
        <v>634</v>
      </c>
    </row>
    <row r="259" spans="1:1" x14ac:dyDescent="0.3">
      <c r="A259" t="s">
        <v>635</v>
      </c>
    </row>
    <row r="260" spans="1:1" x14ac:dyDescent="0.3">
      <c r="A260" t="s">
        <v>636</v>
      </c>
    </row>
    <row r="261" spans="1:1" x14ac:dyDescent="0.3">
      <c r="A261" t="s">
        <v>637</v>
      </c>
    </row>
    <row r="262" spans="1:1" x14ac:dyDescent="0.3">
      <c r="A262" s="54" t="s">
        <v>638</v>
      </c>
    </row>
    <row r="263" spans="1:1" x14ac:dyDescent="0.3">
      <c r="A263" t="s">
        <v>639</v>
      </c>
    </row>
    <row r="264" spans="1:1" x14ac:dyDescent="0.3">
      <c r="A264" t="s">
        <v>668</v>
      </c>
    </row>
    <row r="265" spans="1:1" x14ac:dyDescent="0.3">
      <c r="A265" t="s">
        <v>669</v>
      </c>
    </row>
    <row r="266" spans="1:1" x14ac:dyDescent="0.3">
      <c r="A266" t="s">
        <v>620</v>
      </c>
    </row>
    <row r="267" spans="1:1" x14ac:dyDescent="0.3">
      <c r="A267" t="s">
        <v>670</v>
      </c>
    </row>
    <row r="268" spans="1:1" x14ac:dyDescent="0.3">
      <c r="A268" t="s">
        <v>671</v>
      </c>
    </row>
    <row r="269" spans="1:1" x14ac:dyDescent="0.3">
      <c r="A269" t="s">
        <v>595</v>
      </c>
    </row>
    <row r="270" spans="1:1" x14ac:dyDescent="0.3">
      <c r="A270" t="s">
        <v>596</v>
      </c>
    </row>
    <row r="271" spans="1:1" x14ac:dyDescent="0.3">
      <c r="A271" t="s">
        <v>597</v>
      </c>
    </row>
    <row r="272" spans="1:1" x14ac:dyDescent="0.3">
      <c r="A272" t="s">
        <v>598</v>
      </c>
    </row>
    <row r="273" spans="1:1" x14ac:dyDescent="0.3">
      <c r="A273" t="s">
        <v>599</v>
      </c>
    </row>
    <row r="274" spans="1:1" x14ac:dyDescent="0.3">
      <c r="A274" t="s">
        <v>600</v>
      </c>
    </row>
    <row r="275" spans="1:1" x14ac:dyDescent="0.3">
      <c r="A275" t="s">
        <v>601</v>
      </c>
    </row>
    <row r="276" spans="1:1" x14ac:dyDescent="0.3">
      <c r="A276" t="s">
        <v>602</v>
      </c>
    </row>
    <row r="277" spans="1:1" x14ac:dyDescent="0.3">
      <c r="A277" t="s">
        <v>603</v>
      </c>
    </row>
    <row r="278" spans="1:1" x14ac:dyDescent="0.3">
      <c r="A278" t="s">
        <v>672</v>
      </c>
    </row>
    <row r="279" spans="1:1" x14ac:dyDescent="0.3">
      <c r="A279" t="s">
        <v>624</v>
      </c>
    </row>
    <row r="280" spans="1:1" x14ac:dyDescent="0.3">
      <c r="A280" t="s">
        <v>657</v>
      </c>
    </row>
    <row r="281" spans="1:1" x14ac:dyDescent="0.3">
      <c r="A281" t="s">
        <v>626</v>
      </c>
    </row>
    <row r="282" spans="1:1" x14ac:dyDescent="0.3">
      <c r="A282" t="s">
        <v>627</v>
      </c>
    </row>
    <row r="283" spans="1:1" x14ac:dyDescent="0.3">
      <c r="A283" t="s">
        <v>628</v>
      </c>
    </row>
    <row r="284" spans="1:1" x14ac:dyDescent="0.3">
      <c r="A284" t="s">
        <v>673</v>
      </c>
    </row>
    <row r="285" spans="1:1" x14ac:dyDescent="0.3">
      <c r="A285" t="s">
        <v>674</v>
      </c>
    </row>
    <row r="286" spans="1:1" x14ac:dyDescent="0.3">
      <c r="A286" t="s">
        <v>675</v>
      </c>
    </row>
    <row r="287" spans="1:1" x14ac:dyDescent="0.3">
      <c r="A287" s="54" t="s">
        <v>634</v>
      </c>
    </row>
    <row r="288" spans="1:1" x14ac:dyDescent="0.3">
      <c r="A288" t="s">
        <v>635</v>
      </c>
    </row>
    <row r="289" spans="1:1" x14ac:dyDescent="0.3">
      <c r="A289" t="s">
        <v>636</v>
      </c>
    </row>
    <row r="290" spans="1:1" x14ac:dyDescent="0.3">
      <c r="A290" t="s">
        <v>637</v>
      </c>
    </row>
    <row r="291" spans="1:1" x14ac:dyDescent="0.3">
      <c r="A291" t="s">
        <v>638</v>
      </c>
    </row>
    <row r="292" spans="1:1" x14ac:dyDescent="0.3">
      <c r="A292" t="s">
        <v>639</v>
      </c>
    </row>
    <row r="293" spans="1:1" x14ac:dyDescent="0.3">
      <c r="A293" t="s">
        <v>676</v>
      </c>
    </row>
    <row r="294" spans="1:1" x14ac:dyDescent="0.3">
      <c r="A294" t="s">
        <v>677</v>
      </c>
    </row>
    <row r="295" spans="1:1" x14ac:dyDescent="0.3">
      <c r="A295" t="s">
        <v>678</v>
      </c>
    </row>
    <row r="296" spans="1:1" x14ac:dyDescent="0.3">
      <c r="A296" t="s">
        <v>679</v>
      </c>
    </row>
    <row r="297" spans="1:1" x14ac:dyDescent="0.3">
      <c r="A297" t="s">
        <v>594</v>
      </c>
    </row>
    <row r="298" spans="1:1" x14ac:dyDescent="0.3">
      <c r="A298" t="s">
        <v>595</v>
      </c>
    </row>
    <row r="299" spans="1:1" x14ac:dyDescent="0.3">
      <c r="A299" t="s">
        <v>596</v>
      </c>
    </row>
    <row r="300" spans="1:1" x14ac:dyDescent="0.3">
      <c r="A300" t="s">
        <v>597</v>
      </c>
    </row>
    <row r="301" spans="1:1" x14ac:dyDescent="0.3">
      <c r="A301" t="s">
        <v>598</v>
      </c>
    </row>
    <row r="302" spans="1:1" x14ac:dyDescent="0.3">
      <c r="A302" t="s">
        <v>599</v>
      </c>
    </row>
    <row r="303" spans="1:1" x14ac:dyDescent="0.3">
      <c r="A303" t="s">
        <v>600</v>
      </c>
    </row>
    <row r="304" spans="1:1" x14ac:dyDescent="0.3">
      <c r="A304" t="s">
        <v>680</v>
      </c>
    </row>
    <row r="305" spans="1:1" x14ac:dyDescent="0.3">
      <c r="A305" t="s">
        <v>602</v>
      </c>
    </row>
    <row r="306" spans="1:1" x14ac:dyDescent="0.3">
      <c r="A306" t="s">
        <v>603</v>
      </c>
    </row>
    <row r="307" spans="1:1" x14ac:dyDescent="0.3">
      <c r="A307" t="s">
        <v>665</v>
      </c>
    </row>
    <row r="308" spans="1:1" x14ac:dyDescent="0.3">
      <c r="A308" t="s">
        <v>624</v>
      </c>
    </row>
    <row r="309" spans="1:1" x14ac:dyDescent="0.3">
      <c r="A309" t="s">
        <v>651</v>
      </c>
    </row>
    <row r="310" spans="1:1" x14ac:dyDescent="0.3">
      <c r="A310" s="54" t="s">
        <v>626</v>
      </c>
    </row>
    <row r="311" spans="1:1" x14ac:dyDescent="0.3">
      <c r="A311" t="s">
        <v>627</v>
      </c>
    </row>
    <row r="312" spans="1:1" x14ac:dyDescent="0.3">
      <c r="A312" t="s">
        <v>628</v>
      </c>
    </row>
    <row r="313" spans="1:1" x14ac:dyDescent="0.3">
      <c r="A313" t="s">
        <v>652</v>
      </c>
    </row>
    <row r="314" spans="1:1" x14ac:dyDescent="0.3">
      <c r="A314" t="s">
        <v>673</v>
      </c>
    </row>
    <row r="315" spans="1:1" x14ac:dyDescent="0.3">
      <c r="A315" t="s">
        <v>681</v>
      </c>
    </row>
    <row r="316" spans="1:1" x14ac:dyDescent="0.3">
      <c r="A316" t="s">
        <v>682</v>
      </c>
    </row>
    <row r="317" spans="1:1" x14ac:dyDescent="0.3">
      <c r="A317" t="s">
        <v>634</v>
      </c>
    </row>
    <row r="318" spans="1:1" x14ac:dyDescent="0.3">
      <c r="A318" t="s">
        <v>635</v>
      </c>
    </row>
    <row r="319" spans="1:1" x14ac:dyDescent="0.3">
      <c r="A319" t="s">
        <v>636</v>
      </c>
    </row>
    <row r="320" spans="1:1" x14ac:dyDescent="0.3">
      <c r="A320" t="s">
        <v>637</v>
      </c>
    </row>
    <row r="321" spans="1:1" x14ac:dyDescent="0.3">
      <c r="A321" t="s">
        <v>638</v>
      </c>
    </row>
    <row r="322" spans="1:1" x14ac:dyDescent="0.3">
      <c r="A322" t="s">
        <v>639</v>
      </c>
    </row>
    <row r="323" spans="1:1" x14ac:dyDescent="0.3">
      <c r="A323" t="s">
        <v>683</v>
      </c>
    </row>
    <row r="324" spans="1:1" x14ac:dyDescent="0.3">
      <c r="A324" t="s">
        <v>684</v>
      </c>
    </row>
    <row r="325" spans="1:1" x14ac:dyDescent="0.3">
      <c r="A325" t="s">
        <v>678</v>
      </c>
    </row>
    <row r="326" spans="1:1" x14ac:dyDescent="0.3">
      <c r="A326" t="s">
        <v>593</v>
      </c>
    </row>
    <row r="327" spans="1:1" x14ac:dyDescent="0.3">
      <c r="A327" t="s">
        <v>594</v>
      </c>
    </row>
    <row r="328" spans="1:1" x14ac:dyDescent="0.3">
      <c r="A328" t="s">
        <v>595</v>
      </c>
    </row>
    <row r="329" spans="1:1" x14ac:dyDescent="0.3">
      <c r="A329" t="s">
        <v>596</v>
      </c>
    </row>
    <row r="330" spans="1:1" x14ac:dyDescent="0.3">
      <c r="A330" t="s">
        <v>597</v>
      </c>
    </row>
    <row r="331" spans="1:1" x14ac:dyDescent="0.3">
      <c r="A331" t="s">
        <v>598</v>
      </c>
    </row>
    <row r="332" spans="1:1" x14ac:dyDescent="0.3">
      <c r="A332" t="s">
        <v>599</v>
      </c>
    </row>
    <row r="333" spans="1:1" x14ac:dyDescent="0.3">
      <c r="A333" s="54" t="s">
        <v>600</v>
      </c>
    </row>
    <row r="334" spans="1:1" x14ac:dyDescent="0.3">
      <c r="A334" t="s">
        <v>601</v>
      </c>
    </row>
    <row r="335" spans="1:1" x14ac:dyDescent="0.3">
      <c r="A335" t="s">
        <v>602</v>
      </c>
    </row>
    <row r="336" spans="1:1" x14ac:dyDescent="0.3">
      <c r="A336" t="s">
        <v>603</v>
      </c>
    </row>
    <row r="337" spans="1:1" x14ac:dyDescent="0.3">
      <c r="A337" t="s">
        <v>685</v>
      </c>
    </row>
    <row r="338" spans="1:1" x14ac:dyDescent="0.3">
      <c r="A338" t="s">
        <v>686</v>
      </c>
    </row>
    <row r="339" spans="1:1" x14ac:dyDescent="0.3">
      <c r="A339" t="s">
        <v>651</v>
      </c>
    </row>
    <row r="340" spans="1:1" x14ac:dyDescent="0.3">
      <c r="A340" t="s">
        <v>626</v>
      </c>
    </row>
    <row r="341" spans="1:1" x14ac:dyDescent="0.3">
      <c r="A341" t="s">
        <v>627</v>
      </c>
    </row>
    <row r="342" spans="1:1" x14ac:dyDescent="0.3">
      <c r="A342" t="s">
        <v>628</v>
      </c>
    </row>
    <row r="343" spans="1:1" x14ac:dyDescent="0.3">
      <c r="A343" t="s">
        <v>681</v>
      </c>
    </row>
    <row r="344" spans="1:1" x14ac:dyDescent="0.3">
      <c r="A344" t="s">
        <v>667</v>
      </c>
    </row>
    <row r="345" spans="1:1" x14ac:dyDescent="0.3">
      <c r="A345" t="s">
        <v>634</v>
      </c>
    </row>
    <row r="346" spans="1:1" x14ac:dyDescent="0.3">
      <c r="A346" t="s">
        <v>635</v>
      </c>
    </row>
    <row r="347" spans="1:1" x14ac:dyDescent="0.3">
      <c r="A347" t="s">
        <v>636</v>
      </c>
    </row>
    <row r="348" spans="1:1" x14ac:dyDescent="0.3">
      <c r="A348" t="s">
        <v>637</v>
      </c>
    </row>
    <row r="349" spans="1:1" x14ac:dyDescent="0.3">
      <c r="A349" t="s">
        <v>638</v>
      </c>
    </row>
    <row r="350" spans="1:1" x14ac:dyDescent="0.3">
      <c r="A350" t="s">
        <v>639</v>
      </c>
    </row>
    <row r="351" spans="1:1" x14ac:dyDescent="0.3">
      <c r="A351" t="s">
        <v>687</v>
      </c>
    </row>
    <row r="352" spans="1:1" x14ac:dyDescent="0.3">
      <c r="A352" t="s">
        <v>688</v>
      </c>
    </row>
    <row r="353" spans="1:1" x14ac:dyDescent="0.3">
      <c r="A353" t="s">
        <v>620</v>
      </c>
    </row>
    <row r="354" spans="1:1" x14ac:dyDescent="0.3">
      <c r="A354" t="s">
        <v>621</v>
      </c>
    </row>
    <row r="355" spans="1:1" x14ac:dyDescent="0.3">
      <c r="A355" t="s">
        <v>649</v>
      </c>
    </row>
    <row r="356" spans="1:1" x14ac:dyDescent="0.3">
      <c r="A356" t="s">
        <v>595</v>
      </c>
    </row>
    <row r="357" spans="1:1" x14ac:dyDescent="0.3">
      <c r="A357" t="s">
        <v>596</v>
      </c>
    </row>
    <row r="358" spans="1:1" x14ac:dyDescent="0.3">
      <c r="A358" t="s">
        <v>597</v>
      </c>
    </row>
    <row r="359" spans="1:1" x14ac:dyDescent="0.3">
      <c r="A359" t="s">
        <v>598</v>
      </c>
    </row>
    <row r="360" spans="1:1" x14ac:dyDescent="0.3">
      <c r="A360" t="s">
        <v>599</v>
      </c>
    </row>
    <row r="361" spans="1:1" x14ac:dyDescent="0.3">
      <c r="A361" t="s">
        <v>600</v>
      </c>
    </row>
    <row r="362" spans="1:1" x14ac:dyDescent="0.3">
      <c r="A362" s="54" t="s">
        <v>601</v>
      </c>
    </row>
    <row r="363" spans="1:1" x14ac:dyDescent="0.3">
      <c r="A363" t="s">
        <v>602</v>
      </c>
    </row>
    <row r="364" spans="1:1" x14ac:dyDescent="0.3">
      <c r="A364" t="s">
        <v>603</v>
      </c>
    </row>
    <row r="365" spans="1:1" x14ac:dyDescent="0.3">
      <c r="A365" t="s">
        <v>623</v>
      </c>
    </row>
    <row r="366" spans="1:1" x14ac:dyDescent="0.3">
      <c r="A366" t="s">
        <v>650</v>
      </c>
    </row>
    <row r="367" spans="1:1" x14ac:dyDescent="0.3">
      <c r="A367" t="s">
        <v>651</v>
      </c>
    </row>
    <row r="368" spans="1:1" x14ac:dyDescent="0.3">
      <c r="A368" t="s">
        <v>626</v>
      </c>
    </row>
    <row r="369" spans="1:1" x14ac:dyDescent="0.3">
      <c r="A369" t="s">
        <v>627</v>
      </c>
    </row>
    <row r="370" spans="1:1" x14ac:dyDescent="0.3">
      <c r="A370" t="s">
        <v>628</v>
      </c>
    </row>
    <row r="371" spans="1:1" x14ac:dyDescent="0.3">
      <c r="A371" t="s">
        <v>632</v>
      </c>
    </row>
    <row r="372" spans="1:1" x14ac:dyDescent="0.3">
      <c r="A372" t="s">
        <v>689</v>
      </c>
    </row>
    <row r="373" spans="1:1" x14ac:dyDescent="0.3">
      <c r="A373" t="s">
        <v>634</v>
      </c>
    </row>
    <row r="374" spans="1:1" x14ac:dyDescent="0.3">
      <c r="A374" t="s">
        <v>635</v>
      </c>
    </row>
    <row r="375" spans="1:1" x14ac:dyDescent="0.3">
      <c r="A375" t="s">
        <v>636</v>
      </c>
    </row>
    <row r="376" spans="1:1" x14ac:dyDescent="0.3">
      <c r="A376" t="s">
        <v>637</v>
      </c>
    </row>
    <row r="377" spans="1:1" x14ac:dyDescent="0.3">
      <c r="A377" t="s">
        <v>638</v>
      </c>
    </row>
    <row r="378" spans="1:1" x14ac:dyDescent="0.3">
      <c r="A378" s="54" t="s">
        <v>639</v>
      </c>
    </row>
    <row r="379" spans="1:1" x14ac:dyDescent="0.3">
      <c r="A379" t="s">
        <v>690</v>
      </c>
    </row>
    <row r="380" spans="1:1" x14ac:dyDescent="0.3">
      <c r="A380" t="s">
        <v>691</v>
      </c>
    </row>
    <row r="381" spans="1:1" x14ac:dyDescent="0.3">
      <c r="A381" t="s">
        <v>692</v>
      </c>
    </row>
    <row r="382" spans="1:1" x14ac:dyDescent="0.3">
      <c r="A382" t="s">
        <v>670</v>
      </c>
    </row>
    <row r="383" spans="1:1" x14ac:dyDescent="0.3">
      <c r="A383" t="s">
        <v>664</v>
      </c>
    </row>
    <row r="384" spans="1:1" x14ac:dyDescent="0.3">
      <c r="A384" t="s">
        <v>595</v>
      </c>
    </row>
    <row r="385" spans="1:1" x14ac:dyDescent="0.3">
      <c r="A385" t="s">
        <v>596</v>
      </c>
    </row>
    <row r="386" spans="1:1" x14ac:dyDescent="0.3">
      <c r="A386" t="s">
        <v>597</v>
      </c>
    </row>
    <row r="387" spans="1:1" x14ac:dyDescent="0.3">
      <c r="A387" t="s">
        <v>598</v>
      </c>
    </row>
    <row r="388" spans="1:1" x14ac:dyDescent="0.3">
      <c r="A388" t="s">
        <v>599</v>
      </c>
    </row>
    <row r="389" spans="1:1" x14ac:dyDescent="0.3">
      <c r="A389" t="s">
        <v>600</v>
      </c>
    </row>
    <row r="390" spans="1:1" x14ac:dyDescent="0.3">
      <c r="A390" t="s">
        <v>601</v>
      </c>
    </row>
    <row r="391" spans="1:1" x14ac:dyDescent="0.3">
      <c r="A391" t="s">
        <v>602</v>
      </c>
    </row>
    <row r="392" spans="1:1" x14ac:dyDescent="0.3">
      <c r="A392" t="s">
        <v>603</v>
      </c>
    </row>
    <row r="393" spans="1:1" x14ac:dyDescent="0.3">
      <c r="A393" t="s">
        <v>643</v>
      </c>
    </row>
    <row r="394" spans="1:1" x14ac:dyDescent="0.3">
      <c r="A394" t="s">
        <v>693</v>
      </c>
    </row>
    <row r="395" spans="1:1" x14ac:dyDescent="0.3">
      <c r="A395" t="s">
        <v>694</v>
      </c>
    </row>
    <row r="396" spans="1:1" x14ac:dyDescent="0.3">
      <c r="A396" t="s">
        <v>695</v>
      </c>
    </row>
    <row r="397" spans="1:1" x14ac:dyDescent="0.3">
      <c r="A397" t="s">
        <v>696</v>
      </c>
    </row>
    <row r="398" spans="1:1" x14ac:dyDescent="0.3">
      <c r="A398" t="s">
        <v>697</v>
      </c>
    </row>
    <row r="399" spans="1:1" x14ac:dyDescent="0.3">
      <c r="A399" t="s">
        <v>698</v>
      </c>
    </row>
    <row r="400" spans="1:1" x14ac:dyDescent="0.3">
      <c r="A400" t="s">
        <v>699</v>
      </c>
    </row>
    <row r="401" spans="1:1" x14ac:dyDescent="0.3">
      <c r="A401" t="s">
        <v>700</v>
      </c>
    </row>
    <row r="402" spans="1:1" x14ac:dyDescent="0.3">
      <c r="A402" s="54" t="s">
        <v>629</v>
      </c>
    </row>
    <row r="403" spans="1:1" x14ac:dyDescent="0.3">
      <c r="A403" t="s">
        <v>630</v>
      </c>
    </row>
    <row r="404" spans="1:1" x14ac:dyDescent="0.3">
      <c r="A404" t="s">
        <v>631</v>
      </c>
    </row>
    <row r="405" spans="1:1" x14ac:dyDescent="0.3">
      <c r="A405" t="s">
        <v>701</v>
      </c>
    </row>
    <row r="406" spans="1:1" x14ac:dyDescent="0.3">
      <c r="A406" t="s">
        <v>702</v>
      </c>
    </row>
    <row r="407" spans="1:1" x14ac:dyDescent="0.3">
      <c r="A407" t="s">
        <v>634</v>
      </c>
    </row>
    <row r="408" spans="1:1" x14ac:dyDescent="0.3">
      <c r="A408" t="s">
        <v>635</v>
      </c>
    </row>
    <row r="409" spans="1:1" x14ac:dyDescent="0.3">
      <c r="A409" t="s">
        <v>636</v>
      </c>
    </row>
    <row r="410" spans="1:1" x14ac:dyDescent="0.3">
      <c r="A410" t="s">
        <v>637</v>
      </c>
    </row>
    <row r="411" spans="1:1" x14ac:dyDescent="0.3">
      <c r="A411" t="s">
        <v>638</v>
      </c>
    </row>
    <row r="412" spans="1:1" x14ac:dyDescent="0.3">
      <c r="A412" t="s">
        <v>639</v>
      </c>
    </row>
    <row r="413" spans="1:1" x14ac:dyDescent="0.3">
      <c r="A413" t="s">
        <v>703</v>
      </c>
    </row>
    <row r="414" spans="1:1" x14ac:dyDescent="0.3">
      <c r="A414" t="s">
        <v>704</v>
      </c>
    </row>
    <row r="415" spans="1:1" x14ac:dyDescent="0.3">
      <c r="A415" t="s">
        <v>620</v>
      </c>
    </row>
    <row r="416" spans="1:1" x14ac:dyDescent="0.3">
      <c r="A416" t="s">
        <v>679</v>
      </c>
    </row>
    <row r="417" spans="1:1" x14ac:dyDescent="0.3">
      <c r="A417" t="s">
        <v>705</v>
      </c>
    </row>
    <row r="418" spans="1:1" x14ac:dyDescent="0.3">
      <c r="A418" t="s">
        <v>706</v>
      </c>
    </row>
    <row r="419" spans="1:1" x14ac:dyDescent="0.3">
      <c r="A419" t="s">
        <v>707</v>
      </c>
    </row>
    <row r="420" spans="1:1" x14ac:dyDescent="0.3">
      <c r="A420" t="s">
        <v>708</v>
      </c>
    </row>
    <row r="421" spans="1:1" x14ac:dyDescent="0.3">
      <c r="A421" t="s">
        <v>709</v>
      </c>
    </row>
    <row r="422" spans="1:1" x14ac:dyDescent="0.3">
      <c r="A422" t="s">
        <v>710</v>
      </c>
    </row>
    <row r="423" spans="1:1" x14ac:dyDescent="0.3">
      <c r="A423" t="s">
        <v>600</v>
      </c>
    </row>
    <row r="424" spans="1:1" x14ac:dyDescent="0.3">
      <c r="A424" t="s">
        <v>711</v>
      </c>
    </row>
    <row r="425" spans="1:1" x14ac:dyDescent="0.3">
      <c r="A425" t="s">
        <v>712</v>
      </c>
    </row>
    <row r="426" spans="1:1" x14ac:dyDescent="0.3">
      <c r="A426" t="s">
        <v>713</v>
      </c>
    </row>
    <row r="427" spans="1:1" x14ac:dyDescent="0.3">
      <c r="A427" s="54" t="s">
        <v>672</v>
      </c>
    </row>
    <row r="428" spans="1:1" x14ac:dyDescent="0.3">
      <c r="A428" t="s">
        <v>714</v>
      </c>
    </row>
    <row r="429" spans="1:1" x14ac:dyDescent="0.3">
      <c r="A429" t="s">
        <v>715</v>
      </c>
    </row>
    <row r="430" spans="1:1" x14ac:dyDescent="0.3">
      <c r="A430" t="s">
        <v>716</v>
      </c>
    </row>
    <row r="431" spans="1:1" x14ac:dyDescent="0.3">
      <c r="A431" t="s">
        <v>717</v>
      </c>
    </row>
    <row r="432" spans="1:1" x14ac:dyDescent="0.3">
      <c r="A432" t="s">
        <v>718</v>
      </c>
    </row>
    <row r="433" spans="1:1" x14ac:dyDescent="0.3">
      <c r="A433" t="s">
        <v>719</v>
      </c>
    </row>
    <row r="434" spans="1:1" x14ac:dyDescent="0.3">
      <c r="A434" t="s">
        <v>720</v>
      </c>
    </row>
    <row r="435" spans="1:1" x14ac:dyDescent="0.3">
      <c r="A435" t="s">
        <v>721</v>
      </c>
    </row>
    <row r="436" spans="1:1" x14ac:dyDescent="0.3">
      <c r="A436" t="s">
        <v>620</v>
      </c>
    </row>
    <row r="437" spans="1:1" x14ac:dyDescent="0.3">
      <c r="A437" t="s">
        <v>621</v>
      </c>
    </row>
    <row r="438" spans="1:1" x14ac:dyDescent="0.3">
      <c r="A438" t="s">
        <v>642</v>
      </c>
    </row>
    <row r="439" spans="1:1" x14ac:dyDescent="0.3">
      <c r="A439" t="s">
        <v>722</v>
      </c>
    </row>
    <row r="440" spans="1:1" x14ac:dyDescent="0.3">
      <c r="A440" t="s">
        <v>596</v>
      </c>
    </row>
    <row r="441" spans="1:1" x14ac:dyDescent="0.3">
      <c r="A441" t="s">
        <v>723</v>
      </c>
    </row>
    <row r="442" spans="1:1" x14ac:dyDescent="0.3">
      <c r="A442" t="s">
        <v>598</v>
      </c>
    </row>
    <row r="443" spans="1:1" x14ac:dyDescent="0.3">
      <c r="A443" t="s">
        <v>599</v>
      </c>
    </row>
    <row r="444" spans="1:1" x14ac:dyDescent="0.3">
      <c r="A444" t="s">
        <v>600</v>
      </c>
    </row>
    <row r="445" spans="1:1" x14ac:dyDescent="0.3">
      <c r="A445" t="s">
        <v>601</v>
      </c>
    </row>
    <row r="446" spans="1:1" x14ac:dyDescent="0.3">
      <c r="A446" t="s">
        <v>602</v>
      </c>
    </row>
    <row r="447" spans="1:1" x14ac:dyDescent="0.3">
      <c r="A447" t="s">
        <v>603</v>
      </c>
    </row>
    <row r="448" spans="1:1" x14ac:dyDescent="0.3">
      <c r="A448" t="s">
        <v>643</v>
      </c>
    </row>
    <row r="449" spans="1:1" x14ac:dyDescent="0.3">
      <c r="A449" t="s">
        <v>650</v>
      </c>
    </row>
    <row r="450" spans="1:1" x14ac:dyDescent="0.3">
      <c r="A450" t="s">
        <v>724</v>
      </c>
    </row>
    <row r="451" spans="1:1" x14ac:dyDescent="0.3">
      <c r="A451" t="s">
        <v>725</v>
      </c>
    </row>
    <row r="452" spans="1:1" x14ac:dyDescent="0.3">
      <c r="A452" s="54" t="s">
        <v>726</v>
      </c>
    </row>
    <row r="453" spans="1:1" x14ac:dyDescent="0.3">
      <c r="A453" t="s">
        <v>727</v>
      </c>
    </row>
    <row r="454" spans="1:1" x14ac:dyDescent="0.3">
      <c r="A454" t="s">
        <v>728</v>
      </c>
    </row>
    <row r="455" spans="1:1" x14ac:dyDescent="0.3">
      <c r="A455" t="s">
        <v>673</v>
      </c>
    </row>
    <row r="456" spans="1:1" x14ac:dyDescent="0.3">
      <c r="A456" t="s">
        <v>729</v>
      </c>
    </row>
    <row r="457" spans="1:1" x14ac:dyDescent="0.3">
      <c r="A457" t="s">
        <v>634</v>
      </c>
    </row>
    <row r="458" spans="1:1" x14ac:dyDescent="0.3">
      <c r="A458" t="s">
        <v>635</v>
      </c>
    </row>
    <row r="459" spans="1:1" x14ac:dyDescent="0.3">
      <c r="A459" t="s">
        <v>636</v>
      </c>
    </row>
    <row r="460" spans="1:1" x14ac:dyDescent="0.3">
      <c r="A460" t="s">
        <v>637</v>
      </c>
    </row>
    <row r="461" spans="1:1" x14ac:dyDescent="0.3">
      <c r="A461" t="s">
        <v>638</v>
      </c>
    </row>
    <row r="462" spans="1:1" x14ac:dyDescent="0.3">
      <c r="A462" t="s">
        <v>639</v>
      </c>
    </row>
    <row r="463" spans="1:1" x14ac:dyDescent="0.3">
      <c r="A463" t="s">
        <v>730</v>
      </c>
    </row>
    <row r="464" spans="1:1" x14ac:dyDescent="0.3">
      <c r="A464" t="s">
        <v>731</v>
      </c>
    </row>
    <row r="465" spans="1:1" x14ac:dyDescent="0.3">
      <c r="A465" t="s">
        <v>620</v>
      </c>
    </row>
    <row r="466" spans="1:1" x14ac:dyDescent="0.3">
      <c r="A466" t="s">
        <v>670</v>
      </c>
    </row>
    <row r="467" spans="1:1" x14ac:dyDescent="0.3">
      <c r="A467" t="s">
        <v>732</v>
      </c>
    </row>
    <row r="468" spans="1:1" x14ac:dyDescent="0.3">
      <c r="A468" t="s">
        <v>595</v>
      </c>
    </row>
    <row r="469" spans="1:1" x14ac:dyDescent="0.3">
      <c r="A469" t="s">
        <v>596</v>
      </c>
    </row>
    <row r="470" spans="1:1" x14ac:dyDescent="0.3">
      <c r="A470" t="s">
        <v>597</v>
      </c>
    </row>
    <row r="471" spans="1:1" x14ac:dyDescent="0.3">
      <c r="A471" t="s">
        <v>598</v>
      </c>
    </row>
    <row r="472" spans="1:1" x14ac:dyDescent="0.3">
      <c r="A472" t="s">
        <v>599</v>
      </c>
    </row>
    <row r="473" spans="1:1" x14ac:dyDescent="0.3">
      <c r="A473" t="s">
        <v>600</v>
      </c>
    </row>
    <row r="474" spans="1:1" x14ac:dyDescent="0.3">
      <c r="A474" t="s">
        <v>601</v>
      </c>
    </row>
    <row r="475" spans="1:1" x14ac:dyDescent="0.3">
      <c r="A475" t="s">
        <v>602</v>
      </c>
    </row>
    <row r="476" spans="1:1" x14ac:dyDescent="0.3">
      <c r="A476" t="s">
        <v>603</v>
      </c>
    </row>
    <row r="477" spans="1:1" x14ac:dyDescent="0.3">
      <c r="A477" t="s">
        <v>665</v>
      </c>
    </row>
    <row r="478" spans="1:1" x14ac:dyDescent="0.3">
      <c r="A478" t="s">
        <v>650</v>
      </c>
    </row>
    <row r="479" spans="1:1" x14ac:dyDescent="0.3">
      <c r="A479" s="54" t="s">
        <v>724</v>
      </c>
    </row>
    <row r="480" spans="1:1" x14ac:dyDescent="0.3">
      <c r="A480" t="s">
        <v>733</v>
      </c>
    </row>
    <row r="481" spans="1:1" x14ac:dyDescent="0.3">
      <c r="A481" t="s">
        <v>734</v>
      </c>
    </row>
    <row r="482" spans="1:1" x14ac:dyDescent="0.3">
      <c r="A482" t="s">
        <v>735</v>
      </c>
    </row>
    <row r="483" spans="1:1" x14ac:dyDescent="0.3">
      <c r="A483" t="s">
        <v>630</v>
      </c>
    </row>
    <row r="484" spans="1:1" x14ac:dyDescent="0.3">
      <c r="A484" t="s">
        <v>644</v>
      </c>
    </row>
    <row r="485" spans="1:1" x14ac:dyDescent="0.3">
      <c r="A485" t="s">
        <v>736</v>
      </c>
    </row>
    <row r="486" spans="1:1" x14ac:dyDescent="0.3">
      <c r="A486" t="s">
        <v>682</v>
      </c>
    </row>
    <row r="487" spans="1:1" x14ac:dyDescent="0.3">
      <c r="A487" t="s">
        <v>634</v>
      </c>
    </row>
    <row r="488" spans="1:1" x14ac:dyDescent="0.3">
      <c r="A488" t="s">
        <v>635</v>
      </c>
    </row>
    <row r="489" spans="1:1" x14ac:dyDescent="0.3">
      <c r="A489" t="s">
        <v>636</v>
      </c>
    </row>
    <row r="490" spans="1:1" x14ac:dyDescent="0.3">
      <c r="A490" t="s">
        <v>637</v>
      </c>
    </row>
    <row r="491" spans="1:1" x14ac:dyDescent="0.3">
      <c r="A491" t="s">
        <v>638</v>
      </c>
    </row>
    <row r="492" spans="1:1" x14ac:dyDescent="0.3">
      <c r="A492" t="s">
        <v>639</v>
      </c>
    </row>
    <row r="493" spans="1:1" x14ac:dyDescent="0.3">
      <c r="A493" t="s">
        <v>737</v>
      </c>
    </row>
    <row r="494" spans="1:1" x14ac:dyDescent="0.3">
      <c r="A494" t="s">
        <v>738</v>
      </c>
    </row>
    <row r="495" spans="1:1" x14ac:dyDescent="0.3">
      <c r="A495" t="s">
        <v>620</v>
      </c>
    </row>
    <row r="496" spans="1:1" x14ac:dyDescent="0.3">
      <c r="A496" t="s">
        <v>670</v>
      </c>
    </row>
    <row r="497" spans="1:1" x14ac:dyDescent="0.3">
      <c r="A497" t="s">
        <v>732</v>
      </c>
    </row>
    <row r="498" spans="1:1" x14ac:dyDescent="0.3">
      <c r="A498" t="s">
        <v>595</v>
      </c>
    </row>
    <row r="499" spans="1:1" x14ac:dyDescent="0.3">
      <c r="A499" t="s">
        <v>596</v>
      </c>
    </row>
    <row r="500" spans="1:1" x14ac:dyDescent="0.3">
      <c r="A500" t="s">
        <v>597</v>
      </c>
    </row>
    <row r="501" spans="1:1" x14ac:dyDescent="0.3">
      <c r="A501" t="s">
        <v>598</v>
      </c>
    </row>
    <row r="502" spans="1:1" x14ac:dyDescent="0.3">
      <c r="A502" t="s">
        <v>599</v>
      </c>
    </row>
    <row r="503" spans="1:1" x14ac:dyDescent="0.3">
      <c r="A503" t="s">
        <v>600</v>
      </c>
    </row>
    <row r="504" spans="1:1" x14ac:dyDescent="0.3">
      <c r="A504" s="54" t="s">
        <v>601</v>
      </c>
    </row>
    <row r="505" spans="1:1" x14ac:dyDescent="0.3">
      <c r="A505" t="s">
        <v>602</v>
      </c>
    </row>
    <row r="506" spans="1:1" x14ac:dyDescent="0.3">
      <c r="A506" t="s">
        <v>603</v>
      </c>
    </row>
    <row r="507" spans="1:1" x14ac:dyDescent="0.3">
      <c r="A507" t="s">
        <v>665</v>
      </c>
    </row>
    <row r="508" spans="1:1" x14ac:dyDescent="0.3">
      <c r="A508" t="s">
        <v>650</v>
      </c>
    </row>
    <row r="509" spans="1:1" x14ac:dyDescent="0.3">
      <c r="A509" t="s">
        <v>724</v>
      </c>
    </row>
    <row r="510" spans="1:1" x14ac:dyDescent="0.3">
      <c r="A510" t="s">
        <v>733</v>
      </c>
    </row>
    <row r="511" spans="1:1" x14ac:dyDescent="0.3">
      <c r="A511" t="s">
        <v>734</v>
      </c>
    </row>
    <row r="512" spans="1:1" x14ac:dyDescent="0.3">
      <c r="A512" t="s">
        <v>735</v>
      </c>
    </row>
    <row r="513" spans="1:1" x14ac:dyDescent="0.3">
      <c r="A513" t="s">
        <v>630</v>
      </c>
    </row>
    <row r="514" spans="1:1" x14ac:dyDescent="0.3">
      <c r="A514" t="s">
        <v>644</v>
      </c>
    </row>
    <row r="515" spans="1:1" x14ac:dyDescent="0.3">
      <c r="A515" t="s">
        <v>736</v>
      </c>
    </row>
    <row r="516" spans="1:1" x14ac:dyDescent="0.3">
      <c r="A516" t="s">
        <v>682</v>
      </c>
    </row>
    <row r="517" spans="1:1" x14ac:dyDescent="0.3">
      <c r="A517" t="s">
        <v>634</v>
      </c>
    </row>
    <row r="518" spans="1:1" x14ac:dyDescent="0.3">
      <c r="A518" t="s">
        <v>635</v>
      </c>
    </row>
    <row r="519" spans="1:1" x14ac:dyDescent="0.3">
      <c r="A519" t="s">
        <v>636</v>
      </c>
    </row>
    <row r="520" spans="1:1" x14ac:dyDescent="0.3">
      <c r="A520" t="s">
        <v>637</v>
      </c>
    </row>
    <row r="521" spans="1:1" x14ac:dyDescent="0.3">
      <c r="A521" t="s">
        <v>638</v>
      </c>
    </row>
    <row r="522" spans="1:1" x14ac:dyDescent="0.3">
      <c r="A522" t="s">
        <v>639</v>
      </c>
    </row>
    <row r="523" spans="1:1" x14ac:dyDescent="0.3">
      <c r="A523" t="s">
        <v>739</v>
      </c>
    </row>
    <row r="524" spans="1:1" x14ac:dyDescent="0.3">
      <c r="A524" t="s">
        <v>740</v>
      </c>
    </row>
    <row r="525" spans="1:1" x14ac:dyDescent="0.3">
      <c r="A525" t="s">
        <v>678</v>
      </c>
    </row>
    <row r="526" spans="1:1" x14ac:dyDescent="0.3">
      <c r="A526" t="s">
        <v>593</v>
      </c>
    </row>
    <row r="527" spans="1:1" x14ac:dyDescent="0.3">
      <c r="A527" s="54" t="s">
        <v>594</v>
      </c>
    </row>
    <row r="528" spans="1:1" x14ac:dyDescent="0.3">
      <c r="A528" t="s">
        <v>722</v>
      </c>
    </row>
    <row r="529" spans="1:1" x14ac:dyDescent="0.3">
      <c r="A529" t="s">
        <v>596</v>
      </c>
    </row>
    <row r="530" spans="1:1" x14ac:dyDescent="0.3">
      <c r="A530" t="s">
        <v>597</v>
      </c>
    </row>
    <row r="531" spans="1:1" x14ac:dyDescent="0.3">
      <c r="A531" t="s">
        <v>598</v>
      </c>
    </row>
    <row r="532" spans="1:1" x14ac:dyDescent="0.3">
      <c r="A532" t="s">
        <v>741</v>
      </c>
    </row>
    <row r="533" spans="1:1" x14ac:dyDescent="0.3">
      <c r="A533" t="s">
        <v>600</v>
      </c>
    </row>
    <row r="534" spans="1:1" x14ac:dyDescent="0.3">
      <c r="A534" t="s">
        <v>711</v>
      </c>
    </row>
    <row r="535" spans="1:1" x14ac:dyDescent="0.3">
      <c r="A535" t="s">
        <v>602</v>
      </c>
    </row>
    <row r="536" spans="1:1" x14ac:dyDescent="0.3">
      <c r="A536" t="s">
        <v>603</v>
      </c>
    </row>
    <row r="537" spans="1:1" x14ac:dyDescent="0.3">
      <c r="A537" t="s">
        <v>604</v>
      </c>
    </row>
    <row r="538" spans="1:1" x14ac:dyDescent="0.3">
      <c r="A538" t="s">
        <v>742</v>
      </c>
    </row>
    <row r="539" spans="1:1" x14ac:dyDescent="0.3">
      <c r="A539" t="s">
        <v>743</v>
      </c>
    </row>
    <row r="540" spans="1:1" x14ac:dyDescent="0.3">
      <c r="A540" t="s">
        <v>744</v>
      </c>
    </row>
    <row r="541" spans="1:1" x14ac:dyDescent="0.3">
      <c r="A541" t="s">
        <v>745</v>
      </c>
    </row>
    <row r="542" spans="1:1" x14ac:dyDescent="0.3">
      <c r="A542" t="s">
        <v>746</v>
      </c>
    </row>
    <row r="543" spans="1:1" x14ac:dyDescent="0.3">
      <c r="A543" t="s">
        <v>747</v>
      </c>
    </row>
    <row r="544" spans="1:1" x14ac:dyDescent="0.3">
      <c r="A544" t="s">
        <v>629</v>
      </c>
    </row>
    <row r="545" spans="1:1" x14ac:dyDescent="0.3">
      <c r="A545" t="s">
        <v>748</v>
      </c>
    </row>
    <row r="546" spans="1:1" x14ac:dyDescent="0.3">
      <c r="A546" t="s">
        <v>749</v>
      </c>
    </row>
    <row r="547" spans="1:1" x14ac:dyDescent="0.3">
      <c r="A547" t="s">
        <v>750</v>
      </c>
    </row>
    <row r="548" spans="1:1" x14ac:dyDescent="0.3">
      <c r="A548" s="54" t="s">
        <v>729</v>
      </c>
    </row>
    <row r="549" spans="1:1" x14ac:dyDescent="0.3">
      <c r="A549" t="s">
        <v>751</v>
      </c>
    </row>
    <row r="550" spans="1:1" x14ac:dyDescent="0.3">
      <c r="A550" t="s">
        <v>752</v>
      </c>
    </row>
    <row r="551" spans="1:1" x14ac:dyDescent="0.3">
      <c r="A551" t="s">
        <v>753</v>
      </c>
    </row>
    <row r="552" spans="1:1" x14ac:dyDescent="0.3">
      <c r="A552" t="s">
        <v>754</v>
      </c>
    </row>
    <row r="553" spans="1:1" x14ac:dyDescent="0.3">
      <c r="A553" t="s">
        <v>755</v>
      </c>
    </row>
    <row r="554" spans="1:1" x14ac:dyDescent="0.3">
      <c r="A554" t="s">
        <v>756</v>
      </c>
    </row>
    <row r="555" spans="1:1" x14ac:dyDescent="0.3">
      <c r="A555" t="s">
        <v>757</v>
      </c>
    </row>
    <row r="556" spans="1:1" x14ac:dyDescent="0.3">
      <c r="A556" t="s">
        <v>758</v>
      </c>
    </row>
    <row r="557" spans="1:1" x14ac:dyDescent="0.3">
      <c r="A557" t="s">
        <v>678</v>
      </c>
    </row>
    <row r="558" spans="1:1" x14ac:dyDescent="0.3">
      <c r="A558" t="s">
        <v>621</v>
      </c>
    </row>
    <row r="559" spans="1:1" x14ac:dyDescent="0.3">
      <c r="A559" t="s">
        <v>649</v>
      </c>
    </row>
    <row r="560" spans="1:1" x14ac:dyDescent="0.3">
      <c r="A560" t="s">
        <v>595</v>
      </c>
    </row>
    <row r="561" spans="1:1" x14ac:dyDescent="0.3">
      <c r="A561" t="s">
        <v>596</v>
      </c>
    </row>
    <row r="562" spans="1:1" x14ac:dyDescent="0.3">
      <c r="A562" t="s">
        <v>597</v>
      </c>
    </row>
    <row r="563" spans="1:1" x14ac:dyDescent="0.3">
      <c r="A563" t="s">
        <v>598</v>
      </c>
    </row>
    <row r="564" spans="1:1" x14ac:dyDescent="0.3">
      <c r="A564" t="s">
        <v>599</v>
      </c>
    </row>
    <row r="565" spans="1:1" x14ac:dyDescent="0.3">
      <c r="A565" t="s">
        <v>600</v>
      </c>
    </row>
    <row r="566" spans="1:1" x14ac:dyDescent="0.3">
      <c r="A566" t="s">
        <v>601</v>
      </c>
    </row>
    <row r="567" spans="1:1" x14ac:dyDescent="0.3">
      <c r="A567" t="s">
        <v>602</v>
      </c>
    </row>
    <row r="568" spans="1:1" x14ac:dyDescent="0.3">
      <c r="A568" t="s">
        <v>603</v>
      </c>
    </row>
    <row r="569" spans="1:1" x14ac:dyDescent="0.3">
      <c r="A569" t="s">
        <v>665</v>
      </c>
    </row>
    <row r="570" spans="1:1" x14ac:dyDescent="0.3">
      <c r="A570" t="s">
        <v>624</v>
      </c>
    </row>
    <row r="571" spans="1:1" x14ac:dyDescent="0.3">
      <c r="A571" t="s">
        <v>696</v>
      </c>
    </row>
    <row r="572" spans="1:1" x14ac:dyDescent="0.3">
      <c r="A572" t="s">
        <v>697</v>
      </c>
    </row>
    <row r="573" spans="1:1" x14ac:dyDescent="0.3">
      <c r="A573" t="s">
        <v>626</v>
      </c>
    </row>
    <row r="574" spans="1:1" x14ac:dyDescent="0.3">
      <c r="A574" t="s">
        <v>627</v>
      </c>
    </row>
    <row r="575" spans="1:1" x14ac:dyDescent="0.3">
      <c r="A575" t="s">
        <v>628</v>
      </c>
    </row>
    <row r="576" spans="1:1" x14ac:dyDescent="0.3">
      <c r="A576" t="s">
        <v>630</v>
      </c>
    </row>
    <row r="577" spans="1:1" x14ac:dyDescent="0.3">
      <c r="A577" s="54" t="s">
        <v>749</v>
      </c>
    </row>
    <row r="578" spans="1:1" x14ac:dyDescent="0.3">
      <c r="A578" t="s">
        <v>759</v>
      </c>
    </row>
    <row r="579" spans="1:1" x14ac:dyDescent="0.3">
      <c r="A579" t="s">
        <v>634</v>
      </c>
    </row>
    <row r="580" spans="1:1" x14ac:dyDescent="0.3">
      <c r="A580" t="s">
        <v>635</v>
      </c>
    </row>
    <row r="581" spans="1:1" x14ac:dyDescent="0.3">
      <c r="A581" t="s">
        <v>636</v>
      </c>
    </row>
    <row r="582" spans="1:1" x14ac:dyDescent="0.3">
      <c r="A582" t="s">
        <v>637</v>
      </c>
    </row>
    <row r="583" spans="1:1" x14ac:dyDescent="0.3">
      <c r="A583" t="s">
        <v>638</v>
      </c>
    </row>
    <row r="584" spans="1:1" x14ac:dyDescent="0.3">
      <c r="A584" t="s">
        <v>639</v>
      </c>
    </row>
    <row r="585" spans="1:1" x14ac:dyDescent="0.3">
      <c r="A585" t="s">
        <v>760</v>
      </c>
    </row>
    <row r="586" spans="1:1" x14ac:dyDescent="0.3">
      <c r="A586" t="s">
        <v>761</v>
      </c>
    </row>
    <row r="587" spans="1:1" x14ac:dyDescent="0.3">
      <c r="A587" t="s">
        <v>762</v>
      </c>
    </row>
    <row r="588" spans="1:1" x14ac:dyDescent="0.3">
      <c r="A588" t="s">
        <v>670</v>
      </c>
    </row>
    <row r="589" spans="1:1" x14ac:dyDescent="0.3">
      <c r="A589" t="s">
        <v>594</v>
      </c>
    </row>
    <row r="590" spans="1:1" x14ac:dyDescent="0.3">
      <c r="A590" t="s">
        <v>595</v>
      </c>
    </row>
    <row r="591" spans="1:1" x14ac:dyDescent="0.3">
      <c r="A591" t="s">
        <v>596</v>
      </c>
    </row>
    <row r="592" spans="1:1" x14ac:dyDescent="0.3">
      <c r="A592" t="s">
        <v>597</v>
      </c>
    </row>
    <row r="593" spans="1:1" x14ac:dyDescent="0.3">
      <c r="A593" t="s">
        <v>598</v>
      </c>
    </row>
    <row r="594" spans="1:1" x14ac:dyDescent="0.3">
      <c r="A594" t="s">
        <v>599</v>
      </c>
    </row>
    <row r="595" spans="1:1" x14ac:dyDescent="0.3">
      <c r="A595" t="s">
        <v>600</v>
      </c>
    </row>
    <row r="596" spans="1:1" x14ac:dyDescent="0.3">
      <c r="A596" t="s">
        <v>601</v>
      </c>
    </row>
    <row r="597" spans="1:1" x14ac:dyDescent="0.3">
      <c r="A597" t="s">
        <v>602</v>
      </c>
    </row>
    <row r="598" spans="1:1" x14ac:dyDescent="0.3">
      <c r="A598" t="s">
        <v>603</v>
      </c>
    </row>
    <row r="599" spans="1:1" x14ac:dyDescent="0.3">
      <c r="A599" t="s">
        <v>665</v>
      </c>
    </row>
    <row r="600" spans="1:1" x14ac:dyDescent="0.3">
      <c r="A600" t="s">
        <v>742</v>
      </c>
    </row>
    <row r="601" spans="1:1" x14ac:dyDescent="0.3">
      <c r="A601" s="54" t="s">
        <v>650</v>
      </c>
    </row>
    <row r="602" spans="1:1" x14ac:dyDescent="0.3">
      <c r="A602" t="s">
        <v>744</v>
      </c>
    </row>
    <row r="603" spans="1:1" x14ac:dyDescent="0.3">
      <c r="A603" t="s">
        <v>763</v>
      </c>
    </row>
    <row r="604" spans="1:1" x14ac:dyDescent="0.3">
      <c r="A604" t="s">
        <v>725</v>
      </c>
    </row>
    <row r="605" spans="1:1" x14ac:dyDescent="0.3">
      <c r="A605" t="s">
        <v>726</v>
      </c>
    </row>
    <row r="606" spans="1:1" x14ac:dyDescent="0.3">
      <c r="A606" t="s">
        <v>727</v>
      </c>
    </row>
    <row r="607" spans="1:1" x14ac:dyDescent="0.3">
      <c r="A607" t="s">
        <v>714</v>
      </c>
    </row>
    <row r="608" spans="1:1" x14ac:dyDescent="0.3">
      <c r="A608" t="s">
        <v>715</v>
      </c>
    </row>
    <row r="609" spans="1:1" x14ac:dyDescent="0.3">
      <c r="A609" t="s">
        <v>716</v>
      </c>
    </row>
    <row r="610" spans="1:1" x14ac:dyDescent="0.3">
      <c r="A610" t="s">
        <v>717</v>
      </c>
    </row>
    <row r="611" spans="1:1" x14ac:dyDescent="0.3">
      <c r="A611" t="s">
        <v>718</v>
      </c>
    </row>
    <row r="612" spans="1:1" x14ac:dyDescent="0.3">
      <c r="A612" t="s">
        <v>719</v>
      </c>
    </row>
    <row r="613" spans="1:1" x14ac:dyDescent="0.3">
      <c r="A613" t="s">
        <v>764</v>
      </c>
    </row>
    <row r="614" spans="1:1" x14ac:dyDescent="0.3">
      <c r="A614" t="s">
        <v>765</v>
      </c>
    </row>
    <row r="615" spans="1:1" x14ac:dyDescent="0.3">
      <c r="A615" t="s">
        <v>620</v>
      </c>
    </row>
    <row r="616" spans="1:1" x14ac:dyDescent="0.3">
      <c r="A616" t="s">
        <v>663</v>
      </c>
    </row>
    <row r="617" spans="1:1" x14ac:dyDescent="0.3">
      <c r="A617" t="s">
        <v>642</v>
      </c>
    </row>
    <row r="618" spans="1:1" x14ac:dyDescent="0.3">
      <c r="A618" t="s">
        <v>766</v>
      </c>
    </row>
    <row r="619" spans="1:1" x14ac:dyDescent="0.3">
      <c r="A619" t="s">
        <v>596</v>
      </c>
    </row>
    <row r="620" spans="1:1" x14ac:dyDescent="0.3">
      <c r="A620" t="s">
        <v>767</v>
      </c>
    </row>
    <row r="621" spans="1:1" x14ac:dyDescent="0.3">
      <c r="A621" t="s">
        <v>598</v>
      </c>
    </row>
    <row r="622" spans="1:1" x14ac:dyDescent="0.3">
      <c r="A622" t="s">
        <v>599</v>
      </c>
    </row>
    <row r="623" spans="1:1" x14ac:dyDescent="0.3">
      <c r="A623" t="s">
        <v>600</v>
      </c>
    </row>
    <row r="624" spans="1:1" x14ac:dyDescent="0.3">
      <c r="A624" t="s">
        <v>601</v>
      </c>
    </row>
    <row r="625" spans="1:1" x14ac:dyDescent="0.3">
      <c r="A625" s="54" t="s">
        <v>602</v>
      </c>
    </row>
    <row r="626" spans="1:1" x14ac:dyDescent="0.3">
      <c r="A626" t="s">
        <v>603</v>
      </c>
    </row>
    <row r="627" spans="1:1" x14ac:dyDescent="0.3">
      <c r="A627" t="s">
        <v>623</v>
      </c>
    </row>
    <row r="628" spans="1:1" x14ac:dyDescent="0.3">
      <c r="A628" t="s">
        <v>624</v>
      </c>
    </row>
    <row r="629" spans="1:1" x14ac:dyDescent="0.3">
      <c r="A629" t="s">
        <v>625</v>
      </c>
    </row>
    <row r="630" spans="1:1" x14ac:dyDescent="0.3">
      <c r="A630" t="s">
        <v>768</v>
      </c>
    </row>
    <row r="631" spans="1:1" x14ac:dyDescent="0.3">
      <c r="A631" t="s">
        <v>769</v>
      </c>
    </row>
    <row r="632" spans="1:1" x14ac:dyDescent="0.3">
      <c r="A632" t="s">
        <v>770</v>
      </c>
    </row>
    <row r="633" spans="1:1" x14ac:dyDescent="0.3">
      <c r="A633" t="s">
        <v>714</v>
      </c>
    </row>
    <row r="634" spans="1:1" x14ac:dyDescent="0.3">
      <c r="A634" t="s">
        <v>715</v>
      </c>
    </row>
    <row r="635" spans="1:1" x14ac:dyDescent="0.3">
      <c r="A635" t="s">
        <v>716</v>
      </c>
    </row>
    <row r="636" spans="1:1" x14ac:dyDescent="0.3">
      <c r="A636" t="s">
        <v>717</v>
      </c>
    </row>
    <row r="637" spans="1:1" x14ac:dyDescent="0.3">
      <c r="A637" t="s">
        <v>718</v>
      </c>
    </row>
    <row r="638" spans="1:1" x14ac:dyDescent="0.3">
      <c r="A638" t="s">
        <v>719</v>
      </c>
    </row>
    <row r="639" spans="1:1" x14ac:dyDescent="0.3">
      <c r="A639" t="s">
        <v>771</v>
      </c>
    </row>
    <row r="640" spans="1:1" x14ac:dyDescent="0.3">
      <c r="A640" t="s">
        <v>772</v>
      </c>
    </row>
    <row r="641" spans="1:1" x14ac:dyDescent="0.3">
      <c r="A641" t="s">
        <v>620</v>
      </c>
    </row>
    <row r="642" spans="1:1" x14ac:dyDescent="0.3">
      <c r="A642" t="s">
        <v>663</v>
      </c>
    </row>
    <row r="643" spans="1:1" x14ac:dyDescent="0.3">
      <c r="A643" t="s">
        <v>642</v>
      </c>
    </row>
    <row r="644" spans="1:1" x14ac:dyDescent="0.3">
      <c r="A644" t="s">
        <v>595</v>
      </c>
    </row>
    <row r="645" spans="1:1" x14ac:dyDescent="0.3">
      <c r="A645" t="s">
        <v>596</v>
      </c>
    </row>
    <row r="646" spans="1:1" x14ac:dyDescent="0.3">
      <c r="A646" t="s">
        <v>597</v>
      </c>
    </row>
    <row r="647" spans="1:1" x14ac:dyDescent="0.3">
      <c r="A647" s="54" t="s">
        <v>598</v>
      </c>
    </row>
    <row r="648" spans="1:1" x14ac:dyDescent="0.3">
      <c r="A648" t="s">
        <v>599</v>
      </c>
    </row>
    <row r="649" spans="1:1" x14ac:dyDescent="0.3">
      <c r="A649" t="s">
        <v>600</v>
      </c>
    </row>
    <row r="650" spans="1:1" x14ac:dyDescent="0.3">
      <c r="A650" t="s">
        <v>601</v>
      </c>
    </row>
    <row r="651" spans="1:1" x14ac:dyDescent="0.3">
      <c r="A651" t="s">
        <v>602</v>
      </c>
    </row>
    <row r="652" spans="1:1" x14ac:dyDescent="0.3">
      <c r="A652" t="s">
        <v>603</v>
      </c>
    </row>
    <row r="653" spans="1:1" x14ac:dyDescent="0.3">
      <c r="A653" t="s">
        <v>604</v>
      </c>
    </row>
    <row r="654" spans="1:1" x14ac:dyDescent="0.3">
      <c r="A654" t="s">
        <v>624</v>
      </c>
    </row>
    <row r="655" spans="1:1" x14ac:dyDescent="0.3">
      <c r="A655" t="s">
        <v>625</v>
      </c>
    </row>
    <row r="656" spans="1:1" x14ac:dyDescent="0.3">
      <c r="A656" t="s">
        <v>725</v>
      </c>
    </row>
    <row r="657" spans="1:1" x14ac:dyDescent="0.3">
      <c r="A657" t="s">
        <v>726</v>
      </c>
    </row>
    <row r="658" spans="1:1" x14ac:dyDescent="0.3">
      <c r="A658" t="s">
        <v>727</v>
      </c>
    </row>
    <row r="659" spans="1:1" x14ac:dyDescent="0.3">
      <c r="A659" t="s">
        <v>773</v>
      </c>
    </row>
    <row r="660" spans="1:1" x14ac:dyDescent="0.3">
      <c r="A660" t="s">
        <v>774</v>
      </c>
    </row>
    <row r="661" spans="1:1" x14ac:dyDescent="0.3">
      <c r="A661" t="s">
        <v>714</v>
      </c>
    </row>
    <row r="662" spans="1:1" x14ac:dyDescent="0.3">
      <c r="A662" t="s">
        <v>715</v>
      </c>
    </row>
    <row r="663" spans="1:1" x14ac:dyDescent="0.3">
      <c r="A663" t="s">
        <v>716</v>
      </c>
    </row>
    <row r="664" spans="1:1" x14ac:dyDescent="0.3">
      <c r="A664" t="s">
        <v>717</v>
      </c>
    </row>
    <row r="665" spans="1:1" x14ac:dyDescent="0.3">
      <c r="A665" t="s">
        <v>718</v>
      </c>
    </row>
    <row r="666" spans="1:1" x14ac:dyDescent="0.3">
      <c r="A666" t="s">
        <v>719</v>
      </c>
    </row>
    <row r="667" spans="1:1" x14ac:dyDescent="0.3">
      <c r="A667" t="s">
        <v>775</v>
      </c>
    </row>
    <row r="668" spans="1:1" x14ac:dyDescent="0.3">
      <c r="A668" t="s">
        <v>776</v>
      </c>
    </row>
    <row r="669" spans="1:1" x14ac:dyDescent="0.3">
      <c r="A669" t="s">
        <v>620</v>
      </c>
    </row>
    <row r="670" spans="1:1" x14ac:dyDescent="0.3">
      <c r="A670" t="s">
        <v>670</v>
      </c>
    </row>
    <row r="671" spans="1:1" x14ac:dyDescent="0.3">
      <c r="A671" t="s">
        <v>655</v>
      </c>
    </row>
    <row r="672" spans="1:1" x14ac:dyDescent="0.3">
      <c r="A672" s="54" t="s">
        <v>595</v>
      </c>
    </row>
    <row r="673" spans="1:1" x14ac:dyDescent="0.3">
      <c r="A673" t="s">
        <v>596</v>
      </c>
    </row>
    <row r="674" spans="1:1" x14ac:dyDescent="0.3">
      <c r="A674" t="s">
        <v>597</v>
      </c>
    </row>
    <row r="675" spans="1:1" x14ac:dyDescent="0.3">
      <c r="A675" t="s">
        <v>709</v>
      </c>
    </row>
    <row r="676" spans="1:1" x14ac:dyDescent="0.3">
      <c r="A676" t="s">
        <v>599</v>
      </c>
    </row>
    <row r="677" spans="1:1" x14ac:dyDescent="0.3">
      <c r="A677" t="s">
        <v>600</v>
      </c>
    </row>
    <row r="678" spans="1:1" x14ac:dyDescent="0.3">
      <c r="A678" t="s">
        <v>601</v>
      </c>
    </row>
    <row r="679" spans="1:1" x14ac:dyDescent="0.3">
      <c r="A679" t="s">
        <v>602</v>
      </c>
    </row>
    <row r="680" spans="1:1" x14ac:dyDescent="0.3">
      <c r="A680" t="s">
        <v>603</v>
      </c>
    </row>
    <row r="681" spans="1:1" x14ac:dyDescent="0.3">
      <c r="A681" t="s">
        <v>643</v>
      </c>
    </row>
    <row r="682" spans="1:1" x14ac:dyDescent="0.3">
      <c r="A682" t="s">
        <v>693</v>
      </c>
    </row>
    <row r="683" spans="1:1" x14ac:dyDescent="0.3">
      <c r="A683" t="s">
        <v>694</v>
      </c>
    </row>
    <row r="684" spans="1:1" x14ac:dyDescent="0.3">
      <c r="A684" t="s">
        <v>624</v>
      </c>
    </row>
    <row r="685" spans="1:1" x14ac:dyDescent="0.3">
      <c r="A685" t="s">
        <v>696</v>
      </c>
    </row>
    <row r="686" spans="1:1" x14ac:dyDescent="0.3">
      <c r="A686" t="s">
        <v>777</v>
      </c>
    </row>
    <row r="687" spans="1:1" x14ac:dyDescent="0.3">
      <c r="A687" t="s">
        <v>778</v>
      </c>
    </row>
    <row r="688" spans="1:1" x14ac:dyDescent="0.3">
      <c r="A688" t="s">
        <v>699</v>
      </c>
    </row>
    <row r="689" spans="1:1" x14ac:dyDescent="0.3">
      <c r="A689" t="s">
        <v>700</v>
      </c>
    </row>
    <row r="690" spans="1:1" x14ac:dyDescent="0.3">
      <c r="A690" t="s">
        <v>629</v>
      </c>
    </row>
    <row r="691" spans="1:1" x14ac:dyDescent="0.3">
      <c r="A691" t="s">
        <v>652</v>
      </c>
    </row>
    <row r="692" spans="1:1" x14ac:dyDescent="0.3">
      <c r="A692" t="s">
        <v>658</v>
      </c>
    </row>
    <row r="693" spans="1:1" x14ac:dyDescent="0.3">
      <c r="A693" t="s">
        <v>779</v>
      </c>
    </row>
    <row r="694" spans="1:1" x14ac:dyDescent="0.3">
      <c r="A694" s="54" t="s">
        <v>729</v>
      </c>
    </row>
    <row r="695" spans="1:1" x14ac:dyDescent="0.3">
      <c r="A695" t="s">
        <v>714</v>
      </c>
    </row>
    <row r="696" spans="1:1" x14ac:dyDescent="0.3">
      <c r="A696" t="s">
        <v>715</v>
      </c>
    </row>
    <row r="697" spans="1:1" x14ac:dyDescent="0.3">
      <c r="A697" t="s">
        <v>716</v>
      </c>
    </row>
    <row r="698" spans="1:1" x14ac:dyDescent="0.3">
      <c r="A698" t="s">
        <v>717</v>
      </c>
    </row>
    <row r="699" spans="1:1" x14ac:dyDescent="0.3">
      <c r="A699" t="s">
        <v>718</v>
      </c>
    </row>
    <row r="700" spans="1:1" x14ac:dyDescent="0.3">
      <c r="A700" t="s">
        <v>719</v>
      </c>
    </row>
    <row r="701" spans="1:1" x14ac:dyDescent="0.3">
      <c r="A701" t="s">
        <v>780</v>
      </c>
    </row>
    <row r="702" spans="1:1" x14ac:dyDescent="0.3">
      <c r="A702" t="s">
        <v>781</v>
      </c>
    </row>
    <row r="703" spans="1:1" x14ac:dyDescent="0.3">
      <c r="A703" t="s">
        <v>620</v>
      </c>
    </row>
    <row r="704" spans="1:1" x14ac:dyDescent="0.3">
      <c r="A704" t="s">
        <v>621</v>
      </c>
    </row>
    <row r="705" spans="1:1" x14ac:dyDescent="0.3">
      <c r="A705" t="s">
        <v>664</v>
      </c>
    </row>
    <row r="706" spans="1:1" x14ac:dyDescent="0.3">
      <c r="A706" t="s">
        <v>722</v>
      </c>
    </row>
    <row r="707" spans="1:1" x14ac:dyDescent="0.3">
      <c r="A707" t="s">
        <v>707</v>
      </c>
    </row>
    <row r="708" spans="1:1" x14ac:dyDescent="0.3">
      <c r="A708" t="s">
        <v>782</v>
      </c>
    </row>
    <row r="709" spans="1:1" x14ac:dyDescent="0.3">
      <c r="A709" t="s">
        <v>598</v>
      </c>
    </row>
    <row r="710" spans="1:1" x14ac:dyDescent="0.3">
      <c r="A710" t="s">
        <v>599</v>
      </c>
    </row>
    <row r="711" spans="1:1" x14ac:dyDescent="0.3">
      <c r="A711" t="s">
        <v>600</v>
      </c>
    </row>
    <row r="712" spans="1:1" x14ac:dyDescent="0.3">
      <c r="A712" t="s">
        <v>601</v>
      </c>
    </row>
    <row r="713" spans="1:1" x14ac:dyDescent="0.3">
      <c r="A713" t="s">
        <v>602</v>
      </c>
    </row>
    <row r="714" spans="1:1" x14ac:dyDescent="0.3">
      <c r="A714" t="s">
        <v>603</v>
      </c>
    </row>
    <row r="715" spans="1:1" x14ac:dyDescent="0.3">
      <c r="A715" t="s">
        <v>643</v>
      </c>
    </row>
    <row r="716" spans="1:1" x14ac:dyDescent="0.3">
      <c r="A716" s="54" t="s">
        <v>650</v>
      </c>
    </row>
    <row r="717" spans="1:1" x14ac:dyDescent="0.3">
      <c r="A717" t="s">
        <v>724</v>
      </c>
    </row>
    <row r="718" spans="1:1" x14ac:dyDescent="0.3">
      <c r="A718" t="s">
        <v>783</v>
      </c>
    </row>
    <row r="719" spans="1:1" x14ac:dyDescent="0.3">
      <c r="A719" t="s">
        <v>784</v>
      </c>
    </row>
    <row r="720" spans="1:1" x14ac:dyDescent="0.3">
      <c r="A720" t="s">
        <v>770</v>
      </c>
    </row>
    <row r="721" spans="1:1" x14ac:dyDescent="0.3">
      <c r="A721" t="s">
        <v>785</v>
      </c>
    </row>
    <row r="722" spans="1:1" x14ac:dyDescent="0.3">
      <c r="A722" t="s">
        <v>673</v>
      </c>
    </row>
    <row r="723" spans="1:1" x14ac:dyDescent="0.3">
      <c r="A723" t="s">
        <v>667</v>
      </c>
    </row>
    <row r="724" spans="1:1" x14ac:dyDescent="0.3">
      <c r="A724" t="s">
        <v>714</v>
      </c>
    </row>
    <row r="725" spans="1:1" x14ac:dyDescent="0.3">
      <c r="A725" t="s">
        <v>715</v>
      </c>
    </row>
    <row r="726" spans="1:1" x14ac:dyDescent="0.3">
      <c r="A726" t="s">
        <v>716</v>
      </c>
    </row>
    <row r="727" spans="1:1" x14ac:dyDescent="0.3">
      <c r="A727" t="s">
        <v>717</v>
      </c>
    </row>
    <row r="728" spans="1:1" x14ac:dyDescent="0.3">
      <c r="A728" t="s">
        <v>718</v>
      </c>
    </row>
    <row r="729" spans="1:1" x14ac:dyDescent="0.3">
      <c r="A729" t="s">
        <v>719</v>
      </c>
    </row>
    <row r="730" spans="1:1" x14ac:dyDescent="0.3">
      <c r="A730" t="s">
        <v>786</v>
      </c>
    </row>
    <row r="731" spans="1:1" x14ac:dyDescent="0.3">
      <c r="A731" t="s">
        <v>787</v>
      </c>
    </row>
    <row r="732" spans="1:1" x14ac:dyDescent="0.3">
      <c r="A732" t="s">
        <v>620</v>
      </c>
    </row>
    <row r="733" spans="1:1" x14ac:dyDescent="0.3">
      <c r="A733" t="s">
        <v>679</v>
      </c>
    </row>
    <row r="734" spans="1:1" x14ac:dyDescent="0.3">
      <c r="A734" t="s">
        <v>664</v>
      </c>
    </row>
    <row r="735" spans="1:1" x14ac:dyDescent="0.3">
      <c r="A735" t="s">
        <v>722</v>
      </c>
    </row>
    <row r="736" spans="1:1" x14ac:dyDescent="0.3">
      <c r="A736" t="s">
        <v>596</v>
      </c>
    </row>
    <row r="737" spans="1:1" x14ac:dyDescent="0.3">
      <c r="A737" t="s">
        <v>782</v>
      </c>
    </row>
    <row r="738" spans="1:1" x14ac:dyDescent="0.3">
      <c r="A738" t="s">
        <v>598</v>
      </c>
    </row>
    <row r="739" spans="1:1" x14ac:dyDescent="0.3">
      <c r="A739" t="s">
        <v>599</v>
      </c>
    </row>
    <row r="740" spans="1:1" x14ac:dyDescent="0.3">
      <c r="A740" s="54" t="s">
        <v>600</v>
      </c>
    </row>
    <row r="741" spans="1:1" x14ac:dyDescent="0.3">
      <c r="A741" t="s">
        <v>601</v>
      </c>
    </row>
    <row r="742" spans="1:1" x14ac:dyDescent="0.3">
      <c r="A742" t="s">
        <v>602</v>
      </c>
    </row>
    <row r="743" spans="1:1" x14ac:dyDescent="0.3">
      <c r="A743" t="s">
        <v>603</v>
      </c>
    </row>
    <row r="744" spans="1:1" x14ac:dyDescent="0.3">
      <c r="A744" t="s">
        <v>643</v>
      </c>
    </row>
    <row r="745" spans="1:1" x14ac:dyDescent="0.3">
      <c r="A745" t="s">
        <v>650</v>
      </c>
    </row>
    <row r="746" spans="1:1" x14ac:dyDescent="0.3">
      <c r="A746" t="s">
        <v>724</v>
      </c>
    </row>
    <row r="747" spans="1:1" x14ac:dyDescent="0.3">
      <c r="A747" t="s">
        <v>783</v>
      </c>
    </row>
    <row r="748" spans="1:1" x14ac:dyDescent="0.3">
      <c r="A748" t="s">
        <v>784</v>
      </c>
    </row>
    <row r="749" spans="1:1" x14ac:dyDescent="0.3">
      <c r="A749" t="s">
        <v>770</v>
      </c>
    </row>
    <row r="750" spans="1:1" x14ac:dyDescent="0.3">
      <c r="A750" t="s">
        <v>788</v>
      </c>
    </row>
    <row r="751" spans="1:1" x14ac:dyDescent="0.3">
      <c r="A751" t="s">
        <v>673</v>
      </c>
    </row>
    <row r="752" spans="1:1" x14ac:dyDescent="0.3">
      <c r="A752" t="s">
        <v>789</v>
      </c>
    </row>
    <row r="753" spans="1:1" x14ac:dyDescent="0.3">
      <c r="A753" t="s">
        <v>714</v>
      </c>
    </row>
    <row r="754" spans="1:1" x14ac:dyDescent="0.3">
      <c r="A754" t="s">
        <v>715</v>
      </c>
    </row>
    <row r="755" spans="1:1" x14ac:dyDescent="0.3">
      <c r="A755" t="s">
        <v>716</v>
      </c>
    </row>
    <row r="756" spans="1:1" x14ac:dyDescent="0.3">
      <c r="A756" t="s">
        <v>717</v>
      </c>
    </row>
    <row r="757" spans="1:1" x14ac:dyDescent="0.3">
      <c r="A757" t="s">
        <v>718</v>
      </c>
    </row>
    <row r="758" spans="1:1" x14ac:dyDescent="0.3">
      <c r="A758" t="s">
        <v>719</v>
      </c>
    </row>
    <row r="759" spans="1:1" x14ac:dyDescent="0.3">
      <c r="A759" t="s">
        <v>790</v>
      </c>
    </row>
    <row r="760" spans="1:1" x14ac:dyDescent="0.3">
      <c r="A760" t="s">
        <v>791</v>
      </c>
    </row>
    <row r="761" spans="1:1" x14ac:dyDescent="0.3">
      <c r="A761" t="s">
        <v>620</v>
      </c>
    </row>
    <row r="762" spans="1:1" x14ac:dyDescent="0.3">
      <c r="A762" t="s">
        <v>621</v>
      </c>
    </row>
    <row r="763" spans="1:1" x14ac:dyDescent="0.3">
      <c r="A763" t="s">
        <v>655</v>
      </c>
    </row>
    <row r="764" spans="1:1" x14ac:dyDescent="0.3">
      <c r="A764" t="s">
        <v>792</v>
      </c>
    </row>
    <row r="765" spans="1:1" x14ac:dyDescent="0.3">
      <c r="A765" s="54" t="s">
        <v>596</v>
      </c>
    </row>
    <row r="766" spans="1:1" x14ac:dyDescent="0.3">
      <c r="A766" t="s">
        <v>597</v>
      </c>
    </row>
    <row r="767" spans="1:1" x14ac:dyDescent="0.3">
      <c r="A767" t="s">
        <v>598</v>
      </c>
    </row>
    <row r="768" spans="1:1" x14ac:dyDescent="0.3">
      <c r="A768" t="s">
        <v>599</v>
      </c>
    </row>
    <row r="769" spans="1:1" x14ac:dyDescent="0.3">
      <c r="A769" t="s">
        <v>600</v>
      </c>
    </row>
    <row r="770" spans="1:1" x14ac:dyDescent="0.3">
      <c r="A770" t="s">
        <v>601</v>
      </c>
    </row>
    <row r="771" spans="1:1" x14ac:dyDescent="0.3">
      <c r="A771" t="s">
        <v>602</v>
      </c>
    </row>
    <row r="772" spans="1:1" x14ac:dyDescent="0.3">
      <c r="A772" t="s">
        <v>603</v>
      </c>
    </row>
    <row r="773" spans="1:1" x14ac:dyDescent="0.3">
      <c r="A773" t="s">
        <v>643</v>
      </c>
    </row>
    <row r="774" spans="1:1" x14ac:dyDescent="0.3">
      <c r="A774" t="s">
        <v>650</v>
      </c>
    </row>
    <row r="775" spans="1:1" x14ac:dyDescent="0.3">
      <c r="A775" t="s">
        <v>724</v>
      </c>
    </row>
    <row r="776" spans="1:1" x14ac:dyDescent="0.3">
      <c r="A776" t="s">
        <v>725</v>
      </c>
    </row>
    <row r="777" spans="1:1" x14ac:dyDescent="0.3">
      <c r="A777" t="s">
        <v>726</v>
      </c>
    </row>
    <row r="778" spans="1:1" x14ac:dyDescent="0.3">
      <c r="A778" t="s">
        <v>727</v>
      </c>
    </row>
    <row r="779" spans="1:1" x14ac:dyDescent="0.3">
      <c r="A779" t="s">
        <v>789</v>
      </c>
    </row>
    <row r="780" spans="1:1" x14ac:dyDescent="0.3">
      <c r="A780" t="s">
        <v>714</v>
      </c>
    </row>
    <row r="781" spans="1:1" x14ac:dyDescent="0.3">
      <c r="A781" t="s">
        <v>715</v>
      </c>
    </row>
    <row r="782" spans="1:1" x14ac:dyDescent="0.3">
      <c r="A782" t="s">
        <v>716</v>
      </c>
    </row>
    <row r="783" spans="1:1" x14ac:dyDescent="0.3">
      <c r="A783" t="s">
        <v>717</v>
      </c>
    </row>
    <row r="784" spans="1:1" x14ac:dyDescent="0.3">
      <c r="A784" t="s">
        <v>718</v>
      </c>
    </row>
    <row r="785" spans="1:1" x14ac:dyDescent="0.3">
      <c r="A785" t="s">
        <v>719</v>
      </c>
    </row>
    <row r="786" spans="1:1" x14ac:dyDescent="0.3">
      <c r="A786" t="s">
        <v>793</v>
      </c>
    </row>
    <row r="787" spans="1:1" x14ac:dyDescent="0.3">
      <c r="A787" t="s">
        <v>794</v>
      </c>
    </row>
    <row r="788" spans="1:1" x14ac:dyDescent="0.3">
      <c r="A788" s="54" t="s">
        <v>620</v>
      </c>
    </row>
    <row r="789" spans="1:1" x14ac:dyDescent="0.3">
      <c r="A789" t="s">
        <v>621</v>
      </c>
    </row>
    <row r="790" spans="1:1" x14ac:dyDescent="0.3">
      <c r="A790" t="s">
        <v>655</v>
      </c>
    </row>
    <row r="791" spans="1:1" x14ac:dyDescent="0.3">
      <c r="A791" t="s">
        <v>795</v>
      </c>
    </row>
    <row r="792" spans="1:1" x14ac:dyDescent="0.3">
      <c r="A792" t="s">
        <v>596</v>
      </c>
    </row>
    <row r="793" spans="1:1" x14ac:dyDescent="0.3">
      <c r="A793" t="s">
        <v>597</v>
      </c>
    </row>
    <row r="794" spans="1:1" x14ac:dyDescent="0.3">
      <c r="A794" t="s">
        <v>598</v>
      </c>
    </row>
    <row r="795" spans="1:1" x14ac:dyDescent="0.3">
      <c r="A795" t="s">
        <v>599</v>
      </c>
    </row>
    <row r="796" spans="1:1" x14ac:dyDescent="0.3">
      <c r="A796" t="s">
        <v>600</v>
      </c>
    </row>
    <row r="797" spans="1:1" x14ac:dyDescent="0.3">
      <c r="A797" t="s">
        <v>601</v>
      </c>
    </row>
    <row r="798" spans="1:1" x14ac:dyDescent="0.3">
      <c r="A798" t="s">
        <v>602</v>
      </c>
    </row>
    <row r="799" spans="1:1" x14ac:dyDescent="0.3">
      <c r="A799" t="s">
        <v>603</v>
      </c>
    </row>
    <row r="800" spans="1:1" x14ac:dyDescent="0.3">
      <c r="A800" t="s">
        <v>643</v>
      </c>
    </row>
    <row r="801" spans="1:1" x14ac:dyDescent="0.3">
      <c r="A801" t="s">
        <v>650</v>
      </c>
    </row>
    <row r="802" spans="1:1" x14ac:dyDescent="0.3">
      <c r="A802" t="s">
        <v>724</v>
      </c>
    </row>
    <row r="803" spans="1:1" x14ac:dyDescent="0.3">
      <c r="A803" t="s">
        <v>725</v>
      </c>
    </row>
    <row r="804" spans="1:1" x14ac:dyDescent="0.3">
      <c r="A804" s="54" t="s">
        <v>726</v>
      </c>
    </row>
    <row r="805" spans="1:1" x14ac:dyDescent="0.3">
      <c r="A805" t="s">
        <v>727</v>
      </c>
    </row>
    <row r="806" spans="1:1" x14ac:dyDescent="0.3">
      <c r="A806" t="s">
        <v>629</v>
      </c>
    </row>
    <row r="807" spans="1:1" x14ac:dyDescent="0.3">
      <c r="A807" t="s">
        <v>728</v>
      </c>
    </row>
    <row r="808" spans="1:1" x14ac:dyDescent="0.3">
      <c r="A808" t="s">
        <v>644</v>
      </c>
    </row>
    <row r="809" spans="1:1" x14ac:dyDescent="0.3">
      <c r="A809" t="s">
        <v>682</v>
      </c>
    </row>
    <row r="810" spans="1:1" x14ac:dyDescent="0.3">
      <c r="A810" t="s">
        <v>714</v>
      </c>
    </row>
    <row r="811" spans="1:1" x14ac:dyDescent="0.3">
      <c r="A811" t="s">
        <v>715</v>
      </c>
    </row>
    <row r="812" spans="1:1" x14ac:dyDescent="0.3">
      <c r="A812" t="s">
        <v>716</v>
      </c>
    </row>
    <row r="813" spans="1:1" x14ac:dyDescent="0.3">
      <c r="A813" t="s">
        <v>717</v>
      </c>
    </row>
    <row r="814" spans="1:1" x14ac:dyDescent="0.3">
      <c r="A814" t="s">
        <v>718</v>
      </c>
    </row>
    <row r="815" spans="1:1" x14ac:dyDescent="0.3">
      <c r="A815" t="s">
        <v>719</v>
      </c>
    </row>
    <row r="816" spans="1:1" x14ac:dyDescent="0.3">
      <c r="A816" t="s">
        <v>796</v>
      </c>
    </row>
    <row r="817" spans="1:1" x14ac:dyDescent="0.3">
      <c r="A817" t="s">
        <v>797</v>
      </c>
    </row>
    <row r="818" spans="1:1" x14ac:dyDescent="0.3">
      <c r="A818" t="s">
        <v>678</v>
      </c>
    </row>
    <row r="819" spans="1:1" x14ac:dyDescent="0.3">
      <c r="A819" t="s">
        <v>593</v>
      </c>
    </row>
    <row r="820" spans="1:1" x14ac:dyDescent="0.3">
      <c r="A820" s="54" t="s">
        <v>594</v>
      </c>
    </row>
    <row r="821" spans="1:1" x14ac:dyDescent="0.3">
      <c r="A821" t="s">
        <v>792</v>
      </c>
    </row>
    <row r="822" spans="1:1" x14ac:dyDescent="0.3">
      <c r="A822" t="s">
        <v>798</v>
      </c>
    </row>
    <row r="823" spans="1:1" x14ac:dyDescent="0.3">
      <c r="A823" t="s">
        <v>799</v>
      </c>
    </row>
    <row r="824" spans="1:1" x14ac:dyDescent="0.3">
      <c r="A824" t="s">
        <v>598</v>
      </c>
    </row>
    <row r="825" spans="1:1" x14ac:dyDescent="0.3">
      <c r="A825" t="s">
        <v>599</v>
      </c>
    </row>
    <row r="826" spans="1:1" x14ac:dyDescent="0.3">
      <c r="A826" t="s">
        <v>600</v>
      </c>
    </row>
    <row r="827" spans="1:1" x14ac:dyDescent="0.3">
      <c r="A827" t="s">
        <v>601</v>
      </c>
    </row>
    <row r="828" spans="1:1" x14ac:dyDescent="0.3">
      <c r="A828" t="s">
        <v>602</v>
      </c>
    </row>
    <row r="829" spans="1:1" x14ac:dyDescent="0.3">
      <c r="A829" t="s">
        <v>603</v>
      </c>
    </row>
    <row r="830" spans="1:1" x14ac:dyDescent="0.3">
      <c r="A830" t="s">
        <v>604</v>
      </c>
    </row>
    <row r="831" spans="1:1" x14ac:dyDescent="0.3">
      <c r="A831" t="s">
        <v>697</v>
      </c>
    </row>
    <row r="832" spans="1:1" x14ac:dyDescent="0.3">
      <c r="A832" t="s">
        <v>800</v>
      </c>
    </row>
    <row r="833" spans="1:1" x14ac:dyDescent="0.3">
      <c r="A833" t="s">
        <v>801</v>
      </c>
    </row>
    <row r="834" spans="1:1" x14ac:dyDescent="0.3">
      <c r="A834" t="s">
        <v>802</v>
      </c>
    </row>
    <row r="835" spans="1:1" x14ac:dyDescent="0.3">
      <c r="A835" t="s">
        <v>803</v>
      </c>
    </row>
    <row r="836" spans="1:1" x14ac:dyDescent="0.3">
      <c r="A836" s="54" t="s">
        <v>804</v>
      </c>
    </row>
    <row r="837" spans="1:1" x14ac:dyDescent="0.3">
      <c r="A837" t="s">
        <v>714</v>
      </c>
    </row>
    <row r="838" spans="1:1" x14ac:dyDescent="0.3">
      <c r="A838" t="s">
        <v>715</v>
      </c>
    </row>
    <row r="839" spans="1:1" x14ac:dyDescent="0.3">
      <c r="A839" t="s">
        <v>716</v>
      </c>
    </row>
    <row r="840" spans="1:1" x14ac:dyDescent="0.3">
      <c r="A840" t="s">
        <v>717</v>
      </c>
    </row>
    <row r="841" spans="1:1" x14ac:dyDescent="0.3">
      <c r="A841" t="s">
        <v>718</v>
      </c>
    </row>
    <row r="842" spans="1:1" x14ac:dyDescent="0.3">
      <c r="A842" t="s">
        <v>719</v>
      </c>
    </row>
    <row r="843" spans="1:1" x14ac:dyDescent="0.3">
      <c r="A843" t="s">
        <v>805</v>
      </c>
    </row>
    <row r="844" spans="1:1" x14ac:dyDescent="0.3">
      <c r="A844" t="s">
        <v>806</v>
      </c>
    </row>
    <row r="845" spans="1:1" x14ac:dyDescent="0.3">
      <c r="A845" t="s">
        <v>620</v>
      </c>
    </row>
    <row r="846" spans="1:1" x14ac:dyDescent="0.3">
      <c r="A846" t="s">
        <v>670</v>
      </c>
    </row>
    <row r="847" spans="1:1" x14ac:dyDescent="0.3">
      <c r="A847" t="s">
        <v>642</v>
      </c>
    </row>
    <row r="848" spans="1:1" x14ac:dyDescent="0.3">
      <c r="A848" t="s">
        <v>795</v>
      </c>
    </row>
    <row r="849" spans="1:1" x14ac:dyDescent="0.3">
      <c r="A849" t="s">
        <v>807</v>
      </c>
    </row>
    <row r="850" spans="1:1" x14ac:dyDescent="0.3">
      <c r="A850" t="s">
        <v>708</v>
      </c>
    </row>
    <row r="851" spans="1:1" x14ac:dyDescent="0.3">
      <c r="A851" t="s">
        <v>598</v>
      </c>
    </row>
    <row r="852" spans="1:1" x14ac:dyDescent="0.3">
      <c r="A852" s="54" t="s">
        <v>599</v>
      </c>
    </row>
    <row r="853" spans="1:1" x14ac:dyDescent="0.3">
      <c r="A853" t="s">
        <v>600</v>
      </c>
    </row>
    <row r="854" spans="1:1" x14ac:dyDescent="0.3">
      <c r="A854" t="s">
        <v>601</v>
      </c>
    </row>
    <row r="855" spans="1:1" x14ac:dyDescent="0.3">
      <c r="A855" t="s">
        <v>602</v>
      </c>
    </row>
    <row r="856" spans="1:1" x14ac:dyDescent="0.3">
      <c r="A856" t="s">
        <v>603</v>
      </c>
    </row>
    <row r="857" spans="1:1" x14ac:dyDescent="0.3">
      <c r="A857" t="s">
        <v>672</v>
      </c>
    </row>
    <row r="858" spans="1:1" x14ac:dyDescent="0.3">
      <c r="A858" t="s">
        <v>650</v>
      </c>
    </row>
    <row r="859" spans="1:1" x14ac:dyDescent="0.3">
      <c r="A859" t="s">
        <v>763</v>
      </c>
    </row>
    <row r="860" spans="1:1" x14ac:dyDescent="0.3">
      <c r="A860" t="s">
        <v>745</v>
      </c>
    </row>
    <row r="861" spans="1:1" x14ac:dyDescent="0.3">
      <c r="A861" t="s">
        <v>748</v>
      </c>
    </row>
    <row r="862" spans="1:1" x14ac:dyDescent="0.3">
      <c r="A862" t="s">
        <v>749</v>
      </c>
    </row>
    <row r="863" spans="1:1" x14ac:dyDescent="0.3">
      <c r="A863" t="s">
        <v>808</v>
      </c>
    </row>
    <row r="864" spans="1:1" x14ac:dyDescent="0.3">
      <c r="A864" t="s">
        <v>714</v>
      </c>
    </row>
    <row r="865" spans="1:1" x14ac:dyDescent="0.3">
      <c r="A865" t="s">
        <v>715</v>
      </c>
    </row>
    <row r="866" spans="1:1" x14ac:dyDescent="0.3">
      <c r="A866" t="s">
        <v>716</v>
      </c>
    </row>
    <row r="867" spans="1:1" x14ac:dyDescent="0.3">
      <c r="A867" t="s">
        <v>717</v>
      </c>
    </row>
    <row r="868" spans="1:1" x14ac:dyDescent="0.3">
      <c r="A868" t="s">
        <v>718</v>
      </c>
    </row>
    <row r="869" spans="1:1" x14ac:dyDescent="0.3">
      <c r="A869" t="s">
        <v>719</v>
      </c>
    </row>
    <row r="870" spans="1:1" x14ac:dyDescent="0.3">
      <c r="A870" t="s">
        <v>809</v>
      </c>
    </row>
    <row r="871" spans="1:1" x14ac:dyDescent="0.3">
      <c r="A871" t="s">
        <v>810</v>
      </c>
    </row>
    <row r="872" spans="1:1" x14ac:dyDescent="0.3">
      <c r="A872" t="s">
        <v>620</v>
      </c>
    </row>
    <row r="873" spans="1:1" x14ac:dyDescent="0.3">
      <c r="A873" t="s">
        <v>621</v>
      </c>
    </row>
    <row r="874" spans="1:1" x14ac:dyDescent="0.3">
      <c r="A874" t="s">
        <v>655</v>
      </c>
    </row>
    <row r="875" spans="1:1" x14ac:dyDescent="0.3">
      <c r="A875" s="54" t="s">
        <v>766</v>
      </c>
    </row>
    <row r="876" spans="1:1" x14ac:dyDescent="0.3">
      <c r="A876" t="s">
        <v>596</v>
      </c>
    </row>
    <row r="877" spans="1:1" x14ac:dyDescent="0.3">
      <c r="A877" t="s">
        <v>597</v>
      </c>
    </row>
    <row r="878" spans="1:1" x14ac:dyDescent="0.3">
      <c r="A878" t="s">
        <v>709</v>
      </c>
    </row>
    <row r="879" spans="1:1" x14ac:dyDescent="0.3">
      <c r="A879" t="s">
        <v>811</v>
      </c>
    </row>
    <row r="880" spans="1:1" x14ac:dyDescent="0.3">
      <c r="A880" t="s">
        <v>600</v>
      </c>
    </row>
    <row r="881" spans="1:1" x14ac:dyDescent="0.3">
      <c r="A881" t="s">
        <v>601</v>
      </c>
    </row>
    <row r="882" spans="1:1" x14ac:dyDescent="0.3">
      <c r="A882" t="s">
        <v>602</v>
      </c>
    </row>
    <row r="883" spans="1:1" x14ac:dyDescent="0.3">
      <c r="A883" t="s">
        <v>603</v>
      </c>
    </row>
    <row r="884" spans="1:1" x14ac:dyDescent="0.3">
      <c r="A884" t="s">
        <v>643</v>
      </c>
    </row>
    <row r="885" spans="1:1" x14ac:dyDescent="0.3">
      <c r="A885" t="s">
        <v>742</v>
      </c>
    </row>
    <row r="886" spans="1:1" x14ac:dyDescent="0.3">
      <c r="A886" t="s">
        <v>624</v>
      </c>
    </row>
    <row r="887" spans="1:1" x14ac:dyDescent="0.3">
      <c r="A887" t="s">
        <v>657</v>
      </c>
    </row>
    <row r="888" spans="1:1" x14ac:dyDescent="0.3">
      <c r="A888" t="s">
        <v>725</v>
      </c>
    </row>
    <row r="889" spans="1:1" x14ac:dyDescent="0.3">
      <c r="A889" t="s">
        <v>784</v>
      </c>
    </row>
    <row r="890" spans="1:1" x14ac:dyDescent="0.3">
      <c r="A890" t="s">
        <v>770</v>
      </c>
    </row>
    <row r="891" spans="1:1" x14ac:dyDescent="0.3">
      <c r="A891" t="s">
        <v>773</v>
      </c>
    </row>
    <row r="892" spans="1:1" x14ac:dyDescent="0.3">
      <c r="A892" t="s">
        <v>812</v>
      </c>
    </row>
    <row r="893" spans="1:1" x14ac:dyDescent="0.3">
      <c r="A893" t="s">
        <v>714</v>
      </c>
    </row>
    <row r="894" spans="1:1" x14ac:dyDescent="0.3">
      <c r="A894" t="s">
        <v>715</v>
      </c>
    </row>
    <row r="895" spans="1:1" x14ac:dyDescent="0.3">
      <c r="A895" t="s">
        <v>716</v>
      </c>
    </row>
    <row r="896" spans="1:1" x14ac:dyDescent="0.3">
      <c r="A896" t="s">
        <v>717</v>
      </c>
    </row>
    <row r="897" spans="1:1" x14ac:dyDescent="0.3">
      <c r="A897" t="s">
        <v>718</v>
      </c>
    </row>
    <row r="898" spans="1:1" x14ac:dyDescent="0.3">
      <c r="A898" s="54" t="s">
        <v>719</v>
      </c>
    </row>
    <row r="899" spans="1:1" x14ac:dyDescent="0.3">
      <c r="A899" t="s">
        <v>813</v>
      </c>
    </row>
    <row r="900" spans="1:1" x14ac:dyDescent="0.3">
      <c r="A900" t="s">
        <v>814</v>
      </c>
    </row>
    <row r="901" spans="1:1" x14ac:dyDescent="0.3">
      <c r="A901" t="s">
        <v>620</v>
      </c>
    </row>
    <row r="902" spans="1:1" x14ac:dyDescent="0.3">
      <c r="A902" t="s">
        <v>679</v>
      </c>
    </row>
    <row r="903" spans="1:1" x14ac:dyDescent="0.3">
      <c r="A903" t="s">
        <v>594</v>
      </c>
    </row>
    <row r="904" spans="1:1" x14ac:dyDescent="0.3">
      <c r="A904" t="s">
        <v>795</v>
      </c>
    </row>
    <row r="905" spans="1:1" x14ac:dyDescent="0.3">
      <c r="A905" t="s">
        <v>707</v>
      </c>
    </row>
    <row r="906" spans="1:1" x14ac:dyDescent="0.3">
      <c r="A906" t="s">
        <v>597</v>
      </c>
    </row>
    <row r="907" spans="1:1" x14ac:dyDescent="0.3">
      <c r="A907" t="s">
        <v>709</v>
      </c>
    </row>
    <row r="908" spans="1:1" x14ac:dyDescent="0.3">
      <c r="A908" t="s">
        <v>811</v>
      </c>
    </row>
    <row r="909" spans="1:1" x14ac:dyDescent="0.3">
      <c r="A909" t="s">
        <v>600</v>
      </c>
    </row>
    <row r="910" spans="1:1" x14ac:dyDescent="0.3">
      <c r="A910" t="s">
        <v>601</v>
      </c>
    </row>
    <row r="911" spans="1:1" x14ac:dyDescent="0.3">
      <c r="A911" t="s">
        <v>602</v>
      </c>
    </row>
    <row r="912" spans="1:1" x14ac:dyDescent="0.3">
      <c r="A912" t="s">
        <v>603</v>
      </c>
    </row>
    <row r="913" spans="1:1" x14ac:dyDescent="0.3">
      <c r="A913" t="s">
        <v>643</v>
      </c>
    </row>
    <row r="914" spans="1:1" x14ac:dyDescent="0.3">
      <c r="A914" t="s">
        <v>624</v>
      </c>
    </row>
    <row r="915" spans="1:1" x14ac:dyDescent="0.3">
      <c r="A915" t="s">
        <v>657</v>
      </c>
    </row>
    <row r="916" spans="1:1" x14ac:dyDescent="0.3">
      <c r="A916" t="s">
        <v>783</v>
      </c>
    </row>
    <row r="917" spans="1:1" x14ac:dyDescent="0.3">
      <c r="A917" t="s">
        <v>769</v>
      </c>
    </row>
    <row r="918" spans="1:1" x14ac:dyDescent="0.3">
      <c r="A918" t="s">
        <v>815</v>
      </c>
    </row>
    <row r="919" spans="1:1" x14ac:dyDescent="0.3">
      <c r="A919" t="s">
        <v>785</v>
      </c>
    </row>
    <row r="920" spans="1:1" x14ac:dyDescent="0.3">
      <c r="A920" s="54" t="s">
        <v>652</v>
      </c>
    </row>
    <row r="921" spans="1:1" x14ac:dyDescent="0.3">
      <c r="A921" t="s">
        <v>816</v>
      </c>
    </row>
    <row r="922" spans="1:1" x14ac:dyDescent="0.3">
      <c r="A922" t="s">
        <v>817</v>
      </c>
    </row>
    <row r="923" spans="1:1" x14ac:dyDescent="0.3">
      <c r="A923" t="s">
        <v>714</v>
      </c>
    </row>
    <row r="924" spans="1:1" x14ac:dyDescent="0.3">
      <c r="A924" t="s">
        <v>715</v>
      </c>
    </row>
    <row r="925" spans="1:1" x14ac:dyDescent="0.3">
      <c r="A925" t="s">
        <v>716</v>
      </c>
    </row>
    <row r="926" spans="1:1" x14ac:dyDescent="0.3">
      <c r="A926" t="s">
        <v>717</v>
      </c>
    </row>
    <row r="927" spans="1:1" x14ac:dyDescent="0.3">
      <c r="A927" t="s">
        <v>718</v>
      </c>
    </row>
    <row r="928" spans="1:1" x14ac:dyDescent="0.3">
      <c r="A928" t="s">
        <v>719</v>
      </c>
    </row>
    <row r="929" spans="1:1" x14ac:dyDescent="0.3">
      <c r="A929" t="s">
        <v>818</v>
      </c>
    </row>
    <row r="930" spans="1:1" x14ac:dyDescent="0.3">
      <c r="A930" t="s">
        <v>819</v>
      </c>
    </row>
    <row r="931" spans="1:1" x14ac:dyDescent="0.3">
      <c r="A931" t="s">
        <v>620</v>
      </c>
    </row>
    <row r="932" spans="1:1" x14ac:dyDescent="0.3">
      <c r="A932" t="s">
        <v>670</v>
      </c>
    </row>
    <row r="933" spans="1:1" x14ac:dyDescent="0.3">
      <c r="A933" t="s">
        <v>655</v>
      </c>
    </row>
    <row r="934" spans="1:1" x14ac:dyDescent="0.3">
      <c r="A934" t="s">
        <v>595</v>
      </c>
    </row>
    <row r="935" spans="1:1" x14ac:dyDescent="0.3">
      <c r="A935" t="s">
        <v>596</v>
      </c>
    </row>
    <row r="936" spans="1:1" x14ac:dyDescent="0.3">
      <c r="A936" t="s">
        <v>597</v>
      </c>
    </row>
    <row r="937" spans="1:1" x14ac:dyDescent="0.3">
      <c r="A937" t="s">
        <v>598</v>
      </c>
    </row>
    <row r="938" spans="1:1" x14ac:dyDescent="0.3">
      <c r="A938" t="s">
        <v>599</v>
      </c>
    </row>
    <row r="939" spans="1:1" x14ac:dyDescent="0.3">
      <c r="A939" t="s">
        <v>600</v>
      </c>
    </row>
    <row r="940" spans="1:1" x14ac:dyDescent="0.3">
      <c r="A940" t="s">
        <v>601</v>
      </c>
    </row>
    <row r="941" spans="1:1" x14ac:dyDescent="0.3">
      <c r="A941" t="s">
        <v>602</v>
      </c>
    </row>
    <row r="942" spans="1:1" x14ac:dyDescent="0.3">
      <c r="A942" s="54" t="s">
        <v>603</v>
      </c>
    </row>
    <row r="943" spans="1:1" x14ac:dyDescent="0.3">
      <c r="A943" t="s">
        <v>643</v>
      </c>
    </row>
    <row r="944" spans="1:1" x14ac:dyDescent="0.3">
      <c r="A944" t="s">
        <v>624</v>
      </c>
    </row>
    <row r="945" spans="1:1" x14ac:dyDescent="0.3">
      <c r="A945" t="s">
        <v>625</v>
      </c>
    </row>
    <row r="946" spans="1:1" x14ac:dyDescent="0.3">
      <c r="A946" t="s">
        <v>725</v>
      </c>
    </row>
    <row r="947" spans="1:1" x14ac:dyDescent="0.3">
      <c r="A947" t="s">
        <v>726</v>
      </c>
    </row>
    <row r="948" spans="1:1" x14ac:dyDescent="0.3">
      <c r="A948" t="s">
        <v>727</v>
      </c>
    </row>
    <row r="949" spans="1:1" x14ac:dyDescent="0.3">
      <c r="A949" t="s">
        <v>773</v>
      </c>
    </row>
    <row r="950" spans="1:1" x14ac:dyDescent="0.3">
      <c r="A950" t="s">
        <v>682</v>
      </c>
    </row>
    <row r="951" spans="1:1" x14ac:dyDescent="0.3">
      <c r="A951" t="s">
        <v>714</v>
      </c>
    </row>
    <row r="952" spans="1:1" x14ac:dyDescent="0.3">
      <c r="A952" t="s">
        <v>715</v>
      </c>
    </row>
    <row r="953" spans="1:1" x14ac:dyDescent="0.3">
      <c r="A953" t="s">
        <v>716</v>
      </c>
    </row>
    <row r="954" spans="1:1" x14ac:dyDescent="0.3">
      <c r="A954" t="s">
        <v>717</v>
      </c>
    </row>
    <row r="955" spans="1:1" x14ac:dyDescent="0.3">
      <c r="A955" t="s">
        <v>718</v>
      </c>
    </row>
    <row r="956" spans="1:1" x14ac:dyDescent="0.3">
      <c r="A956" t="s">
        <v>719</v>
      </c>
    </row>
    <row r="957" spans="1:1" x14ac:dyDescent="0.3">
      <c r="A957" t="s">
        <v>820</v>
      </c>
    </row>
    <row r="958" spans="1:1" x14ac:dyDescent="0.3">
      <c r="A958" t="s">
        <v>821</v>
      </c>
    </row>
    <row r="959" spans="1:1" x14ac:dyDescent="0.3">
      <c r="A959" t="s">
        <v>592</v>
      </c>
    </row>
    <row r="960" spans="1:1" x14ac:dyDescent="0.3">
      <c r="A960" t="s">
        <v>593</v>
      </c>
    </row>
    <row r="961" spans="1:1" x14ac:dyDescent="0.3">
      <c r="A961" t="s">
        <v>594</v>
      </c>
    </row>
    <row r="962" spans="1:1" x14ac:dyDescent="0.3">
      <c r="A962" t="s">
        <v>595</v>
      </c>
    </row>
    <row r="963" spans="1:1" x14ac:dyDescent="0.3">
      <c r="A963" t="s">
        <v>596</v>
      </c>
    </row>
    <row r="964" spans="1:1" x14ac:dyDescent="0.3">
      <c r="A964" t="s">
        <v>597</v>
      </c>
    </row>
    <row r="965" spans="1:1" x14ac:dyDescent="0.3">
      <c r="A965" t="s">
        <v>598</v>
      </c>
    </row>
    <row r="966" spans="1:1" x14ac:dyDescent="0.3">
      <c r="A966" s="54" t="s">
        <v>599</v>
      </c>
    </row>
    <row r="967" spans="1:1" x14ac:dyDescent="0.3">
      <c r="A967" t="s">
        <v>600</v>
      </c>
    </row>
    <row r="968" spans="1:1" x14ac:dyDescent="0.3">
      <c r="A968" t="s">
        <v>601</v>
      </c>
    </row>
    <row r="969" spans="1:1" x14ac:dyDescent="0.3">
      <c r="A969" t="s">
        <v>602</v>
      </c>
    </row>
    <row r="970" spans="1:1" x14ac:dyDescent="0.3">
      <c r="A970" t="s">
        <v>603</v>
      </c>
    </row>
    <row r="971" spans="1:1" x14ac:dyDescent="0.3">
      <c r="A971" t="s">
        <v>604</v>
      </c>
    </row>
    <row r="972" spans="1:1" x14ac:dyDescent="0.3">
      <c r="A972" t="s">
        <v>751</v>
      </c>
    </row>
    <row r="973" spans="1:1" x14ac:dyDescent="0.3">
      <c r="A973" t="s">
        <v>752</v>
      </c>
    </row>
    <row r="974" spans="1:1" x14ac:dyDescent="0.3">
      <c r="A974" t="s">
        <v>753</v>
      </c>
    </row>
    <row r="975" spans="1:1" x14ac:dyDescent="0.3">
      <c r="A975" t="s">
        <v>754</v>
      </c>
    </row>
    <row r="976" spans="1:1" x14ac:dyDescent="0.3">
      <c r="A976" t="s">
        <v>755</v>
      </c>
    </row>
    <row r="977" spans="1:1" x14ac:dyDescent="0.3">
      <c r="A977" t="s">
        <v>756</v>
      </c>
    </row>
    <row r="978" spans="1:1" x14ac:dyDescent="0.3">
      <c r="A978" t="s">
        <v>822</v>
      </c>
    </row>
    <row r="979" spans="1:1" x14ac:dyDescent="0.3">
      <c r="A979" t="s">
        <v>823</v>
      </c>
    </row>
    <row r="980" spans="1:1" x14ac:dyDescent="0.3">
      <c r="A980" t="s">
        <v>592</v>
      </c>
    </row>
    <row r="981" spans="1:1" x14ac:dyDescent="0.3">
      <c r="A981" t="s">
        <v>593</v>
      </c>
    </row>
    <row r="982" spans="1:1" x14ac:dyDescent="0.3">
      <c r="A982" t="s">
        <v>594</v>
      </c>
    </row>
    <row r="983" spans="1:1" x14ac:dyDescent="0.3">
      <c r="A983" t="s">
        <v>595</v>
      </c>
    </row>
    <row r="984" spans="1:1" x14ac:dyDescent="0.3">
      <c r="A984" t="s">
        <v>596</v>
      </c>
    </row>
    <row r="985" spans="1:1" x14ac:dyDescent="0.3">
      <c r="A985" t="s">
        <v>597</v>
      </c>
    </row>
    <row r="986" spans="1:1" x14ac:dyDescent="0.3">
      <c r="A986" s="54" t="s">
        <v>598</v>
      </c>
    </row>
    <row r="987" spans="1:1" x14ac:dyDescent="0.3">
      <c r="A987" t="s">
        <v>599</v>
      </c>
    </row>
    <row r="988" spans="1:1" x14ac:dyDescent="0.3">
      <c r="A988" t="s">
        <v>600</v>
      </c>
    </row>
    <row r="989" spans="1:1" x14ac:dyDescent="0.3">
      <c r="A989" t="s">
        <v>601</v>
      </c>
    </row>
    <row r="990" spans="1:1" x14ac:dyDescent="0.3">
      <c r="A990" t="s">
        <v>602</v>
      </c>
    </row>
    <row r="991" spans="1:1" x14ac:dyDescent="0.3">
      <c r="A991" t="s">
        <v>603</v>
      </c>
    </row>
    <row r="992" spans="1:1" x14ac:dyDescent="0.3">
      <c r="A992" t="s">
        <v>604</v>
      </c>
    </row>
    <row r="993" spans="1:1" x14ac:dyDescent="0.3">
      <c r="A993" t="s">
        <v>824</v>
      </c>
    </row>
    <row r="994" spans="1:1" x14ac:dyDescent="0.3">
      <c r="A994" t="s">
        <v>825</v>
      </c>
    </row>
    <row r="995" spans="1:1" x14ac:dyDescent="0.3">
      <c r="A995" t="s">
        <v>826</v>
      </c>
    </row>
    <row r="996" spans="1:1" x14ac:dyDescent="0.3">
      <c r="A996" t="s">
        <v>827</v>
      </c>
    </row>
    <row r="997" spans="1:1" x14ac:dyDescent="0.3">
      <c r="A997" t="s">
        <v>828</v>
      </c>
    </row>
    <row r="998" spans="1:1" x14ac:dyDescent="0.3">
      <c r="A998" t="s">
        <v>829</v>
      </c>
    </row>
    <row r="999" spans="1:1" x14ac:dyDescent="0.3">
      <c r="A999" t="s">
        <v>830</v>
      </c>
    </row>
    <row r="1000" spans="1:1" x14ac:dyDescent="0.3">
      <c r="A1000" t="s">
        <v>831</v>
      </c>
    </row>
    <row r="1001" spans="1:1" x14ac:dyDescent="0.3">
      <c r="A1001" t="s">
        <v>592</v>
      </c>
    </row>
    <row r="1002" spans="1:1" x14ac:dyDescent="0.3">
      <c r="A1002" t="s">
        <v>593</v>
      </c>
    </row>
    <row r="1003" spans="1:1" x14ac:dyDescent="0.3">
      <c r="A1003" t="s">
        <v>594</v>
      </c>
    </row>
    <row r="1004" spans="1:1" x14ac:dyDescent="0.3">
      <c r="A1004" t="s">
        <v>595</v>
      </c>
    </row>
    <row r="1005" spans="1:1" x14ac:dyDescent="0.3">
      <c r="A1005" t="s">
        <v>596</v>
      </c>
    </row>
    <row r="1006" spans="1:1" x14ac:dyDescent="0.3">
      <c r="A1006" t="s">
        <v>597</v>
      </c>
    </row>
    <row r="1007" spans="1:1" x14ac:dyDescent="0.3">
      <c r="A1007" t="s">
        <v>598</v>
      </c>
    </row>
    <row r="1008" spans="1:1" x14ac:dyDescent="0.3">
      <c r="A1008" t="s">
        <v>599</v>
      </c>
    </row>
    <row r="1009" spans="1:1" x14ac:dyDescent="0.3">
      <c r="A1009" t="s">
        <v>600</v>
      </c>
    </row>
    <row r="1010" spans="1:1" x14ac:dyDescent="0.3">
      <c r="A1010" t="s">
        <v>601</v>
      </c>
    </row>
    <row r="1011" spans="1:1" x14ac:dyDescent="0.3">
      <c r="A1011" t="s">
        <v>602</v>
      </c>
    </row>
    <row r="1012" spans="1:1" x14ac:dyDescent="0.3">
      <c r="A1012" t="s">
        <v>603</v>
      </c>
    </row>
    <row r="1013" spans="1:1" x14ac:dyDescent="0.3">
      <c r="A1013" t="s">
        <v>604</v>
      </c>
    </row>
    <row r="1014" spans="1:1" ht="28.8" x14ac:dyDescent="0.3">
      <c r="A1014" s="54" t="s">
        <v>714</v>
      </c>
    </row>
    <row r="1015" spans="1:1" x14ac:dyDescent="0.3">
      <c r="A1015" t="s">
        <v>715</v>
      </c>
    </row>
    <row r="1016" spans="1:1" x14ac:dyDescent="0.3">
      <c r="A1016" t="s">
        <v>716</v>
      </c>
    </row>
    <row r="1017" spans="1:1" x14ac:dyDescent="0.3">
      <c r="A1017" t="s">
        <v>717</v>
      </c>
    </row>
    <row r="1018" spans="1:1" x14ac:dyDescent="0.3">
      <c r="A1018" t="s">
        <v>718</v>
      </c>
    </row>
    <row r="1019" spans="1:1" x14ac:dyDescent="0.3">
      <c r="A1019" t="s">
        <v>719</v>
      </c>
    </row>
    <row r="1020" spans="1:1" x14ac:dyDescent="0.3">
      <c r="A1020" t="s">
        <v>832</v>
      </c>
    </row>
    <row r="1021" spans="1:1" x14ac:dyDescent="0.3">
      <c r="A1021" t="s">
        <v>833</v>
      </c>
    </row>
    <row r="1022" spans="1:1" x14ac:dyDescent="0.3">
      <c r="A1022" t="s">
        <v>592</v>
      </c>
    </row>
    <row r="1023" spans="1:1" x14ac:dyDescent="0.3">
      <c r="A1023" t="s">
        <v>593</v>
      </c>
    </row>
    <row r="1024" spans="1:1" x14ac:dyDescent="0.3">
      <c r="A1024" t="s">
        <v>594</v>
      </c>
    </row>
    <row r="1025" spans="1:1" x14ac:dyDescent="0.3">
      <c r="A1025" t="s">
        <v>595</v>
      </c>
    </row>
    <row r="1026" spans="1:1" x14ac:dyDescent="0.3">
      <c r="A1026" t="s">
        <v>596</v>
      </c>
    </row>
    <row r="1027" spans="1:1" x14ac:dyDescent="0.3">
      <c r="A1027" t="s">
        <v>597</v>
      </c>
    </row>
    <row r="1028" spans="1:1" x14ac:dyDescent="0.3">
      <c r="A1028" t="s">
        <v>598</v>
      </c>
    </row>
    <row r="1029" spans="1:1" x14ac:dyDescent="0.3">
      <c r="A1029" t="s">
        <v>599</v>
      </c>
    </row>
    <row r="1030" spans="1:1" x14ac:dyDescent="0.3">
      <c r="A1030" t="s">
        <v>600</v>
      </c>
    </row>
    <row r="1031" spans="1:1" x14ac:dyDescent="0.3">
      <c r="A1031" t="s">
        <v>601</v>
      </c>
    </row>
    <row r="1032" spans="1:1" x14ac:dyDescent="0.3">
      <c r="A1032" t="s">
        <v>602</v>
      </c>
    </row>
    <row r="1033" spans="1:1" x14ac:dyDescent="0.3">
      <c r="A1033" t="s">
        <v>603</v>
      </c>
    </row>
    <row r="1034" spans="1:1" x14ac:dyDescent="0.3">
      <c r="A1034" t="s">
        <v>604</v>
      </c>
    </row>
    <row r="1035" spans="1:1" x14ac:dyDescent="0.3">
      <c r="A1035" t="s">
        <v>634</v>
      </c>
    </row>
    <row r="1036" spans="1:1" x14ac:dyDescent="0.3">
      <c r="A1036" t="s">
        <v>635</v>
      </c>
    </row>
    <row r="1037" spans="1:1" x14ac:dyDescent="0.3">
      <c r="A1037" t="s">
        <v>636</v>
      </c>
    </row>
    <row r="1038" spans="1:1" x14ac:dyDescent="0.3">
      <c r="A1038" t="s">
        <v>637</v>
      </c>
    </row>
    <row r="1039" spans="1:1" x14ac:dyDescent="0.3">
      <c r="A1039" t="s">
        <v>638</v>
      </c>
    </row>
    <row r="1040" spans="1:1" x14ac:dyDescent="0.3">
      <c r="A1040" s="54" t="s">
        <v>639</v>
      </c>
    </row>
    <row r="1041" spans="1:1" x14ac:dyDescent="0.3">
      <c r="A1041" t="s">
        <v>834</v>
      </c>
    </row>
    <row r="1042" spans="1:1" x14ac:dyDescent="0.3">
      <c r="A1042" t="s">
        <v>835</v>
      </c>
    </row>
    <row r="1043" spans="1:1" x14ac:dyDescent="0.3">
      <c r="A1043" t="s">
        <v>592</v>
      </c>
    </row>
    <row r="1044" spans="1:1" x14ac:dyDescent="0.3">
      <c r="A1044" t="s">
        <v>593</v>
      </c>
    </row>
    <row r="1045" spans="1:1" x14ac:dyDescent="0.3">
      <c r="A1045" t="s">
        <v>594</v>
      </c>
    </row>
    <row r="1046" spans="1:1" x14ac:dyDescent="0.3">
      <c r="A1046" t="s">
        <v>595</v>
      </c>
    </row>
    <row r="1047" spans="1:1" x14ac:dyDescent="0.3">
      <c r="A1047" t="s">
        <v>596</v>
      </c>
    </row>
    <row r="1048" spans="1:1" x14ac:dyDescent="0.3">
      <c r="A1048" t="s">
        <v>597</v>
      </c>
    </row>
    <row r="1049" spans="1:1" x14ac:dyDescent="0.3">
      <c r="A1049" t="s">
        <v>598</v>
      </c>
    </row>
    <row r="1050" spans="1:1" x14ac:dyDescent="0.3">
      <c r="A1050" t="s">
        <v>599</v>
      </c>
    </row>
    <row r="1051" spans="1:1" x14ac:dyDescent="0.3">
      <c r="A1051" t="s">
        <v>600</v>
      </c>
    </row>
    <row r="1052" spans="1:1" x14ac:dyDescent="0.3">
      <c r="A1052" t="s">
        <v>601</v>
      </c>
    </row>
    <row r="1053" spans="1:1" x14ac:dyDescent="0.3">
      <c r="A1053" t="s">
        <v>602</v>
      </c>
    </row>
    <row r="1054" spans="1:1" x14ac:dyDescent="0.3">
      <c r="A1054" t="s">
        <v>603</v>
      </c>
    </row>
    <row r="1055" spans="1:1" x14ac:dyDescent="0.3">
      <c r="A1055" t="s">
        <v>604</v>
      </c>
    </row>
    <row r="1056" spans="1:1" x14ac:dyDescent="0.3">
      <c r="A1056" t="s">
        <v>836</v>
      </c>
    </row>
    <row r="1057" spans="1:1" x14ac:dyDescent="0.3">
      <c r="A1057" t="s">
        <v>837</v>
      </c>
    </row>
    <row r="1058" spans="1:1" x14ac:dyDescent="0.3">
      <c r="A1058" t="s">
        <v>838</v>
      </c>
    </row>
    <row r="1059" spans="1:1" x14ac:dyDescent="0.3">
      <c r="A1059" t="s">
        <v>839</v>
      </c>
    </row>
    <row r="1060" spans="1:1" x14ac:dyDescent="0.3">
      <c r="A1060" t="s">
        <v>840</v>
      </c>
    </row>
    <row r="1061" spans="1:1" x14ac:dyDescent="0.3">
      <c r="A1061" t="s">
        <v>841</v>
      </c>
    </row>
    <row r="1062" spans="1:1" x14ac:dyDescent="0.3">
      <c r="A1062" t="s">
        <v>842</v>
      </c>
    </row>
    <row r="1063" spans="1:1" x14ac:dyDescent="0.3">
      <c r="A1063" t="s">
        <v>843</v>
      </c>
    </row>
    <row r="1064" spans="1:1" x14ac:dyDescent="0.3">
      <c r="A1064" t="s">
        <v>592</v>
      </c>
    </row>
    <row r="1065" spans="1:1" x14ac:dyDescent="0.3">
      <c r="A1065" s="54" t="s">
        <v>593</v>
      </c>
    </row>
    <row r="1066" spans="1:1" x14ac:dyDescent="0.3">
      <c r="A1066" t="s">
        <v>594</v>
      </c>
    </row>
    <row r="1067" spans="1:1" x14ac:dyDescent="0.3">
      <c r="A1067" t="s">
        <v>595</v>
      </c>
    </row>
    <row r="1068" spans="1:1" x14ac:dyDescent="0.3">
      <c r="A1068" t="s">
        <v>596</v>
      </c>
    </row>
    <row r="1069" spans="1:1" x14ac:dyDescent="0.3">
      <c r="A1069" t="s">
        <v>597</v>
      </c>
    </row>
    <row r="1070" spans="1:1" x14ac:dyDescent="0.3">
      <c r="A1070" t="s">
        <v>598</v>
      </c>
    </row>
    <row r="1071" spans="1:1" x14ac:dyDescent="0.3">
      <c r="A1071" t="s">
        <v>599</v>
      </c>
    </row>
    <row r="1072" spans="1:1" x14ac:dyDescent="0.3">
      <c r="A1072" t="s">
        <v>600</v>
      </c>
    </row>
    <row r="1073" spans="1:1" x14ac:dyDescent="0.3">
      <c r="A1073" t="s">
        <v>601</v>
      </c>
    </row>
    <row r="1074" spans="1:1" x14ac:dyDescent="0.3">
      <c r="A1074" t="s">
        <v>602</v>
      </c>
    </row>
    <row r="1075" spans="1:1" x14ac:dyDescent="0.3">
      <c r="A1075" t="s">
        <v>603</v>
      </c>
    </row>
    <row r="1076" spans="1:1" x14ac:dyDescent="0.3">
      <c r="A1076" t="s">
        <v>604</v>
      </c>
    </row>
    <row r="1077" spans="1:1" x14ac:dyDescent="0.3">
      <c r="A1077" t="s">
        <v>751</v>
      </c>
    </row>
    <row r="1078" spans="1:1" x14ac:dyDescent="0.3">
      <c r="A1078" t="s">
        <v>752</v>
      </c>
    </row>
    <row r="1079" spans="1:1" x14ac:dyDescent="0.3">
      <c r="A1079" t="s">
        <v>753</v>
      </c>
    </row>
    <row r="1080" spans="1:1" x14ac:dyDescent="0.3">
      <c r="A1080" t="s">
        <v>754</v>
      </c>
    </row>
    <row r="1081" spans="1:1" x14ac:dyDescent="0.3">
      <c r="A1081" t="s">
        <v>755</v>
      </c>
    </row>
    <row r="1082" spans="1:1" x14ac:dyDescent="0.3">
      <c r="A1082" t="s">
        <v>756</v>
      </c>
    </row>
    <row r="1083" spans="1:1" x14ac:dyDescent="0.3">
      <c r="A1083" t="s">
        <v>844</v>
      </c>
    </row>
    <row r="1084" spans="1:1" x14ac:dyDescent="0.3">
      <c r="A1084" s="54" t="s">
        <v>845</v>
      </c>
    </row>
    <row r="1085" spans="1:1" x14ac:dyDescent="0.3">
      <c r="A1085" t="s">
        <v>592</v>
      </c>
    </row>
    <row r="1086" spans="1:1" x14ac:dyDescent="0.3">
      <c r="A1086" t="s">
        <v>593</v>
      </c>
    </row>
    <row r="1087" spans="1:1" x14ac:dyDescent="0.3">
      <c r="A1087" t="s">
        <v>594</v>
      </c>
    </row>
    <row r="1088" spans="1:1" x14ac:dyDescent="0.3">
      <c r="A1088" t="s">
        <v>595</v>
      </c>
    </row>
    <row r="1089" spans="1:1" x14ac:dyDescent="0.3">
      <c r="A1089" t="s">
        <v>596</v>
      </c>
    </row>
    <row r="1090" spans="1:1" x14ac:dyDescent="0.3">
      <c r="A1090" t="s">
        <v>597</v>
      </c>
    </row>
    <row r="1091" spans="1:1" x14ac:dyDescent="0.3">
      <c r="A1091" t="s">
        <v>598</v>
      </c>
    </row>
    <row r="1092" spans="1:1" x14ac:dyDescent="0.3">
      <c r="A1092" t="s">
        <v>599</v>
      </c>
    </row>
    <row r="1093" spans="1:1" x14ac:dyDescent="0.3">
      <c r="A1093" t="s">
        <v>600</v>
      </c>
    </row>
    <row r="1094" spans="1:1" x14ac:dyDescent="0.3">
      <c r="A1094" t="s">
        <v>601</v>
      </c>
    </row>
    <row r="1095" spans="1:1" x14ac:dyDescent="0.3">
      <c r="A1095" t="s">
        <v>602</v>
      </c>
    </row>
    <row r="1096" spans="1:1" x14ac:dyDescent="0.3">
      <c r="A1096" t="s">
        <v>603</v>
      </c>
    </row>
    <row r="1097" spans="1:1" x14ac:dyDescent="0.3">
      <c r="A1097" t="s">
        <v>604</v>
      </c>
    </row>
    <row r="1098" spans="1:1" x14ac:dyDescent="0.3">
      <c r="A1098" t="s">
        <v>824</v>
      </c>
    </row>
    <row r="1099" spans="1:1" x14ac:dyDescent="0.3">
      <c r="A1099" t="s">
        <v>825</v>
      </c>
    </row>
    <row r="1100" spans="1:1" x14ac:dyDescent="0.3">
      <c r="A1100" t="s">
        <v>826</v>
      </c>
    </row>
    <row r="1101" spans="1:1" x14ac:dyDescent="0.3">
      <c r="A1101" t="s">
        <v>827</v>
      </c>
    </row>
    <row r="1102" spans="1:1" x14ac:dyDescent="0.3">
      <c r="A1102" t="s">
        <v>828</v>
      </c>
    </row>
    <row r="1103" spans="1:1" x14ac:dyDescent="0.3">
      <c r="A1103" t="s">
        <v>829</v>
      </c>
    </row>
    <row r="1104" spans="1:1" x14ac:dyDescent="0.3">
      <c r="A1104" t="s">
        <v>846</v>
      </c>
    </row>
    <row r="1105" spans="1:1" x14ac:dyDescent="0.3">
      <c r="A1105" s="54" t="s">
        <v>847</v>
      </c>
    </row>
    <row r="1106" spans="1:1" x14ac:dyDescent="0.3">
      <c r="A1106" t="s">
        <v>592</v>
      </c>
    </row>
    <row r="1107" spans="1:1" x14ac:dyDescent="0.3">
      <c r="A1107" t="s">
        <v>593</v>
      </c>
    </row>
    <row r="1108" spans="1:1" x14ac:dyDescent="0.3">
      <c r="A1108" t="s">
        <v>594</v>
      </c>
    </row>
    <row r="1109" spans="1:1" x14ac:dyDescent="0.3">
      <c r="A1109" t="s">
        <v>595</v>
      </c>
    </row>
    <row r="1110" spans="1:1" x14ac:dyDescent="0.3">
      <c r="A1110" t="s">
        <v>596</v>
      </c>
    </row>
    <row r="1111" spans="1:1" x14ac:dyDescent="0.3">
      <c r="A1111" t="s">
        <v>597</v>
      </c>
    </row>
    <row r="1112" spans="1:1" x14ac:dyDescent="0.3">
      <c r="A1112" t="s">
        <v>598</v>
      </c>
    </row>
    <row r="1113" spans="1:1" x14ac:dyDescent="0.3">
      <c r="A1113" t="s">
        <v>599</v>
      </c>
    </row>
    <row r="1114" spans="1:1" x14ac:dyDescent="0.3">
      <c r="A1114" t="s">
        <v>600</v>
      </c>
    </row>
    <row r="1115" spans="1:1" x14ac:dyDescent="0.3">
      <c r="A1115" t="s">
        <v>601</v>
      </c>
    </row>
    <row r="1116" spans="1:1" x14ac:dyDescent="0.3">
      <c r="A1116" t="s">
        <v>602</v>
      </c>
    </row>
    <row r="1117" spans="1:1" x14ac:dyDescent="0.3">
      <c r="A1117" t="s">
        <v>603</v>
      </c>
    </row>
    <row r="1118" spans="1:1" x14ac:dyDescent="0.3">
      <c r="A1118" t="s">
        <v>604</v>
      </c>
    </row>
    <row r="1119" spans="1:1" x14ac:dyDescent="0.3">
      <c r="A1119" t="s">
        <v>714</v>
      </c>
    </row>
    <row r="1120" spans="1:1" x14ac:dyDescent="0.3">
      <c r="A1120" t="s">
        <v>715</v>
      </c>
    </row>
    <row r="1121" spans="1:1" x14ac:dyDescent="0.3">
      <c r="A1121" t="s">
        <v>716</v>
      </c>
    </row>
    <row r="1122" spans="1:1" x14ac:dyDescent="0.3">
      <c r="A1122" t="s">
        <v>717</v>
      </c>
    </row>
    <row r="1123" spans="1:1" x14ac:dyDescent="0.3">
      <c r="A1123" t="s">
        <v>718</v>
      </c>
    </row>
    <row r="1124" spans="1:1" x14ac:dyDescent="0.3">
      <c r="A1124" t="s">
        <v>719</v>
      </c>
    </row>
    <row r="1125" spans="1:1" x14ac:dyDescent="0.3">
      <c r="A1125" t="s">
        <v>848</v>
      </c>
    </row>
    <row r="1126" spans="1:1" x14ac:dyDescent="0.3">
      <c r="A1126" s="54" t="s">
        <v>849</v>
      </c>
    </row>
    <row r="1127" spans="1:1" x14ac:dyDescent="0.3">
      <c r="A1127" t="s">
        <v>592</v>
      </c>
    </row>
    <row r="1128" spans="1:1" x14ac:dyDescent="0.3">
      <c r="A1128" t="s">
        <v>593</v>
      </c>
    </row>
    <row r="1129" spans="1:1" x14ac:dyDescent="0.3">
      <c r="A1129" t="s">
        <v>594</v>
      </c>
    </row>
    <row r="1130" spans="1:1" x14ac:dyDescent="0.3">
      <c r="A1130" t="s">
        <v>595</v>
      </c>
    </row>
    <row r="1131" spans="1:1" x14ac:dyDescent="0.3">
      <c r="A1131" t="s">
        <v>596</v>
      </c>
    </row>
    <row r="1132" spans="1:1" x14ac:dyDescent="0.3">
      <c r="A1132" t="s">
        <v>597</v>
      </c>
    </row>
    <row r="1133" spans="1:1" x14ac:dyDescent="0.3">
      <c r="A1133" t="s">
        <v>598</v>
      </c>
    </row>
    <row r="1134" spans="1:1" x14ac:dyDescent="0.3">
      <c r="A1134" t="s">
        <v>599</v>
      </c>
    </row>
    <row r="1135" spans="1:1" x14ac:dyDescent="0.3">
      <c r="A1135" t="s">
        <v>600</v>
      </c>
    </row>
    <row r="1136" spans="1:1" x14ac:dyDescent="0.3">
      <c r="A1136" t="s">
        <v>601</v>
      </c>
    </row>
    <row r="1137" spans="1:1" x14ac:dyDescent="0.3">
      <c r="A1137" t="s">
        <v>602</v>
      </c>
    </row>
    <row r="1138" spans="1:1" x14ac:dyDescent="0.3">
      <c r="A1138" t="s">
        <v>603</v>
      </c>
    </row>
    <row r="1139" spans="1:1" x14ac:dyDescent="0.3">
      <c r="A1139" t="s">
        <v>604</v>
      </c>
    </row>
    <row r="1140" spans="1:1" x14ac:dyDescent="0.3">
      <c r="A1140" t="s">
        <v>634</v>
      </c>
    </row>
    <row r="1141" spans="1:1" x14ac:dyDescent="0.3">
      <c r="A1141" t="s">
        <v>635</v>
      </c>
    </row>
    <row r="1142" spans="1:1" x14ac:dyDescent="0.3">
      <c r="A1142" t="s">
        <v>636</v>
      </c>
    </row>
    <row r="1143" spans="1:1" x14ac:dyDescent="0.3">
      <c r="A1143" t="s">
        <v>637</v>
      </c>
    </row>
    <row r="1144" spans="1:1" x14ac:dyDescent="0.3">
      <c r="A1144" t="s">
        <v>638</v>
      </c>
    </row>
    <row r="1145" spans="1:1" x14ac:dyDescent="0.3">
      <c r="A1145" t="s">
        <v>639</v>
      </c>
    </row>
    <row r="1146" spans="1:1" x14ac:dyDescent="0.3">
      <c r="A1146" t="s">
        <v>850</v>
      </c>
    </row>
    <row r="1147" spans="1:1" x14ac:dyDescent="0.3">
      <c r="A1147" s="54" t="s">
        <v>851</v>
      </c>
    </row>
    <row r="1148" spans="1:1" x14ac:dyDescent="0.3">
      <c r="A1148" t="s">
        <v>592</v>
      </c>
    </row>
    <row r="1149" spans="1:1" x14ac:dyDescent="0.3">
      <c r="A1149" t="s">
        <v>593</v>
      </c>
    </row>
    <row r="1150" spans="1:1" x14ac:dyDescent="0.3">
      <c r="A1150" t="s">
        <v>594</v>
      </c>
    </row>
    <row r="1151" spans="1:1" x14ac:dyDescent="0.3">
      <c r="A1151" t="s">
        <v>595</v>
      </c>
    </row>
    <row r="1152" spans="1:1" x14ac:dyDescent="0.3">
      <c r="A1152" t="s">
        <v>596</v>
      </c>
    </row>
    <row r="1153" spans="1:1" x14ac:dyDescent="0.3">
      <c r="A1153" t="s">
        <v>597</v>
      </c>
    </row>
    <row r="1154" spans="1:1" x14ac:dyDescent="0.3">
      <c r="A1154" t="s">
        <v>598</v>
      </c>
    </row>
    <row r="1155" spans="1:1" x14ac:dyDescent="0.3">
      <c r="A1155" t="s">
        <v>599</v>
      </c>
    </row>
    <row r="1156" spans="1:1" x14ac:dyDescent="0.3">
      <c r="A1156" t="s">
        <v>600</v>
      </c>
    </row>
    <row r="1157" spans="1:1" x14ac:dyDescent="0.3">
      <c r="A1157" t="s">
        <v>601</v>
      </c>
    </row>
    <row r="1158" spans="1:1" x14ac:dyDescent="0.3">
      <c r="A1158" t="s">
        <v>602</v>
      </c>
    </row>
    <row r="1159" spans="1:1" x14ac:dyDescent="0.3">
      <c r="A1159" t="s">
        <v>603</v>
      </c>
    </row>
    <row r="1160" spans="1:1" x14ac:dyDescent="0.3">
      <c r="A1160" t="s">
        <v>604</v>
      </c>
    </row>
    <row r="1161" spans="1:1" x14ac:dyDescent="0.3">
      <c r="A1161" t="s">
        <v>836</v>
      </c>
    </row>
    <row r="1162" spans="1:1" x14ac:dyDescent="0.3">
      <c r="A1162" t="s">
        <v>837</v>
      </c>
    </row>
    <row r="1163" spans="1:1" x14ac:dyDescent="0.3">
      <c r="A1163" t="s">
        <v>838</v>
      </c>
    </row>
    <row r="1164" spans="1:1" x14ac:dyDescent="0.3">
      <c r="A1164" t="s">
        <v>839</v>
      </c>
    </row>
    <row r="1165" spans="1:1" x14ac:dyDescent="0.3">
      <c r="A1165" t="s">
        <v>840</v>
      </c>
    </row>
    <row r="1166" spans="1:1" x14ac:dyDescent="0.3">
      <c r="A1166" t="s">
        <v>841</v>
      </c>
    </row>
    <row r="1167" spans="1:1" x14ac:dyDescent="0.3">
      <c r="A1167" t="s">
        <v>852</v>
      </c>
    </row>
    <row r="1168" spans="1:1" x14ac:dyDescent="0.3">
      <c r="A1168" t="s">
        <v>853</v>
      </c>
    </row>
    <row r="1169" spans="1:1" x14ac:dyDescent="0.3">
      <c r="A1169" t="s">
        <v>592</v>
      </c>
    </row>
    <row r="1170" spans="1:1" x14ac:dyDescent="0.3">
      <c r="A1170" t="s">
        <v>593</v>
      </c>
    </row>
    <row r="1171" spans="1:1" x14ac:dyDescent="0.3">
      <c r="A1171" t="s">
        <v>594</v>
      </c>
    </row>
    <row r="1172" spans="1:1" x14ac:dyDescent="0.3">
      <c r="A1172" t="s">
        <v>595</v>
      </c>
    </row>
    <row r="1173" spans="1:1" x14ac:dyDescent="0.3">
      <c r="A1173" t="s">
        <v>596</v>
      </c>
    </row>
    <row r="1174" spans="1:1" x14ac:dyDescent="0.3">
      <c r="A1174" t="s">
        <v>597</v>
      </c>
    </row>
    <row r="1175" spans="1:1" x14ac:dyDescent="0.3">
      <c r="A1175" t="s">
        <v>598</v>
      </c>
    </row>
    <row r="1176" spans="1:1" x14ac:dyDescent="0.3">
      <c r="A1176" t="s">
        <v>599</v>
      </c>
    </row>
    <row r="1177" spans="1:1" x14ac:dyDescent="0.3">
      <c r="A1177" t="s">
        <v>600</v>
      </c>
    </row>
    <row r="1178" spans="1:1" x14ac:dyDescent="0.3">
      <c r="A1178" t="s">
        <v>601</v>
      </c>
    </row>
    <row r="1179" spans="1:1" x14ac:dyDescent="0.3">
      <c r="A1179" t="s">
        <v>602</v>
      </c>
    </row>
    <row r="1180" spans="1:1" x14ac:dyDescent="0.3">
      <c r="A1180" t="s">
        <v>603</v>
      </c>
    </row>
    <row r="1181" spans="1:1" x14ac:dyDescent="0.3">
      <c r="A1181" t="s">
        <v>604</v>
      </c>
    </row>
    <row r="1182" spans="1:1" x14ac:dyDescent="0.3">
      <c r="A1182" t="s">
        <v>751</v>
      </c>
    </row>
    <row r="1183" spans="1:1" x14ac:dyDescent="0.3">
      <c r="A1183" t="s">
        <v>752</v>
      </c>
    </row>
    <row r="1184" spans="1:1" x14ac:dyDescent="0.3">
      <c r="A1184" t="s">
        <v>753</v>
      </c>
    </row>
    <row r="1185" spans="1:1" x14ac:dyDescent="0.3">
      <c r="A1185" t="s">
        <v>754</v>
      </c>
    </row>
    <row r="1186" spans="1:1" x14ac:dyDescent="0.3">
      <c r="A1186" t="s">
        <v>755</v>
      </c>
    </row>
    <row r="1187" spans="1:1" x14ac:dyDescent="0.3">
      <c r="A1187" t="s">
        <v>756</v>
      </c>
    </row>
    <row r="1188" spans="1:1" x14ac:dyDescent="0.3">
      <c r="A1188" t="s">
        <v>854</v>
      </c>
    </row>
    <row r="1189" spans="1:1" x14ac:dyDescent="0.3">
      <c r="A1189" t="s">
        <v>855</v>
      </c>
    </row>
    <row r="1190" spans="1:1" x14ac:dyDescent="0.3">
      <c r="A1190" t="s">
        <v>592</v>
      </c>
    </row>
    <row r="1191" spans="1:1" x14ac:dyDescent="0.3">
      <c r="A1191" t="s">
        <v>593</v>
      </c>
    </row>
    <row r="1192" spans="1:1" x14ac:dyDescent="0.3">
      <c r="A1192" t="s">
        <v>594</v>
      </c>
    </row>
    <row r="1193" spans="1:1" x14ac:dyDescent="0.3">
      <c r="A1193" t="s">
        <v>595</v>
      </c>
    </row>
    <row r="1194" spans="1:1" x14ac:dyDescent="0.3">
      <c r="A1194" t="s">
        <v>596</v>
      </c>
    </row>
    <row r="1195" spans="1:1" x14ac:dyDescent="0.3">
      <c r="A1195" t="s">
        <v>597</v>
      </c>
    </row>
    <row r="1196" spans="1:1" x14ac:dyDescent="0.3">
      <c r="A1196" t="s">
        <v>598</v>
      </c>
    </row>
    <row r="1197" spans="1:1" x14ac:dyDescent="0.3">
      <c r="A1197" t="s">
        <v>599</v>
      </c>
    </row>
    <row r="1198" spans="1:1" x14ac:dyDescent="0.3">
      <c r="A1198" t="s">
        <v>600</v>
      </c>
    </row>
    <row r="1199" spans="1:1" x14ac:dyDescent="0.3">
      <c r="A1199" t="s">
        <v>601</v>
      </c>
    </row>
    <row r="1200" spans="1:1" x14ac:dyDescent="0.3">
      <c r="A1200" t="s">
        <v>602</v>
      </c>
    </row>
    <row r="1201" spans="1:1" x14ac:dyDescent="0.3">
      <c r="A1201" t="s">
        <v>603</v>
      </c>
    </row>
    <row r="1202" spans="1:1" x14ac:dyDescent="0.3">
      <c r="A1202" t="s">
        <v>604</v>
      </c>
    </row>
    <row r="1203" spans="1:1" x14ac:dyDescent="0.3">
      <c r="A1203" t="s">
        <v>824</v>
      </c>
    </row>
    <row r="1204" spans="1:1" x14ac:dyDescent="0.3">
      <c r="A1204" t="s">
        <v>825</v>
      </c>
    </row>
    <row r="1205" spans="1:1" x14ac:dyDescent="0.3">
      <c r="A1205" t="s">
        <v>826</v>
      </c>
    </row>
    <row r="1206" spans="1:1" x14ac:dyDescent="0.3">
      <c r="A1206" t="s">
        <v>827</v>
      </c>
    </row>
    <row r="1207" spans="1:1" x14ac:dyDescent="0.3">
      <c r="A1207" t="s">
        <v>828</v>
      </c>
    </row>
    <row r="1208" spans="1:1" x14ac:dyDescent="0.3">
      <c r="A1208" t="s">
        <v>829</v>
      </c>
    </row>
    <row r="1209" spans="1:1" x14ac:dyDescent="0.3">
      <c r="A1209" t="s">
        <v>856</v>
      </c>
    </row>
    <row r="1210" spans="1:1" x14ac:dyDescent="0.3">
      <c r="A1210" t="s">
        <v>857</v>
      </c>
    </row>
    <row r="1211" spans="1:1" x14ac:dyDescent="0.3">
      <c r="A1211" t="s">
        <v>592</v>
      </c>
    </row>
    <row r="1212" spans="1:1" x14ac:dyDescent="0.3">
      <c r="A1212" t="s">
        <v>593</v>
      </c>
    </row>
    <row r="1213" spans="1:1" x14ac:dyDescent="0.3">
      <c r="A1213" t="s">
        <v>594</v>
      </c>
    </row>
    <row r="1214" spans="1:1" x14ac:dyDescent="0.3">
      <c r="A1214" t="s">
        <v>595</v>
      </c>
    </row>
    <row r="1215" spans="1:1" x14ac:dyDescent="0.3">
      <c r="A1215" t="s">
        <v>596</v>
      </c>
    </row>
    <row r="1216" spans="1:1" x14ac:dyDescent="0.3">
      <c r="A1216" t="s">
        <v>597</v>
      </c>
    </row>
    <row r="1217" spans="1:1" x14ac:dyDescent="0.3">
      <c r="A1217" t="s">
        <v>598</v>
      </c>
    </row>
    <row r="1218" spans="1:1" x14ac:dyDescent="0.3">
      <c r="A1218" t="s">
        <v>599</v>
      </c>
    </row>
    <row r="1219" spans="1:1" x14ac:dyDescent="0.3">
      <c r="A1219" t="s">
        <v>600</v>
      </c>
    </row>
    <row r="1220" spans="1:1" x14ac:dyDescent="0.3">
      <c r="A1220" t="s">
        <v>601</v>
      </c>
    </row>
    <row r="1221" spans="1:1" x14ac:dyDescent="0.3">
      <c r="A1221" t="s">
        <v>602</v>
      </c>
    </row>
    <row r="1222" spans="1:1" x14ac:dyDescent="0.3">
      <c r="A1222" t="s">
        <v>603</v>
      </c>
    </row>
    <row r="1223" spans="1:1" x14ac:dyDescent="0.3">
      <c r="A1223" t="s">
        <v>604</v>
      </c>
    </row>
    <row r="1224" spans="1:1" x14ac:dyDescent="0.3">
      <c r="A1224" t="s">
        <v>714</v>
      </c>
    </row>
    <row r="1225" spans="1:1" x14ac:dyDescent="0.3">
      <c r="A1225" t="s">
        <v>715</v>
      </c>
    </row>
    <row r="1226" spans="1:1" x14ac:dyDescent="0.3">
      <c r="A1226" t="s">
        <v>716</v>
      </c>
    </row>
    <row r="1227" spans="1:1" x14ac:dyDescent="0.3">
      <c r="A1227" t="s">
        <v>717</v>
      </c>
    </row>
    <row r="1228" spans="1:1" x14ac:dyDescent="0.3">
      <c r="A1228" t="s">
        <v>718</v>
      </c>
    </row>
    <row r="1229" spans="1:1" x14ac:dyDescent="0.3">
      <c r="A1229" t="s">
        <v>719</v>
      </c>
    </row>
    <row r="1230" spans="1:1" x14ac:dyDescent="0.3">
      <c r="A1230" t="s">
        <v>858</v>
      </c>
    </row>
    <row r="1231" spans="1:1" x14ac:dyDescent="0.3">
      <c r="A1231" t="s">
        <v>859</v>
      </c>
    </row>
    <row r="1232" spans="1:1" x14ac:dyDescent="0.3">
      <c r="A1232" t="s">
        <v>592</v>
      </c>
    </row>
    <row r="1233" spans="1:1" x14ac:dyDescent="0.3">
      <c r="A1233" t="s">
        <v>593</v>
      </c>
    </row>
    <row r="1234" spans="1:1" x14ac:dyDescent="0.3">
      <c r="A1234" t="s">
        <v>594</v>
      </c>
    </row>
    <row r="1235" spans="1:1" x14ac:dyDescent="0.3">
      <c r="A1235" t="s">
        <v>595</v>
      </c>
    </row>
    <row r="1236" spans="1:1" x14ac:dyDescent="0.3">
      <c r="A1236" t="s">
        <v>596</v>
      </c>
    </row>
    <row r="1237" spans="1:1" x14ac:dyDescent="0.3">
      <c r="A1237" t="s">
        <v>597</v>
      </c>
    </row>
    <row r="1238" spans="1:1" x14ac:dyDescent="0.3">
      <c r="A1238" t="s">
        <v>598</v>
      </c>
    </row>
    <row r="1239" spans="1:1" x14ac:dyDescent="0.3">
      <c r="A1239" t="s">
        <v>599</v>
      </c>
    </row>
    <row r="1240" spans="1:1" x14ac:dyDescent="0.3">
      <c r="A1240" t="s">
        <v>600</v>
      </c>
    </row>
    <row r="1241" spans="1:1" x14ac:dyDescent="0.3">
      <c r="A1241" t="s">
        <v>601</v>
      </c>
    </row>
    <row r="1242" spans="1:1" x14ac:dyDescent="0.3">
      <c r="A1242" t="s">
        <v>602</v>
      </c>
    </row>
    <row r="1243" spans="1:1" x14ac:dyDescent="0.3">
      <c r="A1243" t="s">
        <v>603</v>
      </c>
    </row>
    <row r="1244" spans="1:1" x14ac:dyDescent="0.3">
      <c r="A1244" t="s">
        <v>604</v>
      </c>
    </row>
    <row r="1245" spans="1:1" x14ac:dyDescent="0.3">
      <c r="A1245" t="s">
        <v>634</v>
      </c>
    </row>
    <row r="1246" spans="1:1" x14ac:dyDescent="0.3">
      <c r="A1246" t="s">
        <v>635</v>
      </c>
    </row>
    <row r="1247" spans="1:1" x14ac:dyDescent="0.3">
      <c r="A1247" t="s">
        <v>636</v>
      </c>
    </row>
    <row r="1248" spans="1:1" x14ac:dyDescent="0.3">
      <c r="A1248" t="s">
        <v>637</v>
      </c>
    </row>
    <row r="1249" spans="1:1" x14ac:dyDescent="0.3">
      <c r="A1249" t="s">
        <v>638</v>
      </c>
    </row>
    <row r="1250" spans="1:1" x14ac:dyDescent="0.3">
      <c r="A1250" t="s">
        <v>639</v>
      </c>
    </row>
    <row r="1251" spans="1:1" x14ac:dyDescent="0.3">
      <c r="A1251" t="s">
        <v>860</v>
      </c>
    </row>
    <row r="1252" spans="1:1" x14ac:dyDescent="0.3">
      <c r="A1252" t="s">
        <v>861</v>
      </c>
    </row>
    <row r="1253" spans="1:1" x14ac:dyDescent="0.3">
      <c r="A1253" t="s">
        <v>592</v>
      </c>
    </row>
    <row r="1254" spans="1:1" x14ac:dyDescent="0.3">
      <c r="A1254" t="s">
        <v>593</v>
      </c>
    </row>
    <row r="1255" spans="1:1" x14ac:dyDescent="0.3">
      <c r="A1255" t="s">
        <v>594</v>
      </c>
    </row>
    <row r="1256" spans="1:1" x14ac:dyDescent="0.3">
      <c r="A1256" t="s">
        <v>595</v>
      </c>
    </row>
    <row r="1257" spans="1:1" x14ac:dyDescent="0.3">
      <c r="A1257" t="s">
        <v>596</v>
      </c>
    </row>
    <row r="1258" spans="1:1" x14ac:dyDescent="0.3">
      <c r="A1258" t="s">
        <v>597</v>
      </c>
    </row>
    <row r="1259" spans="1:1" x14ac:dyDescent="0.3">
      <c r="A1259" t="s">
        <v>598</v>
      </c>
    </row>
    <row r="1260" spans="1:1" x14ac:dyDescent="0.3">
      <c r="A1260" t="s">
        <v>599</v>
      </c>
    </row>
    <row r="1261" spans="1:1" x14ac:dyDescent="0.3">
      <c r="A1261" t="s">
        <v>600</v>
      </c>
    </row>
    <row r="1262" spans="1:1" x14ac:dyDescent="0.3">
      <c r="A1262" t="s">
        <v>601</v>
      </c>
    </row>
    <row r="1263" spans="1:1" x14ac:dyDescent="0.3">
      <c r="A1263" t="s">
        <v>602</v>
      </c>
    </row>
    <row r="1264" spans="1:1" x14ac:dyDescent="0.3">
      <c r="A1264" t="s">
        <v>603</v>
      </c>
    </row>
    <row r="1265" spans="1:1" x14ac:dyDescent="0.3">
      <c r="A1265" t="s">
        <v>604</v>
      </c>
    </row>
    <row r="1266" spans="1:1" x14ac:dyDescent="0.3">
      <c r="A1266" t="s">
        <v>836</v>
      </c>
    </row>
    <row r="1267" spans="1:1" x14ac:dyDescent="0.3">
      <c r="A1267" t="s">
        <v>837</v>
      </c>
    </row>
    <row r="1268" spans="1:1" x14ac:dyDescent="0.3">
      <c r="A1268" t="s">
        <v>838</v>
      </c>
    </row>
    <row r="1269" spans="1:1" x14ac:dyDescent="0.3">
      <c r="A1269" t="s">
        <v>839</v>
      </c>
    </row>
    <row r="1270" spans="1:1" x14ac:dyDescent="0.3">
      <c r="A1270" t="s">
        <v>840</v>
      </c>
    </row>
    <row r="1271" spans="1:1" x14ac:dyDescent="0.3">
      <c r="A1271" t="s">
        <v>841</v>
      </c>
    </row>
    <row r="1272" spans="1:1" x14ac:dyDescent="0.3">
      <c r="A1272" t="s">
        <v>862</v>
      </c>
    </row>
    <row r="1273" spans="1:1" x14ac:dyDescent="0.3">
      <c r="A1273" t="s">
        <v>863</v>
      </c>
    </row>
    <row r="1274" spans="1:1" x14ac:dyDescent="0.3">
      <c r="A1274" t="s">
        <v>592</v>
      </c>
    </row>
    <row r="1275" spans="1:1" x14ac:dyDescent="0.3">
      <c r="A1275" t="s">
        <v>593</v>
      </c>
    </row>
    <row r="1276" spans="1:1" x14ac:dyDescent="0.3">
      <c r="A1276" t="s">
        <v>594</v>
      </c>
    </row>
    <row r="1277" spans="1:1" x14ac:dyDescent="0.3">
      <c r="A1277" t="s">
        <v>595</v>
      </c>
    </row>
    <row r="1278" spans="1:1" x14ac:dyDescent="0.3">
      <c r="A1278" t="s">
        <v>596</v>
      </c>
    </row>
    <row r="1279" spans="1:1" x14ac:dyDescent="0.3">
      <c r="A1279" t="s">
        <v>597</v>
      </c>
    </row>
    <row r="1280" spans="1:1" x14ac:dyDescent="0.3">
      <c r="A1280" t="s">
        <v>598</v>
      </c>
    </row>
    <row r="1281" spans="1:1" x14ac:dyDescent="0.3">
      <c r="A1281" t="s">
        <v>599</v>
      </c>
    </row>
    <row r="1282" spans="1:1" x14ac:dyDescent="0.3">
      <c r="A1282" t="s">
        <v>600</v>
      </c>
    </row>
    <row r="1283" spans="1:1" x14ac:dyDescent="0.3">
      <c r="A1283" t="s">
        <v>601</v>
      </c>
    </row>
    <row r="1284" spans="1:1" x14ac:dyDescent="0.3">
      <c r="A1284" t="s">
        <v>602</v>
      </c>
    </row>
    <row r="1285" spans="1:1" x14ac:dyDescent="0.3">
      <c r="A1285" t="s">
        <v>603</v>
      </c>
    </row>
    <row r="1286" spans="1:1" x14ac:dyDescent="0.3">
      <c r="A1286" t="s">
        <v>604</v>
      </c>
    </row>
    <row r="1287" spans="1:1" x14ac:dyDescent="0.3">
      <c r="A1287" t="s">
        <v>751</v>
      </c>
    </row>
    <row r="1288" spans="1:1" x14ac:dyDescent="0.3">
      <c r="A1288" t="s">
        <v>752</v>
      </c>
    </row>
    <row r="1289" spans="1:1" x14ac:dyDescent="0.3">
      <c r="A1289" t="s">
        <v>753</v>
      </c>
    </row>
    <row r="1290" spans="1:1" x14ac:dyDescent="0.3">
      <c r="A1290" t="s">
        <v>754</v>
      </c>
    </row>
    <row r="1291" spans="1:1" x14ac:dyDescent="0.3">
      <c r="A1291" t="s">
        <v>755</v>
      </c>
    </row>
    <row r="1292" spans="1:1" x14ac:dyDescent="0.3">
      <c r="A1292" t="s">
        <v>756</v>
      </c>
    </row>
    <row r="1293" spans="1:1" x14ac:dyDescent="0.3">
      <c r="A1293" t="s">
        <v>864</v>
      </c>
    </row>
    <row r="1294" spans="1:1" x14ac:dyDescent="0.3">
      <c r="A1294" t="s">
        <v>865</v>
      </c>
    </row>
    <row r="1295" spans="1:1" x14ac:dyDescent="0.3">
      <c r="A1295" t="s">
        <v>592</v>
      </c>
    </row>
    <row r="1296" spans="1:1" x14ac:dyDescent="0.3">
      <c r="A1296" t="s">
        <v>593</v>
      </c>
    </row>
    <row r="1297" spans="1:1" x14ac:dyDescent="0.3">
      <c r="A1297" t="s">
        <v>594</v>
      </c>
    </row>
    <row r="1298" spans="1:1" x14ac:dyDescent="0.3">
      <c r="A1298" t="s">
        <v>595</v>
      </c>
    </row>
    <row r="1299" spans="1:1" x14ac:dyDescent="0.3">
      <c r="A1299" t="s">
        <v>596</v>
      </c>
    </row>
    <row r="1300" spans="1:1" x14ac:dyDescent="0.3">
      <c r="A1300" t="s">
        <v>597</v>
      </c>
    </row>
    <row r="1301" spans="1:1" x14ac:dyDescent="0.3">
      <c r="A1301" t="s">
        <v>598</v>
      </c>
    </row>
    <row r="1302" spans="1:1" x14ac:dyDescent="0.3">
      <c r="A1302" t="s">
        <v>599</v>
      </c>
    </row>
    <row r="1303" spans="1:1" x14ac:dyDescent="0.3">
      <c r="A1303" t="s">
        <v>600</v>
      </c>
    </row>
    <row r="1304" spans="1:1" x14ac:dyDescent="0.3">
      <c r="A1304" t="s">
        <v>601</v>
      </c>
    </row>
    <row r="1305" spans="1:1" x14ac:dyDescent="0.3">
      <c r="A1305" t="s">
        <v>602</v>
      </c>
    </row>
    <row r="1306" spans="1:1" x14ac:dyDescent="0.3">
      <c r="A1306" t="s">
        <v>603</v>
      </c>
    </row>
    <row r="1307" spans="1:1" x14ac:dyDescent="0.3">
      <c r="A1307" t="s">
        <v>604</v>
      </c>
    </row>
    <row r="1308" spans="1:1" x14ac:dyDescent="0.3">
      <c r="A1308" t="s">
        <v>824</v>
      </c>
    </row>
    <row r="1309" spans="1:1" x14ac:dyDescent="0.3">
      <c r="A1309" t="s">
        <v>825</v>
      </c>
    </row>
    <row r="1310" spans="1:1" x14ac:dyDescent="0.3">
      <c r="A1310" t="s">
        <v>826</v>
      </c>
    </row>
    <row r="1311" spans="1:1" x14ac:dyDescent="0.3">
      <c r="A1311" t="s">
        <v>827</v>
      </c>
    </row>
    <row r="1312" spans="1:1" x14ac:dyDescent="0.3">
      <c r="A1312" t="s">
        <v>828</v>
      </c>
    </row>
    <row r="1313" spans="1:1" x14ac:dyDescent="0.3">
      <c r="A1313" t="s">
        <v>829</v>
      </c>
    </row>
    <row r="1314" spans="1:1" x14ac:dyDescent="0.3">
      <c r="A1314" t="s">
        <v>866</v>
      </c>
    </row>
    <row r="1315" spans="1:1" x14ac:dyDescent="0.3">
      <c r="A1315" t="s">
        <v>867</v>
      </c>
    </row>
    <row r="1316" spans="1:1" x14ac:dyDescent="0.3">
      <c r="A1316" t="s">
        <v>592</v>
      </c>
    </row>
    <row r="1317" spans="1:1" x14ac:dyDescent="0.3">
      <c r="A1317" t="s">
        <v>593</v>
      </c>
    </row>
    <row r="1318" spans="1:1" x14ac:dyDescent="0.3">
      <c r="A1318" t="s">
        <v>594</v>
      </c>
    </row>
    <row r="1319" spans="1:1" x14ac:dyDescent="0.3">
      <c r="A1319" t="s">
        <v>595</v>
      </c>
    </row>
    <row r="1320" spans="1:1" x14ac:dyDescent="0.3">
      <c r="A1320" t="s">
        <v>596</v>
      </c>
    </row>
    <row r="1321" spans="1:1" x14ac:dyDescent="0.3">
      <c r="A1321" t="s">
        <v>597</v>
      </c>
    </row>
    <row r="1322" spans="1:1" x14ac:dyDescent="0.3">
      <c r="A1322" t="s">
        <v>598</v>
      </c>
    </row>
    <row r="1323" spans="1:1" x14ac:dyDescent="0.3">
      <c r="A1323" t="s">
        <v>599</v>
      </c>
    </row>
    <row r="1324" spans="1:1" x14ac:dyDescent="0.3">
      <c r="A1324" t="s">
        <v>600</v>
      </c>
    </row>
    <row r="1325" spans="1:1" x14ac:dyDescent="0.3">
      <c r="A1325" t="s">
        <v>601</v>
      </c>
    </row>
    <row r="1326" spans="1:1" x14ac:dyDescent="0.3">
      <c r="A1326" t="s">
        <v>602</v>
      </c>
    </row>
    <row r="1327" spans="1:1" x14ac:dyDescent="0.3">
      <c r="A1327" t="s">
        <v>603</v>
      </c>
    </row>
    <row r="1328" spans="1:1" x14ac:dyDescent="0.3">
      <c r="A1328" t="s">
        <v>604</v>
      </c>
    </row>
    <row r="1329" spans="1:1" x14ac:dyDescent="0.3">
      <c r="A1329" t="s">
        <v>714</v>
      </c>
    </row>
    <row r="1330" spans="1:1" x14ac:dyDescent="0.3">
      <c r="A1330" t="s">
        <v>715</v>
      </c>
    </row>
    <row r="1331" spans="1:1" x14ac:dyDescent="0.3">
      <c r="A1331" t="s">
        <v>716</v>
      </c>
    </row>
    <row r="1332" spans="1:1" x14ac:dyDescent="0.3">
      <c r="A1332" t="s">
        <v>717</v>
      </c>
    </row>
    <row r="1333" spans="1:1" x14ac:dyDescent="0.3">
      <c r="A1333" t="s">
        <v>718</v>
      </c>
    </row>
    <row r="1334" spans="1:1" x14ac:dyDescent="0.3">
      <c r="A1334" t="s">
        <v>719</v>
      </c>
    </row>
    <row r="1335" spans="1:1" x14ac:dyDescent="0.3">
      <c r="A1335" t="s">
        <v>868</v>
      </c>
    </row>
    <row r="1336" spans="1:1" x14ac:dyDescent="0.3">
      <c r="A1336" t="s">
        <v>869</v>
      </c>
    </row>
    <row r="1337" spans="1:1" x14ac:dyDescent="0.3">
      <c r="A1337" t="s">
        <v>592</v>
      </c>
    </row>
    <row r="1338" spans="1:1" x14ac:dyDescent="0.3">
      <c r="A1338" t="s">
        <v>593</v>
      </c>
    </row>
    <row r="1339" spans="1:1" x14ac:dyDescent="0.3">
      <c r="A1339" t="s">
        <v>594</v>
      </c>
    </row>
    <row r="1340" spans="1:1" x14ac:dyDescent="0.3">
      <c r="A1340" t="s">
        <v>595</v>
      </c>
    </row>
    <row r="1341" spans="1:1" x14ac:dyDescent="0.3">
      <c r="A1341" t="s">
        <v>596</v>
      </c>
    </row>
    <row r="1342" spans="1:1" x14ac:dyDescent="0.3">
      <c r="A1342" t="s">
        <v>597</v>
      </c>
    </row>
    <row r="1343" spans="1:1" x14ac:dyDescent="0.3">
      <c r="A1343" t="s">
        <v>598</v>
      </c>
    </row>
    <row r="1344" spans="1:1" x14ac:dyDescent="0.3">
      <c r="A1344" t="s">
        <v>599</v>
      </c>
    </row>
    <row r="1345" spans="1:1" x14ac:dyDescent="0.3">
      <c r="A1345" t="s">
        <v>600</v>
      </c>
    </row>
    <row r="1346" spans="1:1" x14ac:dyDescent="0.3">
      <c r="A1346" t="s">
        <v>601</v>
      </c>
    </row>
    <row r="1347" spans="1:1" x14ac:dyDescent="0.3">
      <c r="A1347" t="s">
        <v>602</v>
      </c>
    </row>
    <row r="1348" spans="1:1" x14ac:dyDescent="0.3">
      <c r="A1348" t="s">
        <v>603</v>
      </c>
    </row>
    <row r="1349" spans="1:1" x14ac:dyDescent="0.3">
      <c r="A1349" t="s">
        <v>604</v>
      </c>
    </row>
    <row r="1350" spans="1:1" x14ac:dyDescent="0.3">
      <c r="A1350" t="s">
        <v>634</v>
      </c>
    </row>
    <row r="1351" spans="1:1" x14ac:dyDescent="0.3">
      <c r="A1351" t="s">
        <v>635</v>
      </c>
    </row>
    <row r="1352" spans="1:1" x14ac:dyDescent="0.3">
      <c r="A1352" t="s">
        <v>636</v>
      </c>
    </row>
    <row r="1353" spans="1:1" x14ac:dyDescent="0.3">
      <c r="A1353" t="s">
        <v>637</v>
      </c>
    </row>
    <row r="1354" spans="1:1" x14ac:dyDescent="0.3">
      <c r="A1354" t="s">
        <v>638</v>
      </c>
    </row>
    <row r="1355" spans="1:1" x14ac:dyDescent="0.3">
      <c r="A1355" t="s">
        <v>639</v>
      </c>
    </row>
    <row r="1356" spans="1:1" x14ac:dyDescent="0.3">
      <c r="A1356" t="s">
        <v>870</v>
      </c>
    </row>
    <row r="1357" spans="1:1" x14ac:dyDescent="0.3">
      <c r="A1357" t="s">
        <v>871</v>
      </c>
    </row>
    <row r="1358" spans="1:1" x14ac:dyDescent="0.3">
      <c r="A1358" t="s">
        <v>592</v>
      </c>
    </row>
    <row r="1359" spans="1:1" x14ac:dyDescent="0.3">
      <c r="A1359" t="s">
        <v>593</v>
      </c>
    </row>
    <row r="1360" spans="1:1" x14ac:dyDescent="0.3">
      <c r="A1360" t="s">
        <v>594</v>
      </c>
    </row>
    <row r="1361" spans="1:1" x14ac:dyDescent="0.3">
      <c r="A1361" t="s">
        <v>595</v>
      </c>
    </row>
    <row r="1362" spans="1:1" x14ac:dyDescent="0.3">
      <c r="A1362" t="s">
        <v>596</v>
      </c>
    </row>
    <row r="1363" spans="1:1" x14ac:dyDescent="0.3">
      <c r="A1363" t="s">
        <v>597</v>
      </c>
    </row>
    <row r="1364" spans="1:1" x14ac:dyDescent="0.3">
      <c r="A1364" t="s">
        <v>598</v>
      </c>
    </row>
    <row r="1365" spans="1:1" x14ac:dyDescent="0.3">
      <c r="A1365" t="s">
        <v>599</v>
      </c>
    </row>
    <row r="1366" spans="1:1" x14ac:dyDescent="0.3">
      <c r="A1366" t="s">
        <v>600</v>
      </c>
    </row>
    <row r="1367" spans="1:1" x14ac:dyDescent="0.3">
      <c r="A1367" t="s">
        <v>601</v>
      </c>
    </row>
    <row r="1368" spans="1:1" x14ac:dyDescent="0.3">
      <c r="A1368" t="s">
        <v>602</v>
      </c>
    </row>
    <row r="1369" spans="1:1" x14ac:dyDescent="0.3">
      <c r="A1369" t="s">
        <v>603</v>
      </c>
    </row>
    <row r="1370" spans="1:1" x14ac:dyDescent="0.3">
      <c r="A1370" t="s">
        <v>604</v>
      </c>
    </row>
    <row r="1371" spans="1:1" x14ac:dyDescent="0.3">
      <c r="A1371" t="s">
        <v>836</v>
      </c>
    </row>
    <row r="1372" spans="1:1" x14ac:dyDescent="0.3">
      <c r="A1372" t="s">
        <v>837</v>
      </c>
    </row>
    <row r="1373" spans="1:1" x14ac:dyDescent="0.3">
      <c r="A1373" t="s">
        <v>838</v>
      </c>
    </row>
    <row r="1374" spans="1:1" x14ac:dyDescent="0.3">
      <c r="A1374" t="s">
        <v>839</v>
      </c>
    </row>
    <row r="1375" spans="1:1" x14ac:dyDescent="0.3">
      <c r="A1375" t="s">
        <v>840</v>
      </c>
    </row>
    <row r="1376" spans="1:1" x14ac:dyDescent="0.3">
      <c r="A1376" t="s">
        <v>841</v>
      </c>
    </row>
    <row r="1377" spans="1:1" x14ac:dyDescent="0.3">
      <c r="A1377" t="s">
        <v>872</v>
      </c>
    </row>
    <row r="1378" spans="1:1" x14ac:dyDescent="0.3">
      <c r="A1378" t="s">
        <v>873</v>
      </c>
    </row>
    <row r="1379" spans="1:1" x14ac:dyDescent="0.3">
      <c r="A1379" t="s">
        <v>592</v>
      </c>
    </row>
    <row r="1380" spans="1:1" x14ac:dyDescent="0.3">
      <c r="A1380" t="s">
        <v>593</v>
      </c>
    </row>
    <row r="1381" spans="1:1" x14ac:dyDescent="0.3">
      <c r="A1381" t="s">
        <v>594</v>
      </c>
    </row>
    <row r="1382" spans="1:1" x14ac:dyDescent="0.3">
      <c r="A1382" t="s">
        <v>595</v>
      </c>
    </row>
    <row r="1383" spans="1:1" x14ac:dyDescent="0.3">
      <c r="A1383" t="s">
        <v>596</v>
      </c>
    </row>
    <row r="1384" spans="1:1" x14ac:dyDescent="0.3">
      <c r="A1384" t="s">
        <v>597</v>
      </c>
    </row>
    <row r="1385" spans="1:1" x14ac:dyDescent="0.3">
      <c r="A1385" t="s">
        <v>598</v>
      </c>
    </row>
    <row r="1386" spans="1:1" x14ac:dyDescent="0.3">
      <c r="A1386" t="s">
        <v>599</v>
      </c>
    </row>
    <row r="1387" spans="1:1" x14ac:dyDescent="0.3">
      <c r="A1387" t="s">
        <v>600</v>
      </c>
    </row>
    <row r="1388" spans="1:1" x14ac:dyDescent="0.3">
      <c r="A1388" t="s">
        <v>601</v>
      </c>
    </row>
    <row r="1389" spans="1:1" x14ac:dyDescent="0.3">
      <c r="A1389" t="s">
        <v>602</v>
      </c>
    </row>
    <row r="1390" spans="1:1" x14ac:dyDescent="0.3">
      <c r="A1390" t="s">
        <v>603</v>
      </c>
    </row>
    <row r="1391" spans="1:1" x14ac:dyDescent="0.3">
      <c r="A1391" t="s">
        <v>604</v>
      </c>
    </row>
    <row r="1392" spans="1:1" x14ac:dyDescent="0.3">
      <c r="A1392" t="s">
        <v>751</v>
      </c>
    </row>
    <row r="1393" spans="1:1" x14ac:dyDescent="0.3">
      <c r="A1393" t="s">
        <v>752</v>
      </c>
    </row>
    <row r="1394" spans="1:1" x14ac:dyDescent="0.3">
      <c r="A1394" t="s">
        <v>753</v>
      </c>
    </row>
    <row r="1395" spans="1:1" x14ac:dyDescent="0.3">
      <c r="A1395" t="s">
        <v>754</v>
      </c>
    </row>
    <row r="1396" spans="1:1" x14ac:dyDescent="0.3">
      <c r="A1396" t="s">
        <v>755</v>
      </c>
    </row>
    <row r="1397" spans="1:1" x14ac:dyDescent="0.3">
      <c r="A1397" t="s">
        <v>756</v>
      </c>
    </row>
    <row r="1398" spans="1:1" x14ac:dyDescent="0.3">
      <c r="A1398" t="s">
        <v>874</v>
      </c>
    </row>
    <row r="1399" spans="1:1" x14ac:dyDescent="0.3">
      <c r="A1399" t="s">
        <v>875</v>
      </c>
    </row>
    <row r="1400" spans="1:1" x14ac:dyDescent="0.3">
      <c r="A1400" t="s">
        <v>592</v>
      </c>
    </row>
    <row r="1401" spans="1:1" x14ac:dyDescent="0.3">
      <c r="A1401" t="s">
        <v>593</v>
      </c>
    </row>
    <row r="1402" spans="1:1" x14ac:dyDescent="0.3">
      <c r="A1402" t="s">
        <v>594</v>
      </c>
    </row>
    <row r="1403" spans="1:1" x14ac:dyDescent="0.3">
      <c r="A1403" t="s">
        <v>595</v>
      </c>
    </row>
    <row r="1404" spans="1:1" x14ac:dyDescent="0.3">
      <c r="A1404" t="s">
        <v>596</v>
      </c>
    </row>
    <row r="1405" spans="1:1" x14ac:dyDescent="0.3">
      <c r="A1405" t="s">
        <v>597</v>
      </c>
    </row>
    <row r="1406" spans="1:1" x14ac:dyDescent="0.3">
      <c r="A1406" t="s">
        <v>598</v>
      </c>
    </row>
    <row r="1407" spans="1:1" x14ac:dyDescent="0.3">
      <c r="A1407" t="s">
        <v>599</v>
      </c>
    </row>
    <row r="1408" spans="1:1" x14ac:dyDescent="0.3">
      <c r="A1408" t="s">
        <v>600</v>
      </c>
    </row>
    <row r="1409" spans="1:1" x14ac:dyDescent="0.3">
      <c r="A1409" t="s">
        <v>601</v>
      </c>
    </row>
    <row r="1410" spans="1:1" x14ac:dyDescent="0.3">
      <c r="A1410" t="s">
        <v>602</v>
      </c>
    </row>
    <row r="1411" spans="1:1" x14ac:dyDescent="0.3">
      <c r="A1411" t="s">
        <v>603</v>
      </c>
    </row>
    <row r="1412" spans="1:1" x14ac:dyDescent="0.3">
      <c r="A1412" t="s">
        <v>604</v>
      </c>
    </row>
    <row r="1413" spans="1:1" x14ac:dyDescent="0.3">
      <c r="A1413" t="s">
        <v>714</v>
      </c>
    </row>
    <row r="1414" spans="1:1" x14ac:dyDescent="0.3">
      <c r="A1414" t="s">
        <v>715</v>
      </c>
    </row>
    <row r="1415" spans="1:1" x14ac:dyDescent="0.3">
      <c r="A1415" t="s">
        <v>716</v>
      </c>
    </row>
    <row r="1416" spans="1:1" x14ac:dyDescent="0.3">
      <c r="A1416" t="s">
        <v>717</v>
      </c>
    </row>
    <row r="1417" spans="1:1" x14ac:dyDescent="0.3">
      <c r="A1417" t="s">
        <v>718</v>
      </c>
    </row>
    <row r="1418" spans="1:1" x14ac:dyDescent="0.3">
      <c r="A1418" t="s">
        <v>719</v>
      </c>
    </row>
    <row r="1419" spans="1:1" x14ac:dyDescent="0.3">
      <c r="A1419" t="s">
        <v>876</v>
      </c>
    </row>
    <row r="1420" spans="1:1" x14ac:dyDescent="0.3">
      <c r="A1420" t="s">
        <v>877</v>
      </c>
    </row>
    <row r="1421" spans="1:1" x14ac:dyDescent="0.3">
      <c r="A1421" t="s">
        <v>592</v>
      </c>
    </row>
    <row r="1422" spans="1:1" x14ac:dyDescent="0.3">
      <c r="A1422" t="s">
        <v>593</v>
      </c>
    </row>
    <row r="1423" spans="1:1" x14ac:dyDescent="0.3">
      <c r="A1423" t="s">
        <v>594</v>
      </c>
    </row>
    <row r="1424" spans="1:1" x14ac:dyDescent="0.3">
      <c r="A1424" t="s">
        <v>595</v>
      </c>
    </row>
    <row r="1425" spans="1:1" x14ac:dyDescent="0.3">
      <c r="A1425" t="s">
        <v>596</v>
      </c>
    </row>
    <row r="1426" spans="1:1" x14ac:dyDescent="0.3">
      <c r="A1426" t="s">
        <v>597</v>
      </c>
    </row>
    <row r="1427" spans="1:1" x14ac:dyDescent="0.3">
      <c r="A1427" t="s">
        <v>598</v>
      </c>
    </row>
    <row r="1428" spans="1:1" x14ac:dyDescent="0.3">
      <c r="A1428" t="s">
        <v>599</v>
      </c>
    </row>
    <row r="1429" spans="1:1" x14ac:dyDescent="0.3">
      <c r="A1429" t="s">
        <v>600</v>
      </c>
    </row>
    <row r="1430" spans="1:1" x14ac:dyDescent="0.3">
      <c r="A1430" t="s">
        <v>601</v>
      </c>
    </row>
    <row r="1431" spans="1:1" x14ac:dyDescent="0.3">
      <c r="A1431" t="s">
        <v>602</v>
      </c>
    </row>
    <row r="1432" spans="1:1" x14ac:dyDescent="0.3">
      <c r="A1432" t="s">
        <v>603</v>
      </c>
    </row>
    <row r="1433" spans="1:1" x14ac:dyDescent="0.3">
      <c r="A1433" t="s">
        <v>604</v>
      </c>
    </row>
    <row r="1434" spans="1:1" x14ac:dyDescent="0.3">
      <c r="A1434" t="s">
        <v>634</v>
      </c>
    </row>
    <row r="1435" spans="1:1" x14ac:dyDescent="0.3">
      <c r="A1435" t="s">
        <v>635</v>
      </c>
    </row>
    <row r="1436" spans="1:1" x14ac:dyDescent="0.3">
      <c r="A1436" t="s">
        <v>636</v>
      </c>
    </row>
    <row r="1437" spans="1:1" x14ac:dyDescent="0.3">
      <c r="A1437" t="s">
        <v>637</v>
      </c>
    </row>
    <row r="1438" spans="1:1" x14ac:dyDescent="0.3">
      <c r="A1438" t="s">
        <v>638</v>
      </c>
    </row>
    <row r="1439" spans="1:1" x14ac:dyDescent="0.3">
      <c r="A1439" t="s">
        <v>639</v>
      </c>
    </row>
    <row r="1440" spans="1:1" x14ac:dyDescent="0.3">
      <c r="A1440" t="s">
        <v>878</v>
      </c>
    </row>
    <row r="1441" spans="1:1" x14ac:dyDescent="0.3">
      <c r="A1441" t="s">
        <v>879</v>
      </c>
    </row>
    <row r="1442" spans="1:1" x14ac:dyDescent="0.3">
      <c r="A1442" t="s">
        <v>592</v>
      </c>
    </row>
    <row r="1443" spans="1:1" x14ac:dyDescent="0.3">
      <c r="A1443" t="s">
        <v>593</v>
      </c>
    </row>
    <row r="1444" spans="1:1" x14ac:dyDescent="0.3">
      <c r="A1444" t="s">
        <v>594</v>
      </c>
    </row>
    <row r="1445" spans="1:1" x14ac:dyDescent="0.3">
      <c r="A1445" t="s">
        <v>595</v>
      </c>
    </row>
    <row r="1446" spans="1:1" x14ac:dyDescent="0.3">
      <c r="A1446" t="s">
        <v>596</v>
      </c>
    </row>
    <row r="1447" spans="1:1" x14ac:dyDescent="0.3">
      <c r="A1447" t="s">
        <v>597</v>
      </c>
    </row>
    <row r="1448" spans="1:1" x14ac:dyDescent="0.3">
      <c r="A1448" t="s">
        <v>598</v>
      </c>
    </row>
    <row r="1449" spans="1:1" x14ac:dyDescent="0.3">
      <c r="A1449" t="s">
        <v>599</v>
      </c>
    </row>
    <row r="1450" spans="1:1" x14ac:dyDescent="0.3">
      <c r="A1450" t="s">
        <v>600</v>
      </c>
    </row>
    <row r="1451" spans="1:1" x14ac:dyDescent="0.3">
      <c r="A1451" t="s">
        <v>601</v>
      </c>
    </row>
    <row r="1452" spans="1:1" x14ac:dyDescent="0.3">
      <c r="A1452" t="s">
        <v>602</v>
      </c>
    </row>
    <row r="1453" spans="1:1" x14ac:dyDescent="0.3">
      <c r="A1453" t="s">
        <v>603</v>
      </c>
    </row>
    <row r="1454" spans="1:1" x14ac:dyDescent="0.3">
      <c r="A1454" t="s">
        <v>604</v>
      </c>
    </row>
    <row r="1455" spans="1:1" x14ac:dyDescent="0.3">
      <c r="A1455" t="s">
        <v>836</v>
      </c>
    </row>
    <row r="1456" spans="1:1" x14ac:dyDescent="0.3">
      <c r="A1456" t="s">
        <v>837</v>
      </c>
    </row>
    <row r="1457" spans="1:1" x14ac:dyDescent="0.3">
      <c r="A1457" t="s">
        <v>838</v>
      </c>
    </row>
    <row r="1458" spans="1:1" x14ac:dyDescent="0.3">
      <c r="A1458" t="s">
        <v>839</v>
      </c>
    </row>
    <row r="1459" spans="1:1" x14ac:dyDescent="0.3">
      <c r="A1459" t="s">
        <v>840</v>
      </c>
    </row>
    <row r="1460" spans="1:1" x14ac:dyDescent="0.3">
      <c r="A1460" t="s">
        <v>841</v>
      </c>
    </row>
    <row r="1461" spans="1:1" x14ac:dyDescent="0.3">
      <c r="A1461" t="s">
        <v>880</v>
      </c>
    </row>
    <row r="1462" spans="1:1" x14ac:dyDescent="0.3">
      <c r="A1462" t="s">
        <v>881</v>
      </c>
    </row>
    <row r="1463" spans="1:1" x14ac:dyDescent="0.3">
      <c r="A1463" t="s">
        <v>620</v>
      </c>
    </row>
    <row r="1464" spans="1:1" x14ac:dyDescent="0.3">
      <c r="A1464" t="s">
        <v>670</v>
      </c>
    </row>
    <row r="1465" spans="1:1" x14ac:dyDescent="0.3">
      <c r="A1465" t="s">
        <v>642</v>
      </c>
    </row>
    <row r="1466" spans="1:1" x14ac:dyDescent="0.3">
      <c r="A1466" t="s">
        <v>795</v>
      </c>
    </row>
    <row r="1467" spans="1:1" x14ac:dyDescent="0.3">
      <c r="A1467" t="s">
        <v>807</v>
      </c>
    </row>
    <row r="1468" spans="1:1" x14ac:dyDescent="0.3">
      <c r="A1468" t="s">
        <v>882</v>
      </c>
    </row>
    <row r="1469" spans="1:1" x14ac:dyDescent="0.3">
      <c r="A1469" t="s">
        <v>598</v>
      </c>
    </row>
    <row r="1470" spans="1:1" x14ac:dyDescent="0.3">
      <c r="A1470" t="s">
        <v>599</v>
      </c>
    </row>
    <row r="1471" spans="1:1" x14ac:dyDescent="0.3">
      <c r="A1471" t="s">
        <v>600</v>
      </c>
    </row>
    <row r="1472" spans="1:1" x14ac:dyDescent="0.3">
      <c r="A1472" t="s">
        <v>711</v>
      </c>
    </row>
    <row r="1473" spans="1:1" x14ac:dyDescent="0.3">
      <c r="A1473" t="s">
        <v>712</v>
      </c>
    </row>
    <row r="1474" spans="1:1" x14ac:dyDescent="0.3">
      <c r="A1474" t="s">
        <v>713</v>
      </c>
    </row>
    <row r="1475" spans="1:1" x14ac:dyDescent="0.3">
      <c r="A1475" t="s">
        <v>643</v>
      </c>
    </row>
    <row r="1476" spans="1:1" x14ac:dyDescent="0.3">
      <c r="A1476" t="s">
        <v>650</v>
      </c>
    </row>
    <row r="1477" spans="1:1" x14ac:dyDescent="0.3">
      <c r="A1477" t="s">
        <v>763</v>
      </c>
    </row>
    <row r="1478" spans="1:1" x14ac:dyDescent="0.3">
      <c r="A1478" t="s">
        <v>745</v>
      </c>
    </row>
    <row r="1479" spans="1:1" x14ac:dyDescent="0.3">
      <c r="A1479" t="s">
        <v>746</v>
      </c>
    </row>
    <row r="1480" spans="1:1" x14ac:dyDescent="0.3">
      <c r="A1480" t="s">
        <v>883</v>
      </c>
    </row>
    <row r="1481" spans="1:1" x14ac:dyDescent="0.3">
      <c r="A1481" t="s">
        <v>748</v>
      </c>
    </row>
    <row r="1482" spans="1:1" x14ac:dyDescent="0.3">
      <c r="A1482" t="s">
        <v>749</v>
      </c>
    </row>
    <row r="1483" spans="1:1" x14ac:dyDescent="0.3">
      <c r="A1483" t="s">
        <v>751</v>
      </c>
    </row>
    <row r="1484" spans="1:1" x14ac:dyDescent="0.3">
      <c r="A1484" t="s">
        <v>752</v>
      </c>
    </row>
    <row r="1485" spans="1:1" x14ac:dyDescent="0.3">
      <c r="A1485" t="s">
        <v>753</v>
      </c>
    </row>
    <row r="1486" spans="1:1" x14ac:dyDescent="0.3">
      <c r="A1486" t="s">
        <v>754</v>
      </c>
    </row>
    <row r="1487" spans="1:1" x14ac:dyDescent="0.3">
      <c r="A1487" t="s">
        <v>755</v>
      </c>
    </row>
    <row r="1488" spans="1:1" x14ac:dyDescent="0.3">
      <c r="A1488" t="s">
        <v>756</v>
      </c>
    </row>
    <row r="1489" spans="1:1" x14ac:dyDescent="0.3">
      <c r="A1489" t="s">
        <v>884</v>
      </c>
    </row>
    <row r="1490" spans="1:1" x14ac:dyDescent="0.3">
      <c r="A1490" t="s">
        <v>885</v>
      </c>
    </row>
    <row r="1491" spans="1:1" x14ac:dyDescent="0.3">
      <c r="A1491" t="s">
        <v>886</v>
      </c>
    </row>
    <row r="1492" spans="1:1" x14ac:dyDescent="0.3">
      <c r="A1492" t="s">
        <v>593</v>
      </c>
    </row>
    <row r="1493" spans="1:1" x14ac:dyDescent="0.3">
      <c r="A1493" t="s">
        <v>594</v>
      </c>
    </row>
    <row r="1494" spans="1:1" x14ac:dyDescent="0.3">
      <c r="A1494" t="s">
        <v>795</v>
      </c>
    </row>
    <row r="1495" spans="1:1" x14ac:dyDescent="0.3">
      <c r="A1495" t="s">
        <v>807</v>
      </c>
    </row>
    <row r="1496" spans="1:1" x14ac:dyDescent="0.3">
      <c r="A1496" t="s">
        <v>882</v>
      </c>
    </row>
    <row r="1497" spans="1:1" x14ac:dyDescent="0.3">
      <c r="A1497" t="s">
        <v>598</v>
      </c>
    </row>
    <row r="1498" spans="1:1" x14ac:dyDescent="0.3">
      <c r="A1498" t="s">
        <v>599</v>
      </c>
    </row>
    <row r="1499" spans="1:1" x14ac:dyDescent="0.3">
      <c r="A1499" t="s">
        <v>600</v>
      </c>
    </row>
    <row r="1500" spans="1:1" x14ac:dyDescent="0.3">
      <c r="A1500" t="s">
        <v>601</v>
      </c>
    </row>
    <row r="1501" spans="1:1" x14ac:dyDescent="0.3">
      <c r="A1501" t="s">
        <v>602</v>
      </c>
    </row>
    <row r="1502" spans="1:1" x14ac:dyDescent="0.3">
      <c r="A1502" t="s">
        <v>603</v>
      </c>
    </row>
    <row r="1503" spans="1:1" x14ac:dyDescent="0.3">
      <c r="A1503" t="s">
        <v>685</v>
      </c>
    </row>
    <row r="1504" spans="1:1" x14ac:dyDescent="0.3">
      <c r="A1504" t="s">
        <v>742</v>
      </c>
    </row>
    <row r="1505" spans="1:1" x14ac:dyDescent="0.3">
      <c r="A1505" t="s">
        <v>624</v>
      </c>
    </row>
    <row r="1506" spans="1:1" x14ac:dyDescent="0.3">
      <c r="A1506" t="s">
        <v>651</v>
      </c>
    </row>
    <row r="1507" spans="1:1" x14ac:dyDescent="0.3">
      <c r="A1507" t="s">
        <v>749</v>
      </c>
    </row>
    <row r="1508" spans="1:1" x14ac:dyDescent="0.3">
      <c r="A1508" t="s">
        <v>887</v>
      </c>
    </row>
    <row r="1509" spans="1:1" x14ac:dyDescent="0.3">
      <c r="A1509" t="s">
        <v>888</v>
      </c>
    </row>
    <row r="1510" spans="1:1" x14ac:dyDescent="0.3">
      <c r="A1510" t="s">
        <v>751</v>
      </c>
    </row>
    <row r="1511" spans="1:1" x14ac:dyDescent="0.3">
      <c r="A1511" t="s">
        <v>752</v>
      </c>
    </row>
    <row r="1512" spans="1:1" x14ac:dyDescent="0.3">
      <c r="A1512" t="s">
        <v>753</v>
      </c>
    </row>
    <row r="1513" spans="1:1" x14ac:dyDescent="0.3">
      <c r="A1513" t="s">
        <v>754</v>
      </c>
    </row>
    <row r="1514" spans="1:1" x14ac:dyDescent="0.3">
      <c r="A1514" t="s">
        <v>755</v>
      </c>
    </row>
    <row r="1515" spans="1:1" x14ac:dyDescent="0.3">
      <c r="A1515" t="s">
        <v>756</v>
      </c>
    </row>
    <row r="1516" spans="1:1" x14ac:dyDescent="0.3">
      <c r="A1516" t="s">
        <v>889</v>
      </c>
    </row>
    <row r="1517" spans="1:1" x14ac:dyDescent="0.3">
      <c r="A1517" t="s">
        <v>890</v>
      </c>
    </row>
    <row r="1518" spans="1:1" x14ac:dyDescent="0.3">
      <c r="A1518" t="s">
        <v>678</v>
      </c>
    </row>
    <row r="1519" spans="1:1" x14ac:dyDescent="0.3">
      <c r="A1519" t="s">
        <v>593</v>
      </c>
    </row>
    <row r="1520" spans="1:1" x14ac:dyDescent="0.3">
      <c r="A1520" t="s">
        <v>594</v>
      </c>
    </row>
    <row r="1521" spans="1:1" x14ac:dyDescent="0.3">
      <c r="A1521" t="s">
        <v>595</v>
      </c>
    </row>
    <row r="1522" spans="1:1" x14ac:dyDescent="0.3">
      <c r="A1522" t="s">
        <v>707</v>
      </c>
    </row>
    <row r="1523" spans="1:1" x14ac:dyDescent="0.3">
      <c r="A1523" t="s">
        <v>708</v>
      </c>
    </row>
    <row r="1524" spans="1:1" x14ac:dyDescent="0.3">
      <c r="A1524" t="s">
        <v>598</v>
      </c>
    </row>
    <row r="1525" spans="1:1" x14ac:dyDescent="0.3">
      <c r="A1525" t="s">
        <v>599</v>
      </c>
    </row>
    <row r="1526" spans="1:1" x14ac:dyDescent="0.3">
      <c r="A1526" t="s">
        <v>600</v>
      </c>
    </row>
    <row r="1527" spans="1:1" x14ac:dyDescent="0.3">
      <c r="A1527" t="s">
        <v>601</v>
      </c>
    </row>
    <row r="1528" spans="1:1" x14ac:dyDescent="0.3">
      <c r="A1528" t="s">
        <v>602</v>
      </c>
    </row>
    <row r="1529" spans="1:1" x14ac:dyDescent="0.3">
      <c r="A1529" t="s">
        <v>603</v>
      </c>
    </row>
    <row r="1530" spans="1:1" x14ac:dyDescent="0.3">
      <c r="A1530" t="s">
        <v>604</v>
      </c>
    </row>
    <row r="1531" spans="1:1" x14ac:dyDescent="0.3">
      <c r="A1531" t="s">
        <v>650</v>
      </c>
    </row>
    <row r="1532" spans="1:1" x14ac:dyDescent="0.3">
      <c r="A1532" t="s">
        <v>724</v>
      </c>
    </row>
    <row r="1533" spans="1:1" x14ac:dyDescent="0.3">
      <c r="A1533" t="s">
        <v>629</v>
      </c>
    </row>
    <row r="1534" spans="1:1" x14ac:dyDescent="0.3">
      <c r="A1534" t="s">
        <v>748</v>
      </c>
    </row>
    <row r="1535" spans="1:1" x14ac:dyDescent="0.3">
      <c r="A1535" t="s">
        <v>749</v>
      </c>
    </row>
    <row r="1536" spans="1:1" x14ac:dyDescent="0.3">
      <c r="A1536" t="s">
        <v>774</v>
      </c>
    </row>
    <row r="1537" spans="1:1" x14ac:dyDescent="0.3">
      <c r="A1537" t="s">
        <v>751</v>
      </c>
    </row>
    <row r="1538" spans="1:1" x14ac:dyDescent="0.3">
      <c r="A1538" t="s">
        <v>752</v>
      </c>
    </row>
    <row r="1539" spans="1:1" x14ac:dyDescent="0.3">
      <c r="A1539" t="s">
        <v>753</v>
      </c>
    </row>
    <row r="1540" spans="1:1" x14ac:dyDescent="0.3">
      <c r="A1540" t="s">
        <v>754</v>
      </c>
    </row>
    <row r="1541" spans="1:1" x14ac:dyDescent="0.3">
      <c r="A1541" t="s">
        <v>755</v>
      </c>
    </row>
    <row r="1542" spans="1:1" x14ac:dyDescent="0.3">
      <c r="A1542" t="s">
        <v>756</v>
      </c>
    </row>
    <row r="1543" spans="1:1" x14ac:dyDescent="0.3">
      <c r="A1543" t="s">
        <v>891</v>
      </c>
    </row>
    <row r="1544" spans="1:1" x14ac:dyDescent="0.3">
      <c r="A1544" t="s">
        <v>892</v>
      </c>
    </row>
    <row r="1545" spans="1:1" x14ac:dyDescent="0.3">
      <c r="A1545" t="s">
        <v>678</v>
      </c>
    </row>
    <row r="1546" spans="1:1" x14ac:dyDescent="0.3">
      <c r="A1546" t="s">
        <v>593</v>
      </c>
    </row>
    <row r="1547" spans="1:1" x14ac:dyDescent="0.3">
      <c r="A1547" t="s">
        <v>594</v>
      </c>
    </row>
    <row r="1548" spans="1:1" x14ac:dyDescent="0.3">
      <c r="A1548" t="s">
        <v>595</v>
      </c>
    </row>
    <row r="1549" spans="1:1" x14ac:dyDescent="0.3">
      <c r="A1549" t="s">
        <v>807</v>
      </c>
    </row>
    <row r="1550" spans="1:1" x14ac:dyDescent="0.3">
      <c r="A1550" t="s">
        <v>708</v>
      </c>
    </row>
    <row r="1551" spans="1:1" x14ac:dyDescent="0.3">
      <c r="A1551" t="s">
        <v>598</v>
      </c>
    </row>
    <row r="1552" spans="1:1" x14ac:dyDescent="0.3">
      <c r="A1552" t="s">
        <v>599</v>
      </c>
    </row>
    <row r="1553" spans="1:1" x14ac:dyDescent="0.3">
      <c r="A1553" t="s">
        <v>600</v>
      </c>
    </row>
    <row r="1554" spans="1:1" x14ac:dyDescent="0.3">
      <c r="A1554" t="s">
        <v>893</v>
      </c>
    </row>
    <row r="1555" spans="1:1" x14ac:dyDescent="0.3">
      <c r="A1555" t="s">
        <v>602</v>
      </c>
    </row>
    <row r="1556" spans="1:1" x14ac:dyDescent="0.3">
      <c r="A1556" t="s">
        <v>603</v>
      </c>
    </row>
    <row r="1557" spans="1:1" x14ac:dyDescent="0.3">
      <c r="A1557" t="s">
        <v>685</v>
      </c>
    </row>
    <row r="1558" spans="1:1" x14ac:dyDescent="0.3">
      <c r="A1558" t="s">
        <v>650</v>
      </c>
    </row>
    <row r="1559" spans="1:1" x14ac:dyDescent="0.3">
      <c r="A1559" t="s">
        <v>724</v>
      </c>
    </row>
    <row r="1560" spans="1:1" x14ac:dyDescent="0.3">
      <c r="A1560" t="s">
        <v>745</v>
      </c>
    </row>
    <row r="1561" spans="1:1" x14ac:dyDescent="0.3">
      <c r="A1561" t="s">
        <v>746</v>
      </c>
    </row>
    <row r="1562" spans="1:1" x14ac:dyDescent="0.3">
      <c r="A1562" t="s">
        <v>883</v>
      </c>
    </row>
    <row r="1563" spans="1:1" x14ac:dyDescent="0.3">
      <c r="A1563" t="s">
        <v>748</v>
      </c>
    </row>
    <row r="1564" spans="1:1" x14ac:dyDescent="0.3">
      <c r="A1564" t="s">
        <v>749</v>
      </c>
    </row>
    <row r="1565" spans="1:1" x14ac:dyDescent="0.3">
      <c r="A1565" t="s">
        <v>894</v>
      </c>
    </row>
    <row r="1566" spans="1:1" x14ac:dyDescent="0.3">
      <c r="A1566" t="s">
        <v>751</v>
      </c>
    </row>
    <row r="1567" spans="1:1" x14ac:dyDescent="0.3">
      <c r="A1567" t="s">
        <v>752</v>
      </c>
    </row>
    <row r="1568" spans="1:1" x14ac:dyDescent="0.3">
      <c r="A1568" t="s">
        <v>753</v>
      </c>
    </row>
    <row r="1569" spans="1:1" x14ac:dyDescent="0.3">
      <c r="A1569" t="s">
        <v>754</v>
      </c>
    </row>
    <row r="1570" spans="1:1" x14ac:dyDescent="0.3">
      <c r="A1570" t="s">
        <v>755</v>
      </c>
    </row>
    <row r="1571" spans="1:1" x14ac:dyDescent="0.3">
      <c r="A1571" t="s">
        <v>756</v>
      </c>
    </row>
    <row r="1572" spans="1:1" x14ac:dyDescent="0.3">
      <c r="A1572" t="s">
        <v>895</v>
      </c>
    </row>
    <row r="1573" spans="1:1" x14ac:dyDescent="0.3">
      <c r="A1573" t="s">
        <v>896</v>
      </c>
    </row>
    <row r="1574" spans="1:1" x14ac:dyDescent="0.3">
      <c r="A1574" t="s">
        <v>692</v>
      </c>
    </row>
    <row r="1575" spans="1:1" x14ac:dyDescent="0.3">
      <c r="A1575" t="s">
        <v>897</v>
      </c>
    </row>
    <row r="1576" spans="1:1" x14ac:dyDescent="0.3">
      <c r="A1576" t="s">
        <v>594</v>
      </c>
    </row>
    <row r="1577" spans="1:1" x14ac:dyDescent="0.3">
      <c r="A1577" t="s">
        <v>595</v>
      </c>
    </row>
    <row r="1578" spans="1:1" x14ac:dyDescent="0.3">
      <c r="A1578" t="s">
        <v>898</v>
      </c>
    </row>
    <row r="1579" spans="1:1" x14ac:dyDescent="0.3">
      <c r="A1579" t="s">
        <v>708</v>
      </c>
    </row>
    <row r="1580" spans="1:1" x14ac:dyDescent="0.3">
      <c r="A1580" t="s">
        <v>598</v>
      </c>
    </row>
    <row r="1581" spans="1:1" x14ac:dyDescent="0.3">
      <c r="A1581" t="s">
        <v>599</v>
      </c>
    </row>
    <row r="1582" spans="1:1" x14ac:dyDescent="0.3">
      <c r="A1582" t="s">
        <v>600</v>
      </c>
    </row>
    <row r="1583" spans="1:1" x14ac:dyDescent="0.3">
      <c r="A1583" t="s">
        <v>601</v>
      </c>
    </row>
    <row r="1584" spans="1:1" x14ac:dyDescent="0.3">
      <c r="A1584" t="s">
        <v>602</v>
      </c>
    </row>
    <row r="1585" spans="1:1" x14ac:dyDescent="0.3">
      <c r="A1585" t="s">
        <v>603</v>
      </c>
    </row>
    <row r="1586" spans="1:1" x14ac:dyDescent="0.3">
      <c r="A1586" t="s">
        <v>672</v>
      </c>
    </row>
    <row r="1587" spans="1:1" x14ac:dyDescent="0.3">
      <c r="A1587" t="s">
        <v>783</v>
      </c>
    </row>
    <row r="1588" spans="1:1" x14ac:dyDescent="0.3">
      <c r="A1588" t="s">
        <v>784</v>
      </c>
    </row>
    <row r="1589" spans="1:1" x14ac:dyDescent="0.3">
      <c r="A1589" t="s">
        <v>899</v>
      </c>
    </row>
    <row r="1590" spans="1:1" x14ac:dyDescent="0.3">
      <c r="A1590" t="s">
        <v>900</v>
      </c>
    </row>
    <row r="1591" spans="1:1" x14ac:dyDescent="0.3">
      <c r="A1591" t="s">
        <v>751</v>
      </c>
    </row>
    <row r="1592" spans="1:1" x14ac:dyDescent="0.3">
      <c r="A1592" t="s">
        <v>752</v>
      </c>
    </row>
    <row r="1593" spans="1:1" x14ac:dyDescent="0.3">
      <c r="A1593" t="s">
        <v>753</v>
      </c>
    </row>
    <row r="1594" spans="1:1" x14ac:dyDescent="0.3">
      <c r="A1594" t="s">
        <v>754</v>
      </c>
    </row>
    <row r="1595" spans="1:1" x14ac:dyDescent="0.3">
      <c r="A1595" t="s">
        <v>755</v>
      </c>
    </row>
    <row r="1596" spans="1:1" x14ac:dyDescent="0.3">
      <c r="A1596" t="s">
        <v>756</v>
      </c>
    </row>
    <row r="1597" spans="1:1" x14ac:dyDescent="0.3">
      <c r="A1597" t="s">
        <v>901</v>
      </c>
    </row>
    <row r="1598" spans="1:1" x14ac:dyDescent="0.3">
      <c r="A1598" t="s">
        <v>902</v>
      </c>
    </row>
    <row r="1599" spans="1:1" x14ac:dyDescent="0.3">
      <c r="A1599" t="s">
        <v>678</v>
      </c>
    </row>
    <row r="1600" spans="1:1" x14ac:dyDescent="0.3">
      <c r="A1600" t="s">
        <v>593</v>
      </c>
    </row>
    <row r="1601" spans="1:1" x14ac:dyDescent="0.3">
      <c r="A1601" t="s">
        <v>594</v>
      </c>
    </row>
    <row r="1602" spans="1:1" x14ac:dyDescent="0.3">
      <c r="A1602" t="s">
        <v>706</v>
      </c>
    </row>
    <row r="1603" spans="1:1" x14ac:dyDescent="0.3">
      <c r="A1603" t="s">
        <v>707</v>
      </c>
    </row>
    <row r="1604" spans="1:1" x14ac:dyDescent="0.3">
      <c r="A1604" t="s">
        <v>782</v>
      </c>
    </row>
    <row r="1605" spans="1:1" x14ac:dyDescent="0.3">
      <c r="A1605" t="s">
        <v>598</v>
      </c>
    </row>
    <row r="1606" spans="1:1" x14ac:dyDescent="0.3">
      <c r="A1606" t="s">
        <v>599</v>
      </c>
    </row>
    <row r="1607" spans="1:1" x14ac:dyDescent="0.3">
      <c r="A1607" t="s">
        <v>600</v>
      </c>
    </row>
    <row r="1608" spans="1:1" x14ac:dyDescent="0.3">
      <c r="A1608" t="s">
        <v>601</v>
      </c>
    </row>
    <row r="1609" spans="1:1" x14ac:dyDescent="0.3">
      <c r="A1609" t="s">
        <v>602</v>
      </c>
    </row>
    <row r="1610" spans="1:1" x14ac:dyDescent="0.3">
      <c r="A1610" t="s">
        <v>603</v>
      </c>
    </row>
    <row r="1611" spans="1:1" x14ac:dyDescent="0.3">
      <c r="A1611" t="s">
        <v>903</v>
      </c>
    </row>
    <row r="1612" spans="1:1" x14ac:dyDescent="0.3">
      <c r="A1612" t="s">
        <v>742</v>
      </c>
    </row>
    <row r="1613" spans="1:1" x14ac:dyDescent="0.3">
      <c r="A1613" t="s">
        <v>743</v>
      </c>
    </row>
    <row r="1614" spans="1:1" x14ac:dyDescent="0.3">
      <c r="A1614" t="s">
        <v>744</v>
      </c>
    </row>
    <row r="1615" spans="1:1" x14ac:dyDescent="0.3">
      <c r="A1615" t="s">
        <v>697</v>
      </c>
    </row>
    <row r="1616" spans="1:1" x14ac:dyDescent="0.3">
      <c r="A1616" t="s">
        <v>783</v>
      </c>
    </row>
    <row r="1617" spans="1:1" x14ac:dyDescent="0.3">
      <c r="A1617" t="s">
        <v>784</v>
      </c>
    </row>
    <row r="1618" spans="1:1" x14ac:dyDescent="0.3">
      <c r="A1618" t="s">
        <v>815</v>
      </c>
    </row>
    <row r="1619" spans="1:1" x14ac:dyDescent="0.3">
      <c r="A1619" t="s">
        <v>629</v>
      </c>
    </row>
    <row r="1620" spans="1:1" x14ac:dyDescent="0.3">
      <c r="A1620" t="s">
        <v>904</v>
      </c>
    </row>
    <row r="1621" spans="1:1" x14ac:dyDescent="0.3">
      <c r="A1621" t="s">
        <v>749</v>
      </c>
    </row>
    <row r="1622" spans="1:1" x14ac:dyDescent="0.3">
      <c r="A1622" t="s">
        <v>803</v>
      </c>
    </row>
    <row r="1623" spans="1:1" x14ac:dyDescent="0.3">
      <c r="A1623" t="s">
        <v>729</v>
      </c>
    </row>
    <row r="1624" spans="1:1" x14ac:dyDescent="0.3">
      <c r="A1624" t="s">
        <v>905</v>
      </c>
    </row>
    <row r="1625" spans="1:1" x14ac:dyDescent="0.3">
      <c r="A1625" t="s">
        <v>906</v>
      </c>
    </row>
    <row r="1626" spans="1:1" x14ac:dyDescent="0.3">
      <c r="A1626" t="s">
        <v>907</v>
      </c>
    </row>
    <row r="1627" spans="1:1" x14ac:dyDescent="0.3">
      <c r="A1627" t="s">
        <v>908</v>
      </c>
    </row>
    <row r="1628" spans="1:1" x14ac:dyDescent="0.3">
      <c r="A1628" t="s">
        <v>909</v>
      </c>
    </row>
    <row r="1629" spans="1:1" x14ac:dyDescent="0.3">
      <c r="A1629" t="s">
        <v>910</v>
      </c>
    </row>
    <row r="1630" spans="1:1" x14ac:dyDescent="0.3">
      <c r="A1630" t="s">
        <v>911</v>
      </c>
    </row>
    <row r="1631" spans="1:1" x14ac:dyDescent="0.3">
      <c r="A1631" t="s">
        <v>912</v>
      </c>
    </row>
    <row r="1632" spans="1:1" x14ac:dyDescent="0.3">
      <c r="A1632" t="s">
        <v>762</v>
      </c>
    </row>
    <row r="1633" spans="1:1" x14ac:dyDescent="0.3">
      <c r="A1633" t="s">
        <v>670</v>
      </c>
    </row>
    <row r="1634" spans="1:1" x14ac:dyDescent="0.3">
      <c r="A1634" t="s">
        <v>594</v>
      </c>
    </row>
    <row r="1635" spans="1:1" x14ac:dyDescent="0.3">
      <c r="A1635" t="s">
        <v>766</v>
      </c>
    </row>
    <row r="1636" spans="1:1" x14ac:dyDescent="0.3">
      <c r="A1636" t="s">
        <v>596</v>
      </c>
    </row>
    <row r="1637" spans="1:1" x14ac:dyDescent="0.3">
      <c r="A1637" t="s">
        <v>799</v>
      </c>
    </row>
    <row r="1638" spans="1:1" x14ac:dyDescent="0.3">
      <c r="A1638" t="s">
        <v>598</v>
      </c>
    </row>
    <row r="1639" spans="1:1" x14ac:dyDescent="0.3">
      <c r="A1639" t="s">
        <v>599</v>
      </c>
    </row>
    <row r="1640" spans="1:1" x14ac:dyDescent="0.3">
      <c r="A1640" t="s">
        <v>600</v>
      </c>
    </row>
    <row r="1641" spans="1:1" x14ac:dyDescent="0.3">
      <c r="A1641" t="s">
        <v>601</v>
      </c>
    </row>
    <row r="1642" spans="1:1" x14ac:dyDescent="0.3">
      <c r="A1642" t="s">
        <v>602</v>
      </c>
    </row>
    <row r="1643" spans="1:1" x14ac:dyDescent="0.3">
      <c r="A1643" t="s">
        <v>603</v>
      </c>
    </row>
    <row r="1644" spans="1:1" x14ac:dyDescent="0.3">
      <c r="A1644" t="s">
        <v>685</v>
      </c>
    </row>
    <row r="1645" spans="1:1" x14ac:dyDescent="0.3">
      <c r="A1645" t="s">
        <v>694</v>
      </c>
    </row>
    <row r="1646" spans="1:1" x14ac:dyDescent="0.3">
      <c r="A1646" t="s">
        <v>624</v>
      </c>
    </row>
    <row r="1647" spans="1:1" x14ac:dyDescent="0.3">
      <c r="A1647" t="s">
        <v>657</v>
      </c>
    </row>
    <row r="1648" spans="1:1" x14ac:dyDescent="0.3">
      <c r="A1648" t="s">
        <v>725</v>
      </c>
    </row>
    <row r="1649" spans="1:1" x14ac:dyDescent="0.3">
      <c r="A1649" t="s">
        <v>726</v>
      </c>
    </row>
    <row r="1650" spans="1:1" x14ac:dyDescent="0.3">
      <c r="A1650" t="s">
        <v>727</v>
      </c>
    </row>
    <row r="1651" spans="1:1" x14ac:dyDescent="0.3">
      <c r="A1651" t="s">
        <v>728</v>
      </c>
    </row>
    <row r="1652" spans="1:1" x14ac:dyDescent="0.3">
      <c r="A1652" t="s">
        <v>673</v>
      </c>
    </row>
    <row r="1653" spans="1:1" x14ac:dyDescent="0.3">
      <c r="A1653" t="s">
        <v>803</v>
      </c>
    </row>
    <row r="1654" spans="1:1" x14ac:dyDescent="0.3">
      <c r="A1654" t="s">
        <v>682</v>
      </c>
    </row>
    <row r="1655" spans="1:1" x14ac:dyDescent="0.3">
      <c r="A1655" t="s">
        <v>905</v>
      </c>
    </row>
    <row r="1656" spans="1:1" x14ac:dyDescent="0.3">
      <c r="A1656" t="s">
        <v>906</v>
      </c>
    </row>
    <row r="1657" spans="1:1" x14ac:dyDescent="0.3">
      <c r="A1657" t="s">
        <v>907</v>
      </c>
    </row>
    <row r="1658" spans="1:1" x14ac:dyDescent="0.3">
      <c r="A1658" t="s">
        <v>908</v>
      </c>
    </row>
    <row r="1659" spans="1:1" x14ac:dyDescent="0.3">
      <c r="A1659" t="s">
        <v>909</v>
      </c>
    </row>
    <row r="1660" spans="1:1" x14ac:dyDescent="0.3">
      <c r="A1660" t="s">
        <v>910</v>
      </c>
    </row>
    <row r="1661" spans="1:1" x14ac:dyDescent="0.3">
      <c r="A1661" t="s">
        <v>913</v>
      </c>
    </row>
    <row r="1662" spans="1:1" x14ac:dyDescent="0.3">
      <c r="A1662" t="s">
        <v>914</v>
      </c>
    </row>
    <row r="1663" spans="1:1" x14ac:dyDescent="0.3">
      <c r="A1663" t="s">
        <v>678</v>
      </c>
    </row>
    <row r="1664" spans="1:1" x14ac:dyDescent="0.3">
      <c r="A1664" t="s">
        <v>593</v>
      </c>
    </row>
    <row r="1665" spans="1:1" x14ac:dyDescent="0.3">
      <c r="A1665" t="s">
        <v>594</v>
      </c>
    </row>
    <row r="1666" spans="1:1" x14ac:dyDescent="0.3">
      <c r="A1666" t="s">
        <v>795</v>
      </c>
    </row>
    <row r="1667" spans="1:1" x14ac:dyDescent="0.3">
      <c r="A1667" t="s">
        <v>807</v>
      </c>
    </row>
    <row r="1668" spans="1:1" x14ac:dyDescent="0.3">
      <c r="A1668" t="s">
        <v>708</v>
      </c>
    </row>
    <row r="1669" spans="1:1" x14ac:dyDescent="0.3">
      <c r="A1669" t="s">
        <v>598</v>
      </c>
    </row>
    <row r="1670" spans="1:1" x14ac:dyDescent="0.3">
      <c r="A1670" t="s">
        <v>710</v>
      </c>
    </row>
    <row r="1671" spans="1:1" x14ac:dyDescent="0.3">
      <c r="A1671" t="s">
        <v>600</v>
      </c>
    </row>
    <row r="1672" spans="1:1" x14ac:dyDescent="0.3">
      <c r="A1672" t="s">
        <v>601</v>
      </c>
    </row>
    <row r="1673" spans="1:1" x14ac:dyDescent="0.3">
      <c r="A1673" t="s">
        <v>602</v>
      </c>
    </row>
    <row r="1674" spans="1:1" x14ac:dyDescent="0.3">
      <c r="A1674" t="s">
        <v>603</v>
      </c>
    </row>
    <row r="1675" spans="1:1" x14ac:dyDescent="0.3">
      <c r="A1675" t="s">
        <v>915</v>
      </c>
    </row>
    <row r="1676" spans="1:1" x14ac:dyDescent="0.3">
      <c r="A1676" t="s">
        <v>763</v>
      </c>
    </row>
    <row r="1677" spans="1:1" x14ac:dyDescent="0.3">
      <c r="A1677" t="s">
        <v>916</v>
      </c>
    </row>
    <row r="1678" spans="1:1" x14ac:dyDescent="0.3">
      <c r="A1678" t="s">
        <v>917</v>
      </c>
    </row>
    <row r="1679" spans="1:1" x14ac:dyDescent="0.3">
      <c r="A1679" t="s">
        <v>883</v>
      </c>
    </row>
    <row r="1680" spans="1:1" x14ac:dyDescent="0.3">
      <c r="A1680" t="s">
        <v>773</v>
      </c>
    </row>
    <row r="1681" spans="1:1" x14ac:dyDescent="0.3">
      <c r="A1681" t="s">
        <v>748</v>
      </c>
    </row>
    <row r="1682" spans="1:1" x14ac:dyDescent="0.3">
      <c r="A1682" t="s">
        <v>918</v>
      </c>
    </row>
    <row r="1683" spans="1:1" x14ac:dyDescent="0.3">
      <c r="A1683" t="s">
        <v>919</v>
      </c>
    </row>
    <row r="1684" spans="1:1" x14ac:dyDescent="0.3">
      <c r="A1684" t="s">
        <v>808</v>
      </c>
    </row>
    <row r="1685" spans="1:1" x14ac:dyDescent="0.3">
      <c r="A1685" t="s">
        <v>751</v>
      </c>
    </row>
    <row r="1686" spans="1:1" x14ac:dyDescent="0.3">
      <c r="A1686" t="s">
        <v>752</v>
      </c>
    </row>
    <row r="1687" spans="1:1" x14ac:dyDescent="0.3">
      <c r="A1687" t="s">
        <v>753</v>
      </c>
    </row>
    <row r="1688" spans="1:1" x14ac:dyDescent="0.3">
      <c r="A1688" t="s">
        <v>754</v>
      </c>
    </row>
    <row r="1689" spans="1:1" x14ac:dyDescent="0.3">
      <c r="A1689" t="s">
        <v>755</v>
      </c>
    </row>
    <row r="1690" spans="1:1" x14ac:dyDescent="0.3">
      <c r="A1690" t="s">
        <v>756</v>
      </c>
    </row>
    <row r="1691" spans="1:1" x14ac:dyDescent="0.3">
      <c r="A1691" t="s">
        <v>920</v>
      </c>
    </row>
    <row r="1692" spans="1:1" x14ac:dyDescent="0.3">
      <c r="A1692" t="s">
        <v>921</v>
      </c>
    </row>
    <row r="1693" spans="1:1" x14ac:dyDescent="0.3">
      <c r="A1693" t="s">
        <v>762</v>
      </c>
    </row>
    <row r="1694" spans="1:1" x14ac:dyDescent="0.3">
      <c r="A1694" t="s">
        <v>663</v>
      </c>
    </row>
    <row r="1695" spans="1:1" x14ac:dyDescent="0.3">
      <c r="A1695" t="s">
        <v>732</v>
      </c>
    </row>
    <row r="1696" spans="1:1" x14ac:dyDescent="0.3">
      <c r="A1696" t="s">
        <v>766</v>
      </c>
    </row>
    <row r="1697" spans="1:1" x14ac:dyDescent="0.3">
      <c r="A1697" t="s">
        <v>922</v>
      </c>
    </row>
    <row r="1698" spans="1:1" x14ac:dyDescent="0.3">
      <c r="A1698" t="s">
        <v>882</v>
      </c>
    </row>
    <row r="1699" spans="1:1" x14ac:dyDescent="0.3">
      <c r="A1699" t="s">
        <v>923</v>
      </c>
    </row>
    <row r="1700" spans="1:1" x14ac:dyDescent="0.3">
      <c r="A1700" t="s">
        <v>599</v>
      </c>
    </row>
    <row r="1701" spans="1:1" x14ac:dyDescent="0.3">
      <c r="A1701" t="s">
        <v>600</v>
      </c>
    </row>
    <row r="1702" spans="1:1" x14ac:dyDescent="0.3">
      <c r="A1702" t="s">
        <v>601</v>
      </c>
    </row>
    <row r="1703" spans="1:1" x14ac:dyDescent="0.3">
      <c r="A1703" t="s">
        <v>602</v>
      </c>
    </row>
    <row r="1704" spans="1:1" x14ac:dyDescent="0.3">
      <c r="A1704" t="s">
        <v>603</v>
      </c>
    </row>
    <row r="1705" spans="1:1" x14ac:dyDescent="0.3">
      <c r="A1705" t="s">
        <v>665</v>
      </c>
    </row>
    <row r="1706" spans="1:1" x14ac:dyDescent="0.3">
      <c r="A1706" t="s">
        <v>777</v>
      </c>
    </row>
    <row r="1707" spans="1:1" x14ac:dyDescent="0.3">
      <c r="A1707" t="s">
        <v>630</v>
      </c>
    </row>
    <row r="1708" spans="1:1" x14ac:dyDescent="0.3">
      <c r="A1708" t="s">
        <v>631</v>
      </c>
    </row>
    <row r="1709" spans="1:1" x14ac:dyDescent="0.3">
      <c r="A1709" t="s">
        <v>824</v>
      </c>
    </row>
    <row r="1710" spans="1:1" x14ac:dyDescent="0.3">
      <c r="A1710" t="s">
        <v>825</v>
      </c>
    </row>
    <row r="1711" spans="1:1" x14ac:dyDescent="0.3">
      <c r="A1711" t="s">
        <v>826</v>
      </c>
    </row>
    <row r="1712" spans="1:1" x14ac:dyDescent="0.3">
      <c r="A1712" t="s">
        <v>827</v>
      </c>
    </row>
    <row r="1713" spans="1:1" x14ac:dyDescent="0.3">
      <c r="A1713" t="s">
        <v>828</v>
      </c>
    </row>
    <row r="1714" spans="1:1" x14ac:dyDescent="0.3">
      <c r="A1714" t="s">
        <v>829</v>
      </c>
    </row>
    <row r="1715" spans="1:1" x14ac:dyDescent="0.3">
      <c r="A1715" t="s">
        <v>924</v>
      </c>
    </row>
    <row r="1716" spans="1:1" x14ac:dyDescent="0.3">
      <c r="A1716" t="s">
        <v>925</v>
      </c>
    </row>
    <row r="1717" spans="1:1" x14ac:dyDescent="0.3">
      <c r="A1717" t="s">
        <v>886</v>
      </c>
    </row>
    <row r="1718" spans="1:1" x14ac:dyDescent="0.3">
      <c r="A1718" t="s">
        <v>593</v>
      </c>
    </row>
    <row r="1719" spans="1:1" x14ac:dyDescent="0.3">
      <c r="A1719" t="s">
        <v>594</v>
      </c>
    </row>
    <row r="1720" spans="1:1" x14ac:dyDescent="0.3">
      <c r="A1720" t="s">
        <v>766</v>
      </c>
    </row>
    <row r="1721" spans="1:1" x14ac:dyDescent="0.3">
      <c r="A1721" t="s">
        <v>922</v>
      </c>
    </row>
    <row r="1722" spans="1:1" x14ac:dyDescent="0.3">
      <c r="A1722" t="s">
        <v>882</v>
      </c>
    </row>
    <row r="1723" spans="1:1" x14ac:dyDescent="0.3">
      <c r="A1723" t="s">
        <v>598</v>
      </c>
    </row>
    <row r="1724" spans="1:1" x14ac:dyDescent="0.3">
      <c r="A1724" t="s">
        <v>599</v>
      </c>
    </row>
    <row r="1725" spans="1:1" x14ac:dyDescent="0.3">
      <c r="A1725" t="s">
        <v>600</v>
      </c>
    </row>
    <row r="1726" spans="1:1" x14ac:dyDescent="0.3">
      <c r="A1726" t="s">
        <v>601</v>
      </c>
    </row>
    <row r="1727" spans="1:1" x14ac:dyDescent="0.3">
      <c r="A1727" t="s">
        <v>602</v>
      </c>
    </row>
    <row r="1728" spans="1:1" x14ac:dyDescent="0.3">
      <c r="A1728" t="s">
        <v>603</v>
      </c>
    </row>
    <row r="1729" spans="1:1" x14ac:dyDescent="0.3">
      <c r="A1729" t="s">
        <v>903</v>
      </c>
    </row>
    <row r="1730" spans="1:1" x14ac:dyDescent="0.3">
      <c r="A1730" t="s">
        <v>763</v>
      </c>
    </row>
    <row r="1731" spans="1:1" x14ac:dyDescent="0.3">
      <c r="A1731" t="s">
        <v>745</v>
      </c>
    </row>
    <row r="1732" spans="1:1" x14ac:dyDescent="0.3">
      <c r="A1732" t="s">
        <v>816</v>
      </c>
    </row>
    <row r="1733" spans="1:1" x14ac:dyDescent="0.3">
      <c r="A1733" t="s">
        <v>750</v>
      </c>
    </row>
    <row r="1734" spans="1:1" x14ac:dyDescent="0.3">
      <c r="A1734" t="s">
        <v>900</v>
      </c>
    </row>
    <row r="1735" spans="1:1" x14ac:dyDescent="0.3">
      <c r="A1735" t="s">
        <v>824</v>
      </c>
    </row>
    <row r="1736" spans="1:1" x14ac:dyDescent="0.3">
      <c r="A1736" t="s">
        <v>825</v>
      </c>
    </row>
    <row r="1737" spans="1:1" x14ac:dyDescent="0.3">
      <c r="A1737" t="s">
        <v>826</v>
      </c>
    </row>
    <row r="1738" spans="1:1" x14ac:dyDescent="0.3">
      <c r="A1738" t="s">
        <v>827</v>
      </c>
    </row>
    <row r="1739" spans="1:1" x14ac:dyDescent="0.3">
      <c r="A1739" t="s">
        <v>828</v>
      </c>
    </row>
    <row r="1740" spans="1:1" x14ac:dyDescent="0.3">
      <c r="A1740" t="s">
        <v>829</v>
      </c>
    </row>
    <row r="1741" spans="1:1" x14ac:dyDescent="0.3">
      <c r="A1741" t="s">
        <v>926</v>
      </c>
    </row>
    <row r="1742" spans="1:1" x14ac:dyDescent="0.3">
      <c r="A1742" t="s">
        <v>927</v>
      </c>
    </row>
    <row r="1743" spans="1:1" x14ac:dyDescent="0.3">
      <c r="A1743" t="s">
        <v>886</v>
      </c>
    </row>
    <row r="1744" spans="1:1" x14ac:dyDescent="0.3">
      <c r="A1744" t="s">
        <v>593</v>
      </c>
    </row>
    <row r="1745" spans="1:1" x14ac:dyDescent="0.3">
      <c r="A1745" t="s">
        <v>594</v>
      </c>
    </row>
    <row r="1746" spans="1:1" x14ac:dyDescent="0.3">
      <c r="A1746" t="s">
        <v>595</v>
      </c>
    </row>
    <row r="1747" spans="1:1" x14ac:dyDescent="0.3">
      <c r="A1747" t="s">
        <v>922</v>
      </c>
    </row>
    <row r="1748" spans="1:1" x14ac:dyDescent="0.3">
      <c r="A1748" t="s">
        <v>882</v>
      </c>
    </row>
    <row r="1749" spans="1:1" x14ac:dyDescent="0.3">
      <c r="A1749" t="s">
        <v>598</v>
      </c>
    </row>
    <row r="1750" spans="1:1" x14ac:dyDescent="0.3">
      <c r="A1750" t="s">
        <v>599</v>
      </c>
    </row>
    <row r="1751" spans="1:1" x14ac:dyDescent="0.3">
      <c r="A1751" t="s">
        <v>600</v>
      </c>
    </row>
    <row r="1752" spans="1:1" x14ac:dyDescent="0.3">
      <c r="A1752" t="s">
        <v>601</v>
      </c>
    </row>
    <row r="1753" spans="1:1" x14ac:dyDescent="0.3">
      <c r="A1753" t="s">
        <v>602</v>
      </c>
    </row>
    <row r="1754" spans="1:1" x14ac:dyDescent="0.3">
      <c r="A1754" t="s">
        <v>603</v>
      </c>
    </row>
    <row r="1755" spans="1:1" x14ac:dyDescent="0.3">
      <c r="A1755" t="s">
        <v>903</v>
      </c>
    </row>
    <row r="1756" spans="1:1" x14ac:dyDescent="0.3">
      <c r="A1756" t="s">
        <v>763</v>
      </c>
    </row>
    <row r="1757" spans="1:1" x14ac:dyDescent="0.3">
      <c r="A1757" t="s">
        <v>745</v>
      </c>
    </row>
    <row r="1758" spans="1:1" x14ac:dyDescent="0.3">
      <c r="A1758" t="s">
        <v>816</v>
      </c>
    </row>
    <row r="1759" spans="1:1" x14ac:dyDescent="0.3">
      <c r="A1759" t="s">
        <v>750</v>
      </c>
    </row>
    <row r="1760" spans="1:1" x14ac:dyDescent="0.3">
      <c r="A1760" t="s">
        <v>928</v>
      </c>
    </row>
    <row r="1761" spans="1:1" x14ac:dyDescent="0.3">
      <c r="A1761" t="s">
        <v>824</v>
      </c>
    </row>
    <row r="1762" spans="1:1" x14ac:dyDescent="0.3">
      <c r="A1762" t="s">
        <v>825</v>
      </c>
    </row>
    <row r="1763" spans="1:1" x14ac:dyDescent="0.3">
      <c r="A1763" t="s">
        <v>826</v>
      </c>
    </row>
    <row r="1764" spans="1:1" x14ac:dyDescent="0.3">
      <c r="A1764" t="s">
        <v>827</v>
      </c>
    </row>
    <row r="1765" spans="1:1" x14ac:dyDescent="0.3">
      <c r="A1765" t="s">
        <v>828</v>
      </c>
    </row>
    <row r="1766" spans="1:1" x14ac:dyDescent="0.3">
      <c r="A1766" t="s">
        <v>829</v>
      </c>
    </row>
    <row r="1767" spans="1:1" x14ac:dyDescent="0.3">
      <c r="A1767" t="s">
        <v>929</v>
      </c>
    </row>
    <row r="1768" spans="1:1" x14ac:dyDescent="0.3">
      <c r="A1768" t="s">
        <v>930</v>
      </c>
    </row>
    <row r="1769" spans="1:1" x14ac:dyDescent="0.3">
      <c r="A1769" t="s">
        <v>886</v>
      </c>
    </row>
    <row r="1770" spans="1:1" x14ac:dyDescent="0.3">
      <c r="A1770" t="s">
        <v>593</v>
      </c>
    </row>
    <row r="1771" spans="1:1" x14ac:dyDescent="0.3">
      <c r="A1771" t="s">
        <v>594</v>
      </c>
    </row>
    <row r="1772" spans="1:1" x14ac:dyDescent="0.3">
      <c r="A1772" t="s">
        <v>595</v>
      </c>
    </row>
    <row r="1773" spans="1:1" x14ac:dyDescent="0.3">
      <c r="A1773" t="s">
        <v>922</v>
      </c>
    </row>
    <row r="1774" spans="1:1" x14ac:dyDescent="0.3">
      <c r="A1774" t="s">
        <v>882</v>
      </c>
    </row>
    <row r="1775" spans="1:1" x14ac:dyDescent="0.3">
      <c r="A1775" t="s">
        <v>598</v>
      </c>
    </row>
    <row r="1776" spans="1:1" x14ac:dyDescent="0.3">
      <c r="A1776" t="s">
        <v>599</v>
      </c>
    </row>
    <row r="1777" spans="1:1" x14ac:dyDescent="0.3">
      <c r="A1777" t="s">
        <v>600</v>
      </c>
    </row>
    <row r="1778" spans="1:1" x14ac:dyDescent="0.3">
      <c r="A1778" t="s">
        <v>601</v>
      </c>
    </row>
    <row r="1779" spans="1:1" x14ac:dyDescent="0.3">
      <c r="A1779" t="s">
        <v>602</v>
      </c>
    </row>
    <row r="1780" spans="1:1" x14ac:dyDescent="0.3">
      <c r="A1780" t="s">
        <v>603</v>
      </c>
    </row>
    <row r="1781" spans="1:1" x14ac:dyDescent="0.3">
      <c r="A1781" t="s">
        <v>903</v>
      </c>
    </row>
    <row r="1782" spans="1:1" x14ac:dyDescent="0.3">
      <c r="A1782" t="s">
        <v>777</v>
      </c>
    </row>
    <row r="1783" spans="1:1" x14ac:dyDescent="0.3">
      <c r="A1783" t="s">
        <v>745</v>
      </c>
    </row>
    <row r="1784" spans="1:1" x14ac:dyDescent="0.3">
      <c r="A1784" t="s">
        <v>816</v>
      </c>
    </row>
    <row r="1785" spans="1:1" x14ac:dyDescent="0.3">
      <c r="A1785" t="s">
        <v>750</v>
      </c>
    </row>
    <row r="1786" spans="1:1" x14ac:dyDescent="0.3">
      <c r="A1786" t="s">
        <v>789</v>
      </c>
    </row>
    <row r="1787" spans="1:1" x14ac:dyDescent="0.3">
      <c r="A1787" t="s">
        <v>824</v>
      </c>
    </row>
    <row r="1788" spans="1:1" x14ac:dyDescent="0.3">
      <c r="A1788" t="s">
        <v>825</v>
      </c>
    </row>
    <row r="1789" spans="1:1" x14ac:dyDescent="0.3">
      <c r="A1789" t="s">
        <v>826</v>
      </c>
    </row>
    <row r="1790" spans="1:1" x14ac:dyDescent="0.3">
      <c r="A1790" t="s">
        <v>827</v>
      </c>
    </row>
    <row r="1791" spans="1:1" x14ac:dyDescent="0.3">
      <c r="A1791" t="s">
        <v>828</v>
      </c>
    </row>
    <row r="1792" spans="1:1" x14ac:dyDescent="0.3">
      <c r="A1792" t="s">
        <v>829</v>
      </c>
    </row>
    <row r="1793" spans="1:1" x14ac:dyDescent="0.3">
      <c r="A1793" t="s">
        <v>931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0</xdr:colOff>
                    <xdr:row>3</xdr:row>
                    <xdr:rowOff>7620</xdr:rowOff>
                  </from>
                  <to>
                    <xdr:col>6</xdr:col>
                    <xdr:colOff>411480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Button4_Click">
                <anchor moveWithCells="1" sizeWithCells="1">
                  <from>
                    <xdr:col>3</xdr:col>
                    <xdr:colOff>601980</xdr:colOff>
                    <xdr:row>6</xdr:row>
                    <xdr:rowOff>22860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Button5_Click">
                <anchor moveWithCells="1" sizeWithCells="1">
                  <from>
                    <xdr:col>4</xdr:col>
                    <xdr:colOff>0</xdr:colOff>
                    <xdr:row>9</xdr:row>
                    <xdr:rowOff>38100</xdr:rowOff>
                  </from>
                  <to>
                    <xdr:col>5</xdr:col>
                    <xdr:colOff>594360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Button6_Click">
                <anchor moveWithCells="1" sizeWithCells="1">
                  <from>
                    <xdr:col>4</xdr:col>
                    <xdr:colOff>0</xdr:colOff>
                    <xdr:row>12</xdr:row>
                    <xdr:rowOff>22860</xdr:rowOff>
                  </from>
                  <to>
                    <xdr:col>5</xdr:col>
                    <xdr:colOff>609600</xdr:colOff>
                    <xdr:row>14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37530C-0E7F-4318-B983-61896037FCC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</vt:i4>
      </vt:variant>
    </vt:vector>
  </HeadingPairs>
  <TitlesOfParts>
    <vt:vector size="23" baseType="lpstr">
      <vt:lpstr>Guides</vt:lpstr>
      <vt:lpstr>Practice</vt:lpstr>
      <vt:lpstr>prof_modifier</vt:lpstr>
      <vt:lpstr>race_modifier</vt:lpstr>
      <vt:lpstr>modifier_values_data</vt:lpstr>
      <vt:lpstr>Skills</vt:lpstr>
      <vt:lpstr>Spells</vt:lpstr>
      <vt:lpstr>Weapons</vt:lpstr>
      <vt:lpstr>Base</vt:lpstr>
      <vt:lpstr>Radical</vt:lpstr>
      <vt:lpstr>def</vt:lpstr>
      <vt:lpstr>TblAbilities</vt:lpstr>
      <vt:lpstr>TblBonusMaxSkill</vt:lpstr>
      <vt:lpstr>TblConcat</vt:lpstr>
      <vt:lpstr>TblPracticeCost</vt:lpstr>
      <vt:lpstr>TblProfessions</vt:lpstr>
      <vt:lpstr>TblProfessionValues</vt:lpstr>
      <vt:lpstr>TblRaces</vt:lpstr>
      <vt:lpstr>TblRaceValues</vt:lpstr>
      <vt:lpstr>tblSkills</vt:lpstr>
      <vt:lpstr>tblSpells</vt:lpstr>
      <vt:lpstr>TblSummary</vt:lpstr>
      <vt:lpstr>tblWeapons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Spanton, Christopher</dc:creator>
  <cp:lastModifiedBy>Michael Seifert</cp:lastModifiedBy>
  <dcterms:created xsi:type="dcterms:W3CDTF">2020-09-15T19:50:10Z</dcterms:created>
  <dcterms:modified xsi:type="dcterms:W3CDTF">2022-09-29T07:55:19Z</dcterms:modified>
</cp:coreProperties>
</file>
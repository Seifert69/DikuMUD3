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974B049-3ADB-49CE-9C95-9447C1C00167}" xr6:coauthVersionLast="47" xr6:coauthVersionMax="47" xr10:uidLastSave="{00000000-0000-0000-0000-000000000000}"/>
  <bookViews>
    <workbookView xWindow="-90" yWindow="-90" windowWidth="19380" windowHeight="10380" tabRatio="672" firstSheet="3" activeTab="7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Skills!$A$2:$AI$77</definedName>
    <definedName name="_xlnm._FilterDatabase" localSheetId="6" hidden="1">Spells!$A$2:$AI$239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Skills!$A$2:$AI$77</definedName>
    <definedName name="tblSpells">Spells!$A$2:$AI$239</definedName>
    <definedName name="TblSummary">modifier_values_data!$A$2:$J$1145</definedName>
    <definedName name="tblWeapons">Weapons!$A$2:$AJ$74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4" i="33" l="1"/>
  <c r="J104" i="33"/>
  <c r="J97" i="33"/>
  <c r="I97" i="33"/>
  <c r="H97" i="33"/>
  <c r="J101" i="33" s="1"/>
  <c r="K101" i="33" s="1"/>
  <c r="J96" i="33"/>
  <c r="I96" i="33"/>
  <c r="H96" i="33"/>
  <c r="J103" i="33"/>
  <c r="K103" i="33" s="1"/>
  <c r="J102" i="33"/>
  <c r="K102" i="33" s="1"/>
  <c r="I104" i="33"/>
  <c r="H101" i="33"/>
  <c r="I101" i="33" s="1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H103" i="33" l="1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<sst xmlns="http://schemas.openxmlformats.org/spreadsheetml/2006/main" count="4976" uniqueCount="932">
  <si>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</si>
  <si>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</si>
  <si>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</si>
  <si>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</si>
  <si>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</si>
  <si>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</si>
  <si>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</si>
  <si>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</si>
  <si>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</si>
  <si>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</si>
  <si>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</si>
  <si>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</si>
  <si>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</si>
  <si>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</si>
  <si>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</si>
  <si>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</si>
  <si>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</si>
  <si>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</si>
  <si>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</si>
  <si>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</si>
  <si>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</si>
  <si>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</si>
  <si>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</si>
  <si>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</si>
  <si>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</si>
  <si>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</si>
  <si>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</si>
  <si>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</si>
  <si>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</si>
  <si>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</si>
  <si>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</si>
  <si>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</si>
  <si>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</si>
  <si>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</si>
  <si>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</si>
  <si>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</si>
  <si>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</si>
  <si>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</si>
  <si>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</si>
  <si>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</si>
  <si>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</si>
  <si>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</si>
  <si>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</si>
  <si>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</si>
  <si>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</si>
  <si>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</si>
  <si>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</si>
  <si>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</si>
  <si>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</si>
  <si>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</si>
  <si>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</si>
  <si>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</si>
  <si>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</si>
  <si>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</si>
  <si>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</si>
  <si>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</si>
  <si>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</si>
  <si>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</si>
  <si>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</si>
  <si>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</si>
  <si>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</si>
  <si>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</si>
  <si>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</si>
  <si>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</si>
  <si>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</si>
  <si>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</si>
  <si>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</si>
  <si>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</si>
  <si>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</si>
  <si>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</si>
  <si>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</si>
  <si>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</si>
  <si>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</si>
  <si>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</si>
  <si>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</si>
  <si>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</si>
  <si>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</si>
  <si>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</si>
  <si>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</si>
  <si>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</si>
  <si>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</si>
  <si>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</si>
  <si>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</si>
  <si>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</si>
  <si>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</si>
  <si>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</si>
  <si>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</si>
  <si>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</si>
  <si>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</si>
  <si>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</si>
  <si>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</si>
  <si>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</si>
  <si>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</si>
  <si>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</si>
  <si>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</si>
  <si>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</si>
  <si>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</si>
  <si>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</si>
  <si>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</si>
  <si>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</si>
  <si>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</si>
  <si>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</si>
  <si>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</si>
  <si>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</si>
  <si>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</si>
  <si>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</si>
  <si>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</si>
  <si>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</si>
  <si>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</si>
  <si>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</si>
  <si>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</si>
  <si>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</si>
  <si>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</si>
  <si>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</si>
  <si>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</si>
  <si>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</si>
  <si>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</si>
  <si>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</si>
  <si>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</si>
  <si>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</si>
  <si>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</si>
  <si>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</si>
  <si>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</si>
  <si>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</si>
  <si>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</si>
  <si>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</si>
  <si>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</si>
  <si>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</si>
  <si>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</si>
  <si>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</si>
  <si>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</si>
  <si>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</si>
  <si>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</si>
  <si>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</si>
  <si>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</si>
  <si>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</si>
  <si>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</si>
  <si>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</si>
  <si>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</si>
  <si>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</si>
  <si>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</si>
  <si>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</si>
  <si>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</si>
  <si>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</si>
  <si>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</si>
  <si>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</si>
  <si>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</si>
  <si>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</si>
  <si>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</si>
  <si>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</si>
  <si>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</si>
  <si>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</si>
  <si>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</si>
  <si>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</si>
  <si>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</si>
  <si>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</si>
  <si>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</si>
  <si>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</si>
  <si>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</si>
  <si>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</si>
  <si>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</si>
  <si>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</si>
  <si>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</si>
  <si>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</si>
  <si>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</si>
  <si>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</si>
  <si>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</si>
  <si>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</si>
  <si>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</si>
  <si>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</si>
  <si>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</si>
  <si>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</si>
  <si>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</si>
  <si>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</si>
  <si>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</si>
  <si>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</si>
  <si>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</si>
  <si>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</si>
  <si>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</si>
  <si>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</si>
  <si>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</si>
  <si>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</si>
  <si>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</si>
  <si>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</si>
  <si>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</si>
  <si>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</si>
  <si>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</si>
  <si>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</si>
  <si>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</si>
  <si>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</si>
  <si>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</si>
  <si>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</si>
  <si>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</si>
  <si>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</si>
  <si>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</si>
  <si>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</si>
  <si>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</si>
  <si>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</si>
  <si>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</si>
  <si>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</si>
  <si>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</si>
  <si>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hit</t>
  </si>
  <si>
    <t>punch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</si>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</sst>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</xdr:colOff>
          <xdr:row>3</xdr:row>
          <xdr:rowOff>6350</xdr:rowOff>
        </xdr:from>
        <xdr:to>
          <xdr:col>6</xdr:col>
          <xdr:colOff>412750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6</xdr:row>
          <xdr:rowOff>22225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</xdr:colOff>
          <xdr:row>9</xdr:row>
          <xdr:rowOff>34925</xdr:rowOff>
        </xdr:from>
        <xdr:to>
          <xdr:col>5</xdr:col>
          <xdr:colOff>596900</xdr:colOff>
          <xdr:row>10</xdr:row>
          <xdr:rowOff>174625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19050</xdr:rowOff>
        </xdr:from>
        <xdr:to>
          <xdr:col>5</xdr:col>
          <xdr:colOff>606425</xdr:colOff>
          <xdr:row>14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75" x14ac:dyDescent="0.75"/>
  <cols>
    <col min="1" max="1" width="17.953125" customWidth="1"/>
  </cols>
  <sheetData>
    <row r="1" spans="1:13" x14ac:dyDescent="0.75">
      <c r="A1" s="3" t="s">
        <v>41</v>
      </c>
    </row>
    <row r="2" spans="1:13" x14ac:dyDescent="0.75">
      <c r="A2" s="1"/>
    </row>
    <row r="3" spans="1:13" x14ac:dyDescent="0.75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75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30">
        <f>SUM(B14:E14)</f>
        <v>34</v>
      </c>
      <c r="L4" s="30">
        <f>SUM(B14:F14)</f>
        <v>47</v>
      </c>
      <c r="M4" s="30">
        <f>SUM(B14:G14)</f>
        <v>63</v>
      </c>
    </row>
    <row r="5" spans="1:13" x14ac:dyDescent="0.75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30">
        <f>SUM(B15:E15)</f>
        <v>37</v>
      </c>
      <c r="L5" s="30">
        <f>SUM(B15:F15)</f>
        <v>47</v>
      </c>
      <c r="M5" s="30">
        <f>SUM(B15:G15)</f>
        <v>60</v>
      </c>
    </row>
    <row r="6" spans="1:13" x14ac:dyDescent="0.75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30">
        <f>SUM(B16:E16)</f>
        <v>35</v>
      </c>
      <c r="L6" s="30">
        <f>SUM(B16:F16)</f>
        <v>48</v>
      </c>
      <c r="M6" s="30">
        <f>SUM(B16:G16)</f>
        <v>64</v>
      </c>
    </row>
    <row r="8" spans="1:13" x14ac:dyDescent="0.75">
      <c r="A8" s="3" t="s">
        <v>53</v>
      </c>
    </row>
    <row r="9" spans="1:13" x14ac:dyDescent="0.75">
      <c r="A9" s="1" t="str">
        <f>A4</f>
        <v>PureNM</v>
      </c>
      <c r="B9" s="30">
        <f t="shared" ref="B9:I11" si="0">VLOOKUP(B4,TblBonusMaxSkill, 2)</f>
        <v>105</v>
      </c>
      <c r="C9" s="30">
        <f t="shared" si="0"/>
        <v>100</v>
      </c>
      <c r="D9" s="30">
        <f t="shared" si="0"/>
        <v>90</v>
      </c>
      <c r="E9" s="30">
        <f t="shared" si="0"/>
        <v>80</v>
      </c>
      <c r="F9" s="30">
        <f t="shared" si="0"/>
        <v>70</v>
      </c>
      <c r="G9" s="30">
        <f t="shared" si="0"/>
        <v>60</v>
      </c>
      <c r="H9" s="30">
        <f t="shared" si="0"/>
        <v>30</v>
      </c>
      <c r="I9" s="30">
        <f t="shared" si="0"/>
        <v>0</v>
      </c>
    </row>
    <row r="10" spans="1:13" x14ac:dyDescent="0.75">
      <c r="A10" s="1" t="str">
        <f>A5</f>
        <v>Semi</v>
      </c>
      <c r="B10" s="30">
        <f t="shared" si="0"/>
        <v>100</v>
      </c>
      <c r="C10" s="30">
        <f t="shared" si="0"/>
        <v>90</v>
      </c>
      <c r="D10" s="30">
        <f t="shared" si="0"/>
        <v>80</v>
      </c>
      <c r="E10" s="30">
        <f t="shared" si="0"/>
        <v>80</v>
      </c>
      <c r="F10" s="30">
        <f t="shared" si="0"/>
        <v>80</v>
      </c>
      <c r="G10" s="30">
        <f t="shared" si="0"/>
        <v>70</v>
      </c>
      <c r="H10" s="30">
        <f t="shared" si="0"/>
        <v>60</v>
      </c>
      <c r="I10" s="30">
        <f t="shared" si="0"/>
        <v>0</v>
      </c>
    </row>
    <row r="11" spans="1:13" x14ac:dyDescent="0.75">
      <c r="A11" s="1" t="str">
        <f>A6</f>
        <v>PureMA</v>
      </c>
      <c r="B11" s="30">
        <f t="shared" si="0"/>
        <v>100</v>
      </c>
      <c r="C11" s="30">
        <f t="shared" si="0"/>
        <v>100</v>
      </c>
      <c r="D11" s="30">
        <f t="shared" si="0"/>
        <v>90</v>
      </c>
      <c r="E11" s="30">
        <f t="shared" si="0"/>
        <v>80</v>
      </c>
      <c r="F11" s="30">
        <f t="shared" si="0"/>
        <v>70</v>
      </c>
      <c r="G11" s="30">
        <f t="shared" si="0"/>
        <v>60</v>
      </c>
      <c r="H11" s="30">
        <f t="shared" si="0"/>
        <v>60</v>
      </c>
      <c r="I11" s="30">
        <f t="shared" si="0"/>
        <v>0</v>
      </c>
    </row>
    <row r="12" spans="1:13" x14ac:dyDescent="0.75">
      <c r="B12" s="30"/>
      <c r="C12" s="30"/>
      <c r="D12" s="30"/>
      <c r="E12" s="30"/>
      <c r="F12" s="30"/>
      <c r="G12" s="30"/>
      <c r="H12" s="30"/>
      <c r="I12" s="30"/>
    </row>
    <row r="13" spans="1:13" x14ac:dyDescent="0.75">
      <c r="A13" s="3" t="s">
        <v>37</v>
      </c>
      <c r="B13" s="30"/>
      <c r="C13" s="30"/>
      <c r="D13" s="30"/>
      <c r="E13" s="30"/>
      <c r="F13" s="30"/>
      <c r="G13" s="30"/>
      <c r="H13" s="30"/>
      <c r="I13" s="30"/>
    </row>
    <row r="14" spans="1:13" x14ac:dyDescent="0.75">
      <c r="A14" s="1" t="str">
        <f>A4</f>
        <v>PureNM</v>
      </c>
      <c r="B14" s="30">
        <f>HLOOKUP(B4,Practice!$B$5:$P$6,2)</f>
        <v>7</v>
      </c>
      <c r="C14" s="30">
        <f>HLOOKUP(C4,Practice!$B$5:$P$6,2)</f>
        <v>8</v>
      </c>
      <c r="D14" s="30">
        <f>HLOOKUP(D4,Practice!$B$5:$P$6,2)</f>
        <v>9</v>
      </c>
      <c r="E14" s="30">
        <f>HLOOKUP(E4,Practice!$B$5:$P$6,2)</f>
        <v>10</v>
      </c>
      <c r="F14" s="30">
        <f>HLOOKUP(F4,Practice!$B$5:$P$6,2)</f>
        <v>13</v>
      </c>
      <c r="G14" s="30">
        <f>HLOOKUP(G4,Practice!$B$5:$P$6,2)</f>
        <v>16</v>
      </c>
      <c r="H14" s="30">
        <f>HLOOKUP(H4,Practice!$B$5:$P$6,2)</f>
        <v>25</v>
      </c>
      <c r="I14" s="30">
        <f>HLOOKUP(I4,Practice!$B$5:$P$6,2)</f>
        <v>31</v>
      </c>
    </row>
    <row r="15" spans="1:13" x14ac:dyDescent="0.75">
      <c r="A15" s="1" t="str">
        <f>A5</f>
        <v>Semi</v>
      </c>
      <c r="B15" s="30">
        <f>HLOOKUP(B5,Practice!$B$5:$P$6,2)</f>
        <v>8</v>
      </c>
      <c r="C15" s="30">
        <f>HLOOKUP(C5,Practice!$B$5:$P$6,2)</f>
        <v>9</v>
      </c>
      <c r="D15" s="30">
        <f>HLOOKUP(D5,Practice!$B$5:$P$6,2)</f>
        <v>10</v>
      </c>
      <c r="E15" s="30">
        <f>HLOOKUP(E5,Practice!$B$5:$P$6,2)</f>
        <v>10</v>
      </c>
      <c r="F15" s="30">
        <f>HLOOKUP(F5,Practice!$B$5:$P$6,2)</f>
        <v>10</v>
      </c>
      <c r="G15" s="30">
        <f>HLOOKUP(G5,Practice!$B$5:$P$6,2)</f>
        <v>13</v>
      </c>
      <c r="H15" s="30">
        <f>HLOOKUP(H5,Practice!$B$5:$P$6,2)</f>
        <v>16</v>
      </c>
      <c r="I15" s="30">
        <f>HLOOKUP(I5,Practice!$B$5:$P$6,2)</f>
        <v>31</v>
      </c>
    </row>
    <row r="16" spans="1:13" x14ac:dyDescent="0.75">
      <c r="A16" s="1" t="str">
        <f>A6</f>
        <v>PureMA</v>
      </c>
      <c r="B16" s="30">
        <f>HLOOKUP(B6,Practice!$B$5:$P$6,2)</f>
        <v>8</v>
      </c>
      <c r="C16" s="30">
        <f>HLOOKUP(C6,Practice!$B$5:$P$6,2)</f>
        <v>8</v>
      </c>
      <c r="D16" s="30">
        <f>HLOOKUP(D6,Practice!$B$5:$P$6,2)</f>
        <v>9</v>
      </c>
      <c r="E16" s="30">
        <f>HLOOKUP(E6,Practice!$B$5:$P$6,2)</f>
        <v>10</v>
      </c>
      <c r="F16" s="30">
        <f>HLOOKUP(F6,Practice!$B$5:$P$6,2)</f>
        <v>13</v>
      </c>
      <c r="G16" s="30">
        <f>HLOOKUP(G6,Practice!$B$5:$P$6,2)</f>
        <v>16</v>
      </c>
      <c r="H16" s="30">
        <f>HLOOKUP(H6,Practice!$B$5:$P$6,2)</f>
        <v>16</v>
      </c>
      <c r="I16" s="30">
        <f>HLOOKUP(I6,Practice!$B$5:$P$6,2)</f>
        <v>31</v>
      </c>
    </row>
    <row r="17" spans="1:23" x14ac:dyDescent="0.75">
      <c r="A17" s="1"/>
      <c r="B17" s="30"/>
      <c r="C17" s="30"/>
      <c r="D17" s="30"/>
      <c r="E17" s="30"/>
      <c r="F17" s="30"/>
      <c r="G17" s="30"/>
      <c r="H17" s="30"/>
      <c r="I17" s="30"/>
    </row>
    <row r="18" spans="1:23" s="47" customFormat="1" x14ac:dyDescent="0.75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23" s="47" customFormat="1" x14ac:dyDescent="0.75">
      <c r="A19" s="1"/>
      <c r="B19" s="46" t="s">
        <v>541</v>
      </c>
      <c r="C19" s="50"/>
      <c r="D19" s="50"/>
      <c r="E19" s="50"/>
      <c r="F19" s="46" t="s">
        <v>543</v>
      </c>
      <c r="G19" s="50"/>
      <c r="H19" s="46"/>
      <c r="I19" s="46" t="s">
        <v>542</v>
      </c>
      <c r="L19" s="46"/>
      <c r="R19" s="65"/>
      <c r="S19" s="65"/>
      <c r="T19" s="65"/>
      <c r="U19" s="65"/>
      <c r="V19" s="65"/>
      <c r="W19" s="65"/>
    </row>
    <row r="20" spans="1:23" s="47" customFormat="1" x14ac:dyDescent="0.75">
      <c r="A20" s="1" t="s">
        <v>540</v>
      </c>
      <c r="C20" s="67" t="s">
        <v>515</v>
      </c>
      <c r="D20" s="67"/>
      <c r="E20" s="68"/>
      <c r="F20" s="66" t="s">
        <v>516</v>
      </c>
      <c r="G20" s="67"/>
      <c r="H20" s="68"/>
      <c r="I20" s="66" t="s">
        <v>517</v>
      </c>
      <c r="J20" s="67"/>
      <c r="K20" s="68"/>
      <c r="L20" s="66" t="s">
        <v>518</v>
      </c>
      <c r="M20" s="67"/>
      <c r="N20" s="68"/>
      <c r="O20" s="66" t="s">
        <v>519</v>
      </c>
      <c r="P20" s="67"/>
      <c r="Q20" s="68"/>
      <c r="R20" s="66" t="s">
        <v>520</v>
      </c>
      <c r="S20" s="67"/>
      <c r="T20" s="68"/>
      <c r="U20" s="65" t="s">
        <v>537</v>
      </c>
      <c r="V20" s="65"/>
      <c r="W20" s="65"/>
    </row>
    <row r="21" spans="1:23" s="47" customFormat="1" x14ac:dyDescent="0.75">
      <c r="B21" s="47" t="s">
        <v>510</v>
      </c>
      <c r="C21" s="51">
        <v>70</v>
      </c>
      <c r="D21" s="51">
        <v>16</v>
      </c>
      <c r="E21" s="52">
        <v>4</v>
      </c>
      <c r="F21" s="53">
        <v>55</v>
      </c>
      <c r="G21" s="51">
        <v>15</v>
      </c>
      <c r="H21" s="52">
        <v>5</v>
      </c>
      <c r="I21" s="53">
        <v>60</v>
      </c>
      <c r="J21" s="51">
        <v>17</v>
      </c>
      <c r="K21" s="52">
        <v>5</v>
      </c>
      <c r="L21" s="53">
        <v>40</v>
      </c>
      <c r="M21" s="43">
        <v>3</v>
      </c>
      <c r="N21" s="52">
        <v>13</v>
      </c>
      <c r="O21" s="44">
        <v>40</v>
      </c>
      <c r="P21" s="43">
        <v>3</v>
      </c>
      <c r="Q21" s="45">
        <v>8</v>
      </c>
      <c r="R21" s="53">
        <v>35</v>
      </c>
      <c r="S21" s="43">
        <v>6</v>
      </c>
      <c r="T21" s="52">
        <v>8</v>
      </c>
      <c r="U21" s="51">
        <v>50</v>
      </c>
      <c r="V21" s="51">
        <v>10</v>
      </c>
      <c r="W21" s="52">
        <v>3</v>
      </c>
    </row>
    <row r="22" spans="1:23" x14ac:dyDescent="0.75">
      <c r="A22" s="47"/>
      <c r="B22" s="47" t="s">
        <v>511</v>
      </c>
      <c r="C22" s="51">
        <v>50</v>
      </c>
      <c r="D22" s="51">
        <v>17</v>
      </c>
      <c r="E22" s="52">
        <v>5</v>
      </c>
      <c r="F22" s="53">
        <v>60</v>
      </c>
      <c r="G22" s="51">
        <v>15</v>
      </c>
      <c r="H22" s="52">
        <v>6</v>
      </c>
      <c r="I22" s="53">
        <v>60</v>
      </c>
      <c r="J22" s="51">
        <v>16</v>
      </c>
      <c r="K22" s="52">
        <v>6</v>
      </c>
      <c r="L22" s="53">
        <v>50</v>
      </c>
      <c r="M22" s="43">
        <v>2</v>
      </c>
      <c r="N22" s="52">
        <v>14</v>
      </c>
      <c r="O22" s="44">
        <v>45</v>
      </c>
      <c r="P22" s="43">
        <v>2</v>
      </c>
      <c r="Q22" s="45">
        <v>9</v>
      </c>
      <c r="R22" s="53">
        <v>45</v>
      </c>
      <c r="S22" s="43">
        <v>5</v>
      </c>
      <c r="T22" s="52">
        <v>9</v>
      </c>
      <c r="U22" s="51">
        <v>40</v>
      </c>
      <c r="V22" s="51">
        <v>9</v>
      </c>
      <c r="W22" s="52">
        <v>4</v>
      </c>
    </row>
    <row r="23" spans="1:23" s="47" customFormat="1" x14ac:dyDescent="0.75">
      <c r="B23" s="47" t="s">
        <v>512</v>
      </c>
      <c r="C23" s="51">
        <v>40</v>
      </c>
      <c r="D23" s="51">
        <v>18</v>
      </c>
      <c r="E23" s="52">
        <v>6</v>
      </c>
      <c r="F23" s="53">
        <v>60</v>
      </c>
      <c r="G23" s="51">
        <v>15</v>
      </c>
      <c r="H23" s="52">
        <v>7</v>
      </c>
      <c r="I23" s="53">
        <v>50</v>
      </c>
      <c r="J23" s="51">
        <v>15</v>
      </c>
      <c r="K23" s="52">
        <v>7</v>
      </c>
      <c r="L23" s="53">
        <v>60</v>
      </c>
      <c r="M23" s="43">
        <v>1</v>
      </c>
      <c r="N23" s="52">
        <v>15</v>
      </c>
      <c r="O23" s="44">
        <v>50</v>
      </c>
      <c r="P23" s="43">
        <v>1</v>
      </c>
      <c r="Q23" s="45">
        <v>10</v>
      </c>
      <c r="R23" s="53">
        <v>55</v>
      </c>
      <c r="S23" s="43">
        <v>4</v>
      </c>
      <c r="T23" s="52">
        <v>10</v>
      </c>
      <c r="U23" s="51">
        <v>30</v>
      </c>
      <c r="V23" s="51">
        <v>8</v>
      </c>
      <c r="W23" s="52">
        <v>5</v>
      </c>
    </row>
    <row r="24" spans="1:23" s="47" customFormat="1" x14ac:dyDescent="0.75">
      <c r="B24" s="47" t="s">
        <v>513</v>
      </c>
      <c r="C24" s="51">
        <v>40</v>
      </c>
      <c r="D24" s="51">
        <v>19</v>
      </c>
      <c r="E24" s="52">
        <v>7</v>
      </c>
      <c r="F24" s="53">
        <v>70</v>
      </c>
      <c r="G24" s="51">
        <v>15</v>
      </c>
      <c r="H24" s="52">
        <v>8</v>
      </c>
      <c r="I24" s="53">
        <v>50</v>
      </c>
      <c r="J24" s="51">
        <v>14</v>
      </c>
      <c r="K24" s="52">
        <v>8</v>
      </c>
      <c r="L24" s="53">
        <v>80</v>
      </c>
      <c r="M24" s="51">
        <v>1</v>
      </c>
      <c r="N24" s="52">
        <v>16</v>
      </c>
      <c r="O24" s="53">
        <v>60</v>
      </c>
      <c r="P24" s="51">
        <v>1</v>
      </c>
      <c r="Q24" s="52">
        <v>11</v>
      </c>
      <c r="R24" s="53">
        <v>75</v>
      </c>
      <c r="S24" s="43">
        <v>3</v>
      </c>
      <c r="T24" s="52">
        <v>11</v>
      </c>
      <c r="U24" s="51">
        <v>20</v>
      </c>
      <c r="V24" s="51">
        <v>7</v>
      </c>
      <c r="W24" s="52">
        <v>6</v>
      </c>
    </row>
    <row r="25" spans="1:23" s="47" customFormat="1" x14ac:dyDescent="0.75">
      <c r="B25" s="47" t="s">
        <v>514</v>
      </c>
      <c r="C25" s="51">
        <v>40</v>
      </c>
      <c r="D25" s="51">
        <v>20</v>
      </c>
      <c r="E25" s="52">
        <v>8</v>
      </c>
      <c r="F25" s="53">
        <v>80</v>
      </c>
      <c r="G25" s="51">
        <v>15</v>
      </c>
      <c r="H25" s="52">
        <v>9</v>
      </c>
      <c r="I25" s="53">
        <v>55</v>
      </c>
      <c r="J25" s="51">
        <v>13</v>
      </c>
      <c r="K25" s="52">
        <v>9</v>
      </c>
      <c r="L25" s="53">
        <v>100</v>
      </c>
      <c r="M25" s="51">
        <v>1</v>
      </c>
      <c r="N25" s="52">
        <v>17</v>
      </c>
      <c r="O25" s="53">
        <v>70</v>
      </c>
      <c r="P25" s="51">
        <v>1</v>
      </c>
      <c r="Q25" s="52">
        <v>12</v>
      </c>
      <c r="R25" s="53">
        <v>95</v>
      </c>
      <c r="S25" s="43">
        <v>2</v>
      </c>
      <c r="T25" s="52">
        <v>12</v>
      </c>
      <c r="U25" s="51">
        <v>10</v>
      </c>
      <c r="V25" s="51">
        <v>6</v>
      </c>
      <c r="W25" s="52">
        <v>7</v>
      </c>
    </row>
    <row r="26" spans="1:23" s="47" customFormat="1" x14ac:dyDescent="0.75">
      <c r="C26" s="51"/>
      <c r="D26" s="51"/>
      <c r="E26" s="52"/>
      <c r="F26" s="53"/>
      <c r="G26" s="51"/>
      <c r="H26" s="52"/>
      <c r="I26" s="53"/>
      <c r="J26" s="51"/>
      <c r="K26" s="52"/>
      <c r="L26" s="53"/>
      <c r="M26" s="51"/>
      <c r="N26" s="52"/>
      <c r="O26" s="53"/>
      <c r="P26" s="51"/>
      <c r="Q26" s="52"/>
      <c r="R26" s="40"/>
      <c r="S26" s="41"/>
      <c r="T26" s="42"/>
    </row>
    <row r="27" spans="1:23" s="47" customFormat="1" x14ac:dyDescent="0.75"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75" x14ac:dyDescent="0.75"/>
  <cols>
    <col min="5" max="5" width="9.36328125" customWidth="1"/>
    <col min="6" max="6" width="9.04296875" bestFit="1" customWidth="1"/>
  </cols>
  <sheetData>
    <row r="1" spans="1:16" x14ac:dyDescent="0.75">
      <c r="A1" s="1" t="s">
        <v>25</v>
      </c>
    </row>
    <row r="3" spans="1:16" x14ac:dyDescent="0.75">
      <c r="A3" s="1" t="s">
        <v>24</v>
      </c>
    </row>
    <row r="4" spans="1:16" x14ac:dyDescent="0.75">
      <c r="A4" s="1" t="s">
        <v>60</v>
      </c>
      <c r="B4" s="69" t="s">
        <v>29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x14ac:dyDescent="0.75">
      <c r="B5" s="22">
        <v>-7</v>
      </c>
      <c r="C5" s="22">
        <v>-6</v>
      </c>
      <c r="D5" s="22">
        <v>-5</v>
      </c>
      <c r="E5" s="22">
        <v>-4</v>
      </c>
      <c r="F5" s="22">
        <v>-3</v>
      </c>
      <c r="G5" s="22">
        <v>-2</v>
      </c>
      <c r="H5" s="22">
        <v>-1</v>
      </c>
      <c r="I5" s="22">
        <v>0</v>
      </c>
      <c r="J5" s="22">
        <v>1</v>
      </c>
      <c r="K5" s="22">
        <v>2</v>
      </c>
      <c r="L5" s="22">
        <v>3</v>
      </c>
      <c r="M5" s="22">
        <v>4</v>
      </c>
      <c r="N5" s="22">
        <v>5</v>
      </c>
      <c r="O5" s="22">
        <v>6</v>
      </c>
      <c r="P5" s="22">
        <v>7</v>
      </c>
    </row>
    <row r="6" spans="1:16" x14ac:dyDescent="0.75">
      <c r="A6" s="1" t="s">
        <v>26</v>
      </c>
      <c r="B6" s="23">
        <v>31</v>
      </c>
      <c r="C6" s="23">
        <v>28</v>
      </c>
      <c r="D6" s="23">
        <v>25</v>
      </c>
      <c r="E6" s="23">
        <v>22</v>
      </c>
      <c r="F6" s="23">
        <v>19</v>
      </c>
      <c r="G6" s="23">
        <v>16</v>
      </c>
      <c r="H6" s="23">
        <v>13</v>
      </c>
      <c r="I6" s="23">
        <v>10</v>
      </c>
      <c r="J6" s="23">
        <v>9</v>
      </c>
      <c r="K6" s="23">
        <v>8</v>
      </c>
      <c r="L6" s="23">
        <v>7</v>
      </c>
      <c r="M6" s="23">
        <v>6</v>
      </c>
      <c r="N6" s="23">
        <v>5</v>
      </c>
      <c r="O6" s="23">
        <v>5</v>
      </c>
      <c r="P6" s="23">
        <v>5</v>
      </c>
    </row>
    <row r="7" spans="1:16" x14ac:dyDescent="0.75">
      <c r="A7" s="1" t="s">
        <v>27</v>
      </c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14</v>
      </c>
      <c r="K7" s="23">
        <v>12</v>
      </c>
      <c r="L7" s="23">
        <v>11</v>
      </c>
      <c r="M7" s="23">
        <v>9</v>
      </c>
      <c r="N7" s="23">
        <v>8</v>
      </c>
      <c r="O7" s="23">
        <v>8</v>
      </c>
      <c r="P7" s="23">
        <v>8</v>
      </c>
    </row>
    <row r="8" spans="1:16" x14ac:dyDescent="0.75">
      <c r="A8" s="1" t="s">
        <v>28</v>
      </c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16</v>
      </c>
      <c r="M8" s="23">
        <v>14</v>
      </c>
      <c r="N8" s="23">
        <v>12</v>
      </c>
      <c r="O8" s="23">
        <v>12</v>
      </c>
      <c r="P8" s="23">
        <v>12</v>
      </c>
    </row>
    <row r="9" spans="1:16" x14ac:dyDescent="0.75">
      <c r="B9" s="24" t="s">
        <v>57</v>
      </c>
    </row>
    <row r="11" spans="1:16" x14ac:dyDescent="0.75">
      <c r="A11" s="1" t="s">
        <v>61</v>
      </c>
    </row>
    <row r="12" spans="1:16" x14ac:dyDescent="0.75">
      <c r="A12" s="1" t="s">
        <v>35</v>
      </c>
    </row>
    <row r="13" spans="1:16" x14ac:dyDescent="0.75">
      <c r="A13" s="1" t="s">
        <v>58</v>
      </c>
    </row>
    <row r="14" spans="1:16" x14ac:dyDescent="0.75">
      <c r="A14" s="1" t="s">
        <v>59</v>
      </c>
    </row>
    <row r="15" spans="1:16" x14ac:dyDescent="0.75">
      <c r="A15" s="1"/>
    </row>
    <row r="16" spans="1:16" x14ac:dyDescent="0.75">
      <c r="A16" s="1" t="s">
        <v>48</v>
      </c>
    </row>
    <row r="17" spans="1:6" x14ac:dyDescent="0.75">
      <c r="A17" s="1"/>
    </row>
    <row r="18" spans="1:6" x14ac:dyDescent="0.75">
      <c r="A18" s="10" t="s">
        <v>49</v>
      </c>
      <c r="B18" s="10" t="s">
        <v>51</v>
      </c>
      <c r="D18" s="1" t="s">
        <v>52</v>
      </c>
      <c r="E18" s="1" t="s">
        <v>54</v>
      </c>
    </row>
    <row r="19" spans="1:6" x14ac:dyDescent="0.75">
      <c r="A19" s="19">
        <v>-7</v>
      </c>
      <c r="B19" s="20">
        <v>0</v>
      </c>
      <c r="C19" s="15" t="s">
        <v>40</v>
      </c>
      <c r="F19" t="s">
        <v>50</v>
      </c>
    </row>
    <row r="20" spans="1:6" x14ac:dyDescent="0.75">
      <c r="A20" s="20">
        <v>-6</v>
      </c>
      <c r="B20" s="20">
        <v>15</v>
      </c>
      <c r="C20" s="12">
        <f t="shared" ref="C20:C27" si="0">$B$28/B20-1</f>
        <v>5.666666666666667</v>
      </c>
      <c r="D20" s="13"/>
    </row>
    <row r="21" spans="1:6" x14ac:dyDescent="0.75">
      <c r="A21" s="19">
        <v>-5</v>
      </c>
      <c r="B21" s="20">
        <v>30</v>
      </c>
      <c r="C21" s="12">
        <f t="shared" si="0"/>
        <v>2.3333333333333335</v>
      </c>
      <c r="D21" s="25">
        <f>HLOOKUP(A21,Practice!$B$5:$P$6,2)</f>
        <v>25</v>
      </c>
      <c r="E21" s="17">
        <f>D21*B21</f>
        <v>750</v>
      </c>
    </row>
    <row r="22" spans="1:6" x14ac:dyDescent="0.75">
      <c r="A22" s="20">
        <v>-4</v>
      </c>
      <c r="B22" s="20">
        <v>40</v>
      </c>
      <c r="C22" s="12">
        <f t="shared" si="0"/>
        <v>1.5</v>
      </c>
      <c r="D22" s="25">
        <f>HLOOKUP(A22,Practice!$B$5:$P$6,2)</f>
        <v>22</v>
      </c>
    </row>
    <row r="23" spans="1:6" x14ac:dyDescent="0.75">
      <c r="A23" s="21">
        <v>-3</v>
      </c>
      <c r="B23" s="20">
        <v>50</v>
      </c>
      <c r="C23" s="12">
        <f t="shared" si="0"/>
        <v>1</v>
      </c>
      <c r="D23" s="25">
        <f>HLOOKUP(A23,Practice!$B$5:$P$6,2)</f>
        <v>19</v>
      </c>
      <c r="E23" s="16"/>
    </row>
    <row r="24" spans="1:6" x14ac:dyDescent="0.75">
      <c r="A24" s="19">
        <v>-2</v>
      </c>
      <c r="B24" s="20">
        <v>60</v>
      </c>
      <c r="C24" s="12">
        <f t="shared" si="0"/>
        <v>0.66666666666666674</v>
      </c>
      <c r="D24" s="25">
        <f>HLOOKUP(A24,Practice!$B$5:$P$6,2)</f>
        <v>16</v>
      </c>
      <c r="E24" s="17">
        <f t="shared" ref="E24:E29" si="1">D24*B24</f>
        <v>960</v>
      </c>
    </row>
    <row r="25" spans="1:6" x14ac:dyDescent="0.75">
      <c r="A25" s="19">
        <v>-1</v>
      </c>
      <c r="B25" s="20">
        <v>70</v>
      </c>
      <c r="C25" s="12">
        <f t="shared" si="0"/>
        <v>0.4285714285714286</v>
      </c>
      <c r="D25" s="25">
        <f>HLOOKUP(A25,Practice!$B$5:$P$6,2)</f>
        <v>13</v>
      </c>
      <c r="E25" s="17">
        <f t="shared" si="1"/>
        <v>910</v>
      </c>
    </row>
    <row r="26" spans="1:6" x14ac:dyDescent="0.75">
      <c r="A26" s="19">
        <v>0</v>
      </c>
      <c r="B26" s="20">
        <v>80</v>
      </c>
      <c r="C26" s="12">
        <f t="shared" si="0"/>
        <v>0.25</v>
      </c>
      <c r="D26" s="25">
        <f>HLOOKUP(A26,Practice!$B$5:$P$6,2)</f>
        <v>10</v>
      </c>
      <c r="E26" s="17">
        <f t="shared" si="1"/>
        <v>800</v>
      </c>
    </row>
    <row r="27" spans="1:6" x14ac:dyDescent="0.75">
      <c r="A27" s="19">
        <v>1</v>
      </c>
      <c r="B27" s="20">
        <v>90</v>
      </c>
      <c r="C27" s="12">
        <f t="shared" si="0"/>
        <v>0.11111111111111116</v>
      </c>
      <c r="D27" s="25">
        <f>HLOOKUP(A27,Practice!$B$5:$P$6,2)</f>
        <v>9</v>
      </c>
      <c r="E27" s="17">
        <f t="shared" si="1"/>
        <v>810</v>
      </c>
    </row>
    <row r="28" spans="1:6" x14ac:dyDescent="0.75">
      <c r="A28" s="19">
        <v>2</v>
      </c>
      <c r="B28" s="20">
        <v>100</v>
      </c>
      <c r="C28" s="14">
        <v>0</v>
      </c>
      <c r="D28" s="25">
        <f>HLOOKUP(A28,Practice!$B$5:$P$6,2)</f>
        <v>8</v>
      </c>
      <c r="E28" s="17">
        <f t="shared" si="1"/>
        <v>800</v>
      </c>
    </row>
    <row r="29" spans="1:6" x14ac:dyDescent="0.75">
      <c r="A29" s="19">
        <v>3</v>
      </c>
      <c r="B29" s="20">
        <v>105</v>
      </c>
      <c r="C29" s="12">
        <f>-(B29/$B$28-1)</f>
        <v>-5.0000000000000044E-2</v>
      </c>
      <c r="D29" s="25">
        <f>HLOOKUP(A29,Practice!$B$5:$P$6,2)</f>
        <v>7</v>
      </c>
      <c r="E29" s="17">
        <f t="shared" si="1"/>
        <v>735</v>
      </c>
    </row>
    <row r="30" spans="1:6" x14ac:dyDescent="0.75">
      <c r="A30" s="20">
        <v>4</v>
      </c>
      <c r="B30" s="20">
        <v>108</v>
      </c>
      <c r="C30" s="12">
        <f>-(B30/$B$28-1)</f>
        <v>-8.0000000000000071E-2</v>
      </c>
      <c r="D30" s="25">
        <f>HLOOKUP(A30,Practice!$B$5:$P$6,2)</f>
        <v>6</v>
      </c>
    </row>
    <row r="31" spans="1:6" x14ac:dyDescent="0.75">
      <c r="A31" s="20">
        <v>5</v>
      </c>
      <c r="B31" s="20">
        <v>110</v>
      </c>
      <c r="C31" s="12">
        <f>-(B31/$B$28-1)</f>
        <v>-0.10000000000000009</v>
      </c>
      <c r="D31" s="25">
        <f>HLOOKUP(A31,Practice!$B$5:$P$6,2)</f>
        <v>5</v>
      </c>
    </row>
    <row r="32" spans="1:6" x14ac:dyDescent="0.75">
      <c r="A32" s="20">
        <v>6</v>
      </c>
      <c r="B32" s="20">
        <v>111</v>
      </c>
      <c r="C32" s="12">
        <f>-(B32/$B$28-1)</f>
        <v>-0.1100000000000001</v>
      </c>
      <c r="D32" s="25">
        <f>HLOOKUP(A32,Practice!$B$5:$P$6,2)</f>
        <v>5</v>
      </c>
    </row>
    <row r="33" spans="1:6" x14ac:dyDescent="0.75">
      <c r="A33" s="20">
        <v>7</v>
      </c>
      <c r="B33" s="20">
        <v>112</v>
      </c>
      <c r="C33" s="12">
        <f>-(B33/$B$28-1)</f>
        <v>-0.12000000000000011</v>
      </c>
      <c r="D33" s="25">
        <f>HLOOKUP(A33,Practice!$B$5:$P$6,2)</f>
        <v>5</v>
      </c>
    </row>
    <row r="34" spans="1:6" x14ac:dyDescent="0.75">
      <c r="A34" s="24" t="s">
        <v>56</v>
      </c>
    </row>
    <row r="35" spans="1:6" ht="17" x14ac:dyDescent="1.2">
      <c r="E35" s="18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75" x14ac:dyDescent="0.75"/>
  <cols>
    <col min="2" max="14" width="8.7265625" customWidth="1"/>
  </cols>
  <sheetData>
    <row r="3" spans="1:16" x14ac:dyDescent="0.75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75">
      <c r="B4" s="26" t="s">
        <v>8</v>
      </c>
      <c r="C4" s="26" t="s">
        <v>9</v>
      </c>
      <c r="D4" s="26" t="s">
        <v>10</v>
      </c>
      <c r="E4" s="26" t="s">
        <v>11</v>
      </c>
      <c r="F4" s="26" t="s">
        <v>12</v>
      </c>
      <c r="G4" s="26" t="s">
        <v>13</v>
      </c>
      <c r="H4" s="26" t="s">
        <v>14</v>
      </c>
      <c r="I4" s="26" t="s">
        <v>31</v>
      </c>
      <c r="J4" s="26" t="s">
        <v>91</v>
      </c>
      <c r="K4" s="26" t="s">
        <v>15</v>
      </c>
      <c r="L4" s="26" t="s">
        <v>92</v>
      </c>
      <c r="M4" s="26" t="s">
        <v>62</v>
      </c>
      <c r="N4" s="26" t="s">
        <v>22</v>
      </c>
      <c r="P4" t="s">
        <v>16</v>
      </c>
    </row>
    <row r="5" spans="1:16" x14ac:dyDescent="0.75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75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75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75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75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75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75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75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75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75">
      <c r="A17" t="s">
        <v>104</v>
      </c>
    </row>
    <row r="18" spans="1:1" x14ac:dyDescent="0.75">
      <c r="A18" t="s">
        <v>102</v>
      </c>
    </row>
    <row r="19" spans="1:1" x14ac:dyDescent="0.75">
      <c r="A19" t="s">
        <v>101</v>
      </c>
    </row>
    <row r="20" spans="1:1" x14ac:dyDescent="0.75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75" x14ac:dyDescent="0.75"/>
  <cols>
    <col min="1" max="1" width="12.7265625" customWidth="1"/>
    <col min="4" max="6" width="9.6328125" bestFit="1" customWidth="1"/>
    <col min="8" max="9" width="9.6328125" bestFit="1" customWidth="1"/>
  </cols>
  <sheetData>
    <row r="1" spans="1:14" x14ac:dyDescent="0.75">
      <c r="B1" s="30" t="s">
        <v>95</v>
      </c>
      <c r="C1" s="30" t="s">
        <v>98</v>
      </c>
      <c r="D1" s="30" t="s">
        <v>99</v>
      </c>
      <c r="E1" s="30" t="s">
        <v>99</v>
      </c>
      <c r="F1" s="30" t="s">
        <v>99</v>
      </c>
      <c r="G1" s="30" t="s">
        <v>98</v>
      </c>
      <c r="H1" s="30" t="s">
        <v>99</v>
      </c>
      <c r="I1" s="30" t="s">
        <v>99</v>
      </c>
      <c r="J1" s="30" t="s">
        <v>97</v>
      </c>
      <c r="K1" s="30" t="s">
        <v>97</v>
      </c>
      <c r="L1" s="30" t="s">
        <v>98</v>
      </c>
    </row>
    <row r="2" spans="1:14" x14ac:dyDescent="0.75">
      <c r="B2" s="26" t="s">
        <v>17</v>
      </c>
      <c r="C2" s="26" t="s">
        <v>18</v>
      </c>
      <c r="D2" s="26" t="s">
        <v>19</v>
      </c>
      <c r="E2" s="26" t="s">
        <v>20</v>
      </c>
      <c r="F2" s="26" t="s">
        <v>21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N2" t="s">
        <v>16</v>
      </c>
    </row>
    <row r="3" spans="1:14" x14ac:dyDescent="0.75">
      <c r="A3" s="27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75">
      <c r="A4" s="27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75">
      <c r="A5" s="27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75">
      <c r="A6" s="27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75">
      <c r="A7" s="27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75">
      <c r="A8" s="27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75">
      <c r="A9" s="27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75">
      <c r="A10" s="27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75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75">
      <c r="A14" t="s">
        <v>105</v>
      </c>
    </row>
    <row r="15" spans="1:14" x14ac:dyDescent="0.75">
      <c r="A15" t="s">
        <v>106</v>
      </c>
    </row>
    <row r="16" spans="1:14" x14ac:dyDescent="0.75">
      <c r="A16" t="s">
        <v>107</v>
      </c>
    </row>
    <row r="17" spans="1:12" x14ac:dyDescent="0.75">
      <c r="A17" t="s">
        <v>108</v>
      </c>
    </row>
    <row r="19" spans="1:12" x14ac:dyDescent="0.75">
      <c r="A19" s="3" t="s">
        <v>94</v>
      </c>
    </row>
    <row r="20" spans="1:12" x14ac:dyDescent="0.75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75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75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75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75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75">
      <c r="B26" s="69" t="s">
        <v>36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75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75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75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75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75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75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75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75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75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75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75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75" x14ac:dyDescent="0.75"/>
  <cols>
    <col min="1" max="2" width="8.7265625" style="1"/>
    <col min="4" max="9" width="9.54296875" customWidth="1"/>
  </cols>
  <sheetData>
    <row r="1" spans="1:10" x14ac:dyDescent="0.75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75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75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75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75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75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75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75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75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75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75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75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75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75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75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75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75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75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75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75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75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75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75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75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75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75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75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75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75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75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75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75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75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75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75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75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75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75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75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75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75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75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75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75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75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75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75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75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75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75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75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75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75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75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75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75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75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75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75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75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75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75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75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75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75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75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75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75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75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75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75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75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75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75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75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75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75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75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75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75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75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75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75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75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75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75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75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75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75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75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75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75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75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75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75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75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75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75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75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75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75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75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75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75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75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75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75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75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75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75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75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75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75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75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75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75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75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75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75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75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75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75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75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75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75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75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75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75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75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75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75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75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75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75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75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75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75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75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75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75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75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75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75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75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75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75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75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75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75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75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75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75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75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75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75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75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75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75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75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75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75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75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75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75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75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75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75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75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75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75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75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75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75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75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75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75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75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75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75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75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75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75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75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75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75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75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75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75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75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75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75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75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75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75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75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75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75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75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75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75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75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75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75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75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75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75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75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75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75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75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75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75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75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75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75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75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75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75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75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75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75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75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75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75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75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75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75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75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75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75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75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75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75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75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75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75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75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75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75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75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75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75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75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75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75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75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75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75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75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75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75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75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75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75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75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75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75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75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75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75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75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75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75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75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75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75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75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75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75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75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75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75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75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75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75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75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75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75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75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75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75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75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75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75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75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75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75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75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75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75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75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75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75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75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75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75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75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75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75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75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75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75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75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75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75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75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75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75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75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75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75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75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75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75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75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75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75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75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75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75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75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75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75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75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75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75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75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75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75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75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75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75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75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75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75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75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75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75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75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75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75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75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75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75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75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75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75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75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75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75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75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75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75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75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75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75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75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75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75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75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75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75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75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75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75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75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75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75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75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75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75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75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75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75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75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75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75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75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75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75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75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75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75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75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75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75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75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75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75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75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75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75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75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75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75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75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75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75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75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75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75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75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75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75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75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75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75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75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75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75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75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75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75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75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75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75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75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75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75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75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75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75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75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75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75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75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75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75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75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75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75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75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75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75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75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75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75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75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75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75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75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75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75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75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75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75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75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75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75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75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75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75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75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75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75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75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75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75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75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75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75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75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75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75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75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75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75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75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75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75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75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75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75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75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75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75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75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75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75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75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75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75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75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75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75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75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75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75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75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75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75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75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75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75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75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75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75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75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75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75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75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75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75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75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75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75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75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75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75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75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75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75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75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75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75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75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75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75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75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75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75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75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75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75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75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75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75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75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75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75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75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75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75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75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75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75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75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75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75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75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75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75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75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75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75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75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75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75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75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75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75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75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75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75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75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75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75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75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75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75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75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75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75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75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75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75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75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75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75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75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75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75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75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75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75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75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75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75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75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75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75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75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75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75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75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75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75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75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75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75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75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75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75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75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75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75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75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75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75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75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75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75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75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75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75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75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75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75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75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75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75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75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75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75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75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75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75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75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75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75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75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75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75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75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75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75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75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75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75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75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75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75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75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75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75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75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75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75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75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75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75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75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75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75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75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75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75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75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75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75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75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75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75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75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75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75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75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75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75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75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75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75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75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75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75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75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75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75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75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75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75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75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75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75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75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75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75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75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75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75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75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75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75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75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75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75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75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75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75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75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75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75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75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75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75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75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75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75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75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75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75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75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75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75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75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75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75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75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75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75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75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75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75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75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75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75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75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75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75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75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75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75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75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75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75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75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75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75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75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75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75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75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75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75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75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75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75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75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75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75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75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75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75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75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75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75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75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75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75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75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75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75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75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75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75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75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75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75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75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75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75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75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75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75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75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75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75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75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75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75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75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75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75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75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75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75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75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75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75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75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75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75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75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75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75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75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75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75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75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75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75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75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75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75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75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75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75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75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75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75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75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75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75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75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75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75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75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75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75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75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75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75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75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75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75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75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75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75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75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75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75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75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75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75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75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75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75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75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75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75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75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75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75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75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75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75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75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75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75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75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75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75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75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75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75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75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75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75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75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75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75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75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75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75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75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75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75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75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75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75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75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75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75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75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75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75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75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75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75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75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75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75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75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75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75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75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75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75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75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75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75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75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75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75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75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75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75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75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75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75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75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75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75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75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75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75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75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75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75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75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75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75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75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75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75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75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75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75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75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75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75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75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75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75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75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75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75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75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75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75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75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75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75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75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75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75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75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75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75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75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75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75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75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75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75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75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75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75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75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75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75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75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75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75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75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75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75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75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75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75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75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75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75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75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75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75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75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75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75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75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75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75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75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75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75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75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75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75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75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75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75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75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75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75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75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75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75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75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75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75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75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75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75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75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75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75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75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75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75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75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75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75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75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75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75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75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75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75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75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75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75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75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75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75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75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75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75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75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75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75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75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75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75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75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75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75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75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75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75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75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75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75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75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75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75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75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75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75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75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75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75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75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75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75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75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75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75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75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75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75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75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75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75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75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75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75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75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75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75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75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75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75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75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75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75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75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75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75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75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75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75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75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75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75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75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75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75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75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75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75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75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75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75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75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75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75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75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75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75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75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75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75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75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75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75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75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75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75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75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75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75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75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75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75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75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75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75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75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75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75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75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75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75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75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75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75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75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75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75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75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75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75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75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75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75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75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75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75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75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75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75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75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75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75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75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75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75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75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75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75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75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75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75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75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75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75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75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75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75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75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75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75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75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75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75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I84"/>
  <sheetViews>
    <sheetView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J2" sqref="J2"/>
    </sheetView>
  </sheetViews>
  <sheetFormatPr defaultRowHeight="14.75" x14ac:dyDescent="0.75"/>
  <cols>
    <col min="1" max="1" width="18.5" style="1" bestFit="1" customWidth="1"/>
    <col min="10" max="10" width="8.7265625" customWidth="1"/>
    <col min="15" max="15" width="8.7265625" style="47"/>
  </cols>
  <sheetData>
    <row r="1" spans="1:35" x14ac:dyDescent="0.75">
      <c r="A1" s="35" t="s">
        <v>109</v>
      </c>
      <c r="C1" t="s">
        <v>502</v>
      </c>
      <c r="O1" s="47" t="s">
        <v>508</v>
      </c>
      <c r="P1" t="s">
        <v>110</v>
      </c>
    </row>
    <row r="2" spans="1:35" s="1" customFormat="1" x14ac:dyDescent="0.75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75">
      <c r="A3" s="35" t="s">
        <v>144</v>
      </c>
      <c r="B3" s="30">
        <v>-7</v>
      </c>
      <c r="C3" s="30">
        <v>-7</v>
      </c>
      <c r="D3" s="30">
        <v>1</v>
      </c>
      <c r="E3" s="30">
        <v>-7</v>
      </c>
      <c r="F3" s="30">
        <v>-7</v>
      </c>
      <c r="G3" s="30">
        <v>-7</v>
      </c>
      <c r="H3" s="30">
        <v>5</v>
      </c>
      <c r="I3" s="30">
        <v>3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  <c r="P3" s="30">
        <v>5</v>
      </c>
      <c r="Q3" s="30">
        <v>2</v>
      </c>
      <c r="R3" s="30">
        <v>1</v>
      </c>
      <c r="S3" s="30">
        <v>1</v>
      </c>
      <c r="T3" s="30"/>
      <c r="U3" s="30"/>
      <c r="V3" s="30">
        <v>-1</v>
      </c>
      <c r="W3" s="30">
        <v>-1</v>
      </c>
      <c r="X3" s="30">
        <v>1</v>
      </c>
      <c r="Y3" s="30">
        <v>0</v>
      </c>
      <c r="Z3" s="30">
        <v>-1</v>
      </c>
      <c r="AA3" s="30">
        <v>-1</v>
      </c>
      <c r="AC3">
        <v>20</v>
      </c>
    </row>
    <row r="4" spans="1:35" x14ac:dyDescent="0.75">
      <c r="A4" s="35" t="s">
        <v>145</v>
      </c>
      <c r="B4" s="30">
        <v>-7</v>
      </c>
      <c r="C4" s="30">
        <v>0</v>
      </c>
      <c r="D4" s="30">
        <v>0</v>
      </c>
      <c r="E4" s="30">
        <v>0</v>
      </c>
      <c r="F4" s="30">
        <v>-3</v>
      </c>
      <c r="G4" s="30">
        <v>0</v>
      </c>
      <c r="H4" s="30">
        <v>2</v>
      </c>
      <c r="I4" s="30">
        <v>2</v>
      </c>
      <c r="J4" s="30">
        <v>-7</v>
      </c>
      <c r="K4" s="30">
        <v>2</v>
      </c>
      <c r="L4" s="30">
        <v>5</v>
      </c>
      <c r="M4" s="30">
        <v>5</v>
      </c>
      <c r="N4" s="30">
        <v>-7</v>
      </c>
      <c r="O4" s="50"/>
      <c r="P4" s="30"/>
      <c r="Q4" s="30"/>
      <c r="R4" s="30">
        <v>1</v>
      </c>
      <c r="S4" s="30"/>
      <c r="T4" s="30"/>
      <c r="U4" s="30">
        <v>1</v>
      </c>
      <c r="V4" s="30"/>
      <c r="W4" s="30"/>
      <c r="X4" s="30">
        <v>1</v>
      </c>
      <c r="Y4" s="30">
        <v>1</v>
      </c>
      <c r="Z4" s="30"/>
      <c r="AA4" s="30">
        <v>2</v>
      </c>
      <c r="AH4">
        <v>35</v>
      </c>
    </row>
    <row r="5" spans="1:35" x14ac:dyDescent="0.75">
      <c r="A5" s="35" t="s">
        <v>146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3</v>
      </c>
      <c r="J5" s="30">
        <v>-7</v>
      </c>
      <c r="K5" s="30">
        <v>0</v>
      </c>
      <c r="L5" s="30">
        <v>5</v>
      </c>
      <c r="M5" s="30">
        <v>5</v>
      </c>
      <c r="N5" s="30">
        <v>-7</v>
      </c>
      <c r="O5" s="50"/>
      <c r="P5" s="30"/>
      <c r="Q5" s="30">
        <v>1</v>
      </c>
      <c r="R5" s="30"/>
      <c r="S5" s="30"/>
      <c r="T5" s="30">
        <v>1</v>
      </c>
      <c r="U5" s="30">
        <v>1</v>
      </c>
      <c r="V5" s="30"/>
      <c r="W5" s="30"/>
      <c r="X5" s="30"/>
      <c r="Y5" s="30">
        <v>2</v>
      </c>
      <c r="Z5" s="30"/>
      <c r="AA5" s="30">
        <v>1</v>
      </c>
      <c r="AH5">
        <v>20</v>
      </c>
    </row>
    <row r="6" spans="1:35" x14ac:dyDescent="0.75">
      <c r="A6" s="35" t="s">
        <v>147</v>
      </c>
      <c r="B6" s="30">
        <v>0</v>
      </c>
      <c r="C6" s="30">
        <v>1</v>
      </c>
      <c r="D6" s="30">
        <v>1</v>
      </c>
      <c r="E6" s="30">
        <v>5</v>
      </c>
      <c r="F6" s="30">
        <v>5</v>
      </c>
      <c r="G6" s="30">
        <v>5</v>
      </c>
      <c r="H6" s="30">
        <v>2</v>
      </c>
      <c r="I6" s="30">
        <v>3</v>
      </c>
      <c r="J6" s="30">
        <v>-7</v>
      </c>
      <c r="K6" s="30">
        <v>0</v>
      </c>
      <c r="L6" s="30">
        <v>2</v>
      </c>
      <c r="M6" s="30">
        <v>1</v>
      </c>
      <c r="N6" s="30">
        <v>0</v>
      </c>
      <c r="O6" s="5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35" x14ac:dyDescent="0.75">
      <c r="A7" s="35" t="s">
        <v>148</v>
      </c>
      <c r="B7" s="30">
        <v>0</v>
      </c>
      <c r="C7" s="30">
        <v>0</v>
      </c>
      <c r="D7" s="30">
        <v>1</v>
      </c>
      <c r="E7" s="30">
        <v>1</v>
      </c>
      <c r="F7" s="30">
        <v>3</v>
      </c>
      <c r="G7" s="30">
        <v>3</v>
      </c>
      <c r="H7" s="30">
        <v>5</v>
      </c>
      <c r="I7" s="30">
        <v>4</v>
      </c>
      <c r="J7" s="30">
        <v>-7</v>
      </c>
      <c r="K7" s="30">
        <v>0</v>
      </c>
      <c r="L7" s="30">
        <v>0</v>
      </c>
      <c r="M7" s="30">
        <v>0</v>
      </c>
      <c r="N7" s="30">
        <v>0</v>
      </c>
      <c r="O7" s="5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35" x14ac:dyDescent="0.75">
      <c r="A8" s="35" t="s">
        <v>149</v>
      </c>
      <c r="B8" s="30">
        <v>-7</v>
      </c>
      <c r="C8" s="30">
        <v>-7</v>
      </c>
      <c r="D8" s="30">
        <v>-7</v>
      </c>
      <c r="E8" s="30">
        <v>0</v>
      </c>
      <c r="F8" s="30">
        <v>5</v>
      </c>
      <c r="G8" s="30">
        <v>4</v>
      </c>
      <c r="H8" s="30">
        <v>-1</v>
      </c>
      <c r="I8" s="30">
        <v>-2</v>
      </c>
      <c r="J8" s="30">
        <v>-7</v>
      </c>
      <c r="K8" s="30">
        <v>-2</v>
      </c>
      <c r="L8" s="30">
        <v>1</v>
      </c>
      <c r="M8" s="30">
        <v>2</v>
      </c>
      <c r="N8" s="30">
        <v>-7</v>
      </c>
      <c r="O8" s="5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35" x14ac:dyDescent="0.75">
      <c r="A9" s="35" t="s">
        <v>150</v>
      </c>
      <c r="B9" s="30">
        <v>-7</v>
      </c>
      <c r="C9" s="30">
        <v>-7</v>
      </c>
      <c r="D9" s="30">
        <v>-7</v>
      </c>
      <c r="E9" s="30">
        <v>-7</v>
      </c>
      <c r="F9" s="30">
        <v>5</v>
      </c>
      <c r="G9" s="30">
        <v>3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  <c r="P9" s="30"/>
      <c r="Q9" s="30"/>
      <c r="R9" s="30"/>
      <c r="S9" s="30"/>
      <c r="T9" s="30">
        <v>1</v>
      </c>
      <c r="U9" s="30">
        <v>1</v>
      </c>
      <c r="V9" s="30"/>
      <c r="W9" s="30"/>
      <c r="X9" s="30"/>
      <c r="Y9" s="30">
        <v>1</v>
      </c>
      <c r="Z9" s="30"/>
      <c r="AA9" s="30"/>
    </row>
    <row r="10" spans="1:35" x14ac:dyDescent="0.75">
      <c r="A10" s="35" t="s">
        <v>151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5</v>
      </c>
      <c r="J10" s="30">
        <v>-7</v>
      </c>
      <c r="K10" s="30">
        <v>-7</v>
      </c>
      <c r="L10" s="30">
        <v>-7</v>
      </c>
      <c r="M10" s="30">
        <v>2</v>
      </c>
      <c r="N10" s="30">
        <v>-7</v>
      </c>
      <c r="O10" s="50"/>
      <c r="P10" s="30"/>
      <c r="Q10" s="30">
        <v>1</v>
      </c>
      <c r="R10" s="30">
        <v>2</v>
      </c>
      <c r="S10" s="30"/>
      <c r="T10" s="30"/>
      <c r="U10" s="30"/>
      <c r="V10" s="30"/>
      <c r="W10" s="30">
        <v>1</v>
      </c>
      <c r="X10" s="30">
        <v>1</v>
      </c>
      <c r="Y10" s="30">
        <v>1</v>
      </c>
      <c r="Z10" s="30"/>
      <c r="AA10" s="30">
        <v>1</v>
      </c>
      <c r="AH10">
        <v>30</v>
      </c>
    </row>
    <row r="11" spans="1:35" x14ac:dyDescent="0.75">
      <c r="A11" s="35" t="s">
        <v>152</v>
      </c>
      <c r="B11" s="30">
        <v>1</v>
      </c>
      <c r="C11" s="30">
        <v>-2</v>
      </c>
      <c r="D11" s="30">
        <v>-4</v>
      </c>
      <c r="E11" s="30">
        <v>2</v>
      </c>
      <c r="F11" s="30">
        <v>4</v>
      </c>
      <c r="G11" s="30">
        <v>4</v>
      </c>
      <c r="H11" s="30">
        <v>0</v>
      </c>
      <c r="I11" s="30">
        <v>0</v>
      </c>
      <c r="J11" s="30">
        <v>-7</v>
      </c>
      <c r="K11" s="30">
        <v>0</v>
      </c>
      <c r="L11" s="30">
        <v>0</v>
      </c>
      <c r="M11" s="30">
        <v>0</v>
      </c>
      <c r="N11" s="30">
        <v>0</v>
      </c>
      <c r="O11" s="50"/>
      <c r="P11" s="30"/>
      <c r="Q11" s="30"/>
      <c r="R11" s="30">
        <v>1</v>
      </c>
      <c r="S11" s="30"/>
      <c r="T11" s="30">
        <v>1</v>
      </c>
      <c r="U11" s="30"/>
      <c r="V11" s="30">
        <v>1</v>
      </c>
      <c r="W11" s="30"/>
      <c r="X11" s="30"/>
      <c r="Y11" s="30">
        <v>2</v>
      </c>
      <c r="Z11" s="30"/>
      <c r="AA11" s="30">
        <v>2</v>
      </c>
    </row>
    <row r="12" spans="1:35" x14ac:dyDescent="0.75">
      <c r="A12" s="35" t="s">
        <v>153</v>
      </c>
      <c r="B12" s="30">
        <v>-7</v>
      </c>
      <c r="C12" s="30">
        <v>-7</v>
      </c>
      <c r="D12" s="30">
        <v>-7</v>
      </c>
      <c r="E12" s="30">
        <v>0</v>
      </c>
      <c r="F12" s="30">
        <v>3</v>
      </c>
      <c r="G12" s="30">
        <v>5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  <c r="P12" s="30"/>
      <c r="Q12" s="30"/>
      <c r="R12" s="30">
        <v>2</v>
      </c>
      <c r="S12" s="30"/>
      <c r="T12" s="30">
        <v>2</v>
      </c>
      <c r="U12" s="30"/>
      <c r="V12" s="30"/>
      <c r="W12" s="30"/>
      <c r="X12" s="30">
        <v>1</v>
      </c>
      <c r="Y12" s="30">
        <v>1</v>
      </c>
      <c r="Z12" s="30"/>
      <c r="AA12" s="30"/>
    </row>
    <row r="13" spans="1:35" x14ac:dyDescent="0.75">
      <c r="A13" s="35" t="s">
        <v>154</v>
      </c>
      <c r="B13" s="30">
        <v>-7</v>
      </c>
      <c r="C13" s="30">
        <v>-7</v>
      </c>
      <c r="D13" s="30">
        <v>-7</v>
      </c>
      <c r="E13" s="30">
        <v>-7</v>
      </c>
      <c r="F13" s="30">
        <v>2</v>
      </c>
      <c r="G13" s="30">
        <v>5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  <c r="P13" s="30"/>
      <c r="Q13" s="30"/>
      <c r="R13" s="30"/>
      <c r="S13" s="30"/>
      <c r="T13" s="30">
        <v>1</v>
      </c>
      <c r="U13" s="30"/>
      <c r="V13" s="30">
        <v>2</v>
      </c>
      <c r="W13" s="30"/>
      <c r="X13" s="30"/>
      <c r="Y13" s="30">
        <v>1</v>
      </c>
      <c r="Z13" s="30"/>
      <c r="AA13" s="30"/>
      <c r="AE13">
        <v>10</v>
      </c>
    </row>
    <row r="14" spans="1:35" x14ac:dyDescent="0.75">
      <c r="A14" s="35" t="s">
        <v>155</v>
      </c>
      <c r="B14" s="30">
        <v>-7</v>
      </c>
      <c r="C14" s="30">
        <v>-7</v>
      </c>
      <c r="D14" s="30">
        <v>-7</v>
      </c>
      <c r="E14" s="30">
        <v>0</v>
      </c>
      <c r="F14" s="30">
        <v>2</v>
      </c>
      <c r="G14" s="30">
        <v>5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  <c r="P14" s="30"/>
      <c r="Q14" s="30"/>
      <c r="R14" s="30">
        <v>2</v>
      </c>
      <c r="S14" s="30"/>
      <c r="T14" s="30">
        <v>2</v>
      </c>
      <c r="U14" s="30"/>
      <c r="V14" s="30">
        <v>1</v>
      </c>
      <c r="W14" s="30"/>
      <c r="X14" s="30">
        <v>1</v>
      </c>
      <c r="Y14" s="30">
        <v>3</v>
      </c>
      <c r="Z14" s="30"/>
      <c r="AA14" s="30">
        <v>1</v>
      </c>
    </row>
    <row r="15" spans="1:35" x14ac:dyDescent="0.75">
      <c r="A15" s="35" t="s">
        <v>156</v>
      </c>
      <c r="B15" s="30">
        <v>-7</v>
      </c>
      <c r="C15" s="30">
        <v>1</v>
      </c>
      <c r="D15" s="30">
        <v>2</v>
      </c>
      <c r="E15" s="30">
        <v>2</v>
      </c>
      <c r="F15" s="30">
        <v>0</v>
      </c>
      <c r="G15" s="30">
        <v>-1</v>
      </c>
      <c r="H15" s="30">
        <v>5</v>
      </c>
      <c r="I15" s="30">
        <v>2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P15" s="30"/>
      <c r="Q15" s="30">
        <v>1</v>
      </c>
      <c r="R15" s="30"/>
      <c r="S15" s="30"/>
      <c r="T15" s="30"/>
      <c r="U15" s="30"/>
      <c r="V15" s="30"/>
      <c r="W15" s="30"/>
      <c r="X15" s="30"/>
      <c r="Y15" s="30"/>
      <c r="Z15" s="30"/>
      <c r="AA15" s="30"/>
      <c r="AH15">
        <v>15</v>
      </c>
    </row>
    <row r="16" spans="1:35" x14ac:dyDescent="0.75">
      <c r="A16" s="35" t="s">
        <v>157</v>
      </c>
      <c r="B16" s="30">
        <v>-7</v>
      </c>
      <c r="C16" s="30">
        <v>-7</v>
      </c>
      <c r="D16" s="30">
        <v>-7</v>
      </c>
      <c r="E16" s="30">
        <v>-7</v>
      </c>
      <c r="F16" s="30">
        <v>3</v>
      </c>
      <c r="G16" s="30">
        <v>1</v>
      </c>
      <c r="H16" s="30">
        <v>-7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P16" s="30"/>
      <c r="Q16" s="30"/>
      <c r="R16" s="30"/>
      <c r="S16" s="30">
        <v>2</v>
      </c>
      <c r="T16" s="30">
        <v>1</v>
      </c>
      <c r="U16" s="30"/>
      <c r="V16" s="30"/>
      <c r="W16" s="30"/>
      <c r="X16" s="30"/>
      <c r="Y16" s="30">
        <v>1</v>
      </c>
      <c r="Z16" s="30"/>
      <c r="AA16" s="30"/>
      <c r="AE16">
        <v>10</v>
      </c>
    </row>
    <row r="17" spans="1:33" x14ac:dyDescent="0.75">
      <c r="A17" s="35" t="s">
        <v>158</v>
      </c>
      <c r="B17" s="30">
        <v>-7</v>
      </c>
      <c r="C17" s="30">
        <v>-7</v>
      </c>
      <c r="D17" s="30">
        <v>-7</v>
      </c>
      <c r="E17" s="30">
        <v>-7</v>
      </c>
      <c r="F17" s="30">
        <v>0</v>
      </c>
      <c r="G17" s="30">
        <v>-7</v>
      </c>
      <c r="H17" s="30">
        <v>-7</v>
      </c>
      <c r="I17" s="30">
        <v>-7</v>
      </c>
      <c r="J17" s="30">
        <v>-7</v>
      </c>
      <c r="K17" s="30">
        <v>-7</v>
      </c>
      <c r="L17" s="30">
        <v>-7</v>
      </c>
      <c r="M17" s="30">
        <v>-7</v>
      </c>
      <c r="N17" s="30">
        <v>-7</v>
      </c>
      <c r="O17" s="50"/>
      <c r="P17" s="30"/>
      <c r="Q17" s="30"/>
      <c r="R17" s="30"/>
      <c r="S17" s="30"/>
      <c r="T17" s="30">
        <v>2</v>
      </c>
      <c r="U17" s="30"/>
      <c r="V17" s="30"/>
      <c r="W17" s="30"/>
      <c r="X17" s="30"/>
      <c r="Y17" s="30"/>
      <c r="Z17" s="30"/>
      <c r="AA17" s="30"/>
      <c r="AE17">
        <v>30</v>
      </c>
    </row>
    <row r="18" spans="1:33" x14ac:dyDescent="0.75">
      <c r="A18" s="35" t="s">
        <v>159</v>
      </c>
      <c r="B18" s="30">
        <v>0</v>
      </c>
      <c r="C18" s="30">
        <v>4</v>
      </c>
      <c r="D18" s="30">
        <v>5</v>
      </c>
      <c r="E18" s="30">
        <v>3</v>
      </c>
      <c r="F18" s="30">
        <v>-7</v>
      </c>
      <c r="G18" s="30">
        <v>-7</v>
      </c>
      <c r="H18" s="30">
        <v>-7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5</v>
      </c>
      <c r="O18" s="50"/>
      <c r="P18" s="30"/>
      <c r="Q18" s="30">
        <v>1</v>
      </c>
      <c r="R18" s="30"/>
      <c r="S18" s="30">
        <v>2</v>
      </c>
      <c r="T18" s="30"/>
      <c r="U18" s="30"/>
      <c r="V18" s="30"/>
      <c r="W18" s="30">
        <v>2</v>
      </c>
      <c r="X18" s="30"/>
      <c r="Y18" s="30"/>
      <c r="Z18" s="30"/>
      <c r="AA18" s="30"/>
    </row>
    <row r="19" spans="1:33" x14ac:dyDescent="0.75">
      <c r="A19" s="35" t="s">
        <v>160</v>
      </c>
      <c r="B19" s="30">
        <v>-1</v>
      </c>
      <c r="C19" s="30">
        <v>-1</v>
      </c>
      <c r="D19" s="30">
        <v>-1</v>
      </c>
      <c r="E19" s="30">
        <v>3</v>
      </c>
      <c r="F19" s="30">
        <v>5</v>
      </c>
      <c r="G19" s="30">
        <v>3</v>
      </c>
      <c r="H19" s="30">
        <v>0</v>
      </c>
      <c r="I19" s="30">
        <v>0</v>
      </c>
      <c r="J19" s="30">
        <v>-7</v>
      </c>
      <c r="K19" s="30">
        <v>0</v>
      </c>
      <c r="L19" s="30">
        <v>0</v>
      </c>
      <c r="M19" s="30">
        <v>0</v>
      </c>
      <c r="N19" s="30">
        <v>-2</v>
      </c>
      <c r="O19" s="50"/>
      <c r="P19" s="30"/>
      <c r="Q19" s="30"/>
      <c r="R19" s="30">
        <v>2</v>
      </c>
      <c r="S19" s="30">
        <v>2</v>
      </c>
      <c r="T19" s="30">
        <v>1</v>
      </c>
      <c r="U19" s="30"/>
      <c r="V19" s="30"/>
      <c r="W19" s="30"/>
      <c r="X19" s="30">
        <v>1</v>
      </c>
      <c r="Y19" s="30">
        <v>2</v>
      </c>
      <c r="Z19" s="30"/>
      <c r="AA19" s="30">
        <v>1</v>
      </c>
    </row>
    <row r="20" spans="1:33" x14ac:dyDescent="0.75">
      <c r="A20" s="35" t="s">
        <v>161</v>
      </c>
      <c r="B20" s="30">
        <v>2</v>
      </c>
      <c r="C20" s="30">
        <v>5</v>
      </c>
      <c r="D20" s="30">
        <v>5</v>
      </c>
      <c r="E20" s="30">
        <v>0</v>
      </c>
      <c r="F20" s="30">
        <v>-7</v>
      </c>
      <c r="G20" s="30">
        <v>-7</v>
      </c>
      <c r="H20" s="30">
        <v>0</v>
      </c>
      <c r="I20" s="30">
        <v>-7</v>
      </c>
      <c r="J20" s="30">
        <v>-7</v>
      </c>
      <c r="K20" s="30">
        <v>0</v>
      </c>
      <c r="L20" s="30">
        <v>-7</v>
      </c>
      <c r="M20" s="30">
        <v>-7</v>
      </c>
      <c r="N20" s="30">
        <v>3</v>
      </c>
      <c r="O20" s="50"/>
      <c r="P20" s="30"/>
      <c r="Q20" s="30">
        <v>1</v>
      </c>
      <c r="R20" s="30"/>
      <c r="S20" s="30">
        <v>2</v>
      </c>
      <c r="T20" s="30"/>
      <c r="U20" s="30"/>
      <c r="V20" s="30"/>
      <c r="W20" s="30"/>
      <c r="X20" s="30"/>
      <c r="Y20" s="30"/>
      <c r="Z20" s="30"/>
      <c r="AA20" s="30">
        <v>2</v>
      </c>
      <c r="AG20">
        <v>20</v>
      </c>
    </row>
    <row r="21" spans="1:33" x14ac:dyDescent="0.75">
      <c r="A21" s="35" t="s">
        <v>162</v>
      </c>
      <c r="B21" s="30">
        <v>0</v>
      </c>
      <c r="C21" s="30">
        <v>-1</v>
      </c>
      <c r="D21" s="30">
        <v>-2</v>
      </c>
      <c r="E21" s="30">
        <v>-2</v>
      </c>
      <c r="F21" s="30">
        <v>2</v>
      </c>
      <c r="G21" s="30">
        <v>0</v>
      </c>
      <c r="H21" s="30">
        <v>-7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0</v>
      </c>
      <c r="O21" s="5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>
        <v>1</v>
      </c>
      <c r="AA21" s="30"/>
    </row>
    <row r="22" spans="1:33" x14ac:dyDescent="0.75">
      <c r="A22" s="35" t="s">
        <v>163</v>
      </c>
      <c r="B22" s="30">
        <v>0</v>
      </c>
      <c r="C22" s="30">
        <v>0</v>
      </c>
      <c r="D22" s="30">
        <v>0</v>
      </c>
      <c r="E22" s="30">
        <v>1</v>
      </c>
      <c r="F22" s="30">
        <v>1</v>
      </c>
      <c r="G22" s="30">
        <v>1</v>
      </c>
      <c r="H22" s="30">
        <v>-1</v>
      </c>
      <c r="I22" s="30">
        <v>2</v>
      </c>
      <c r="J22" s="30">
        <v>-7</v>
      </c>
      <c r="K22" s="30">
        <v>-2</v>
      </c>
      <c r="L22" s="30">
        <v>-2</v>
      </c>
      <c r="M22" s="30">
        <v>-2</v>
      </c>
      <c r="N22" s="30">
        <v>0</v>
      </c>
      <c r="O22" s="50"/>
      <c r="P22" s="30"/>
      <c r="Q22" s="30"/>
      <c r="R22" s="30">
        <v>1</v>
      </c>
      <c r="S22" s="30">
        <v>-3</v>
      </c>
      <c r="T22" s="30"/>
      <c r="U22" s="30"/>
      <c r="V22" s="30"/>
      <c r="W22" s="30"/>
      <c r="X22" s="30"/>
      <c r="Y22" s="30"/>
      <c r="Z22" s="30"/>
      <c r="AA22" s="30"/>
    </row>
    <row r="23" spans="1:33" x14ac:dyDescent="0.75">
      <c r="A23" s="35" t="s">
        <v>164</v>
      </c>
      <c r="B23" s="30">
        <v>2</v>
      </c>
      <c r="C23" s="30">
        <v>2</v>
      </c>
      <c r="D23" s="30">
        <v>2</v>
      </c>
      <c r="E23" s="30">
        <v>0</v>
      </c>
      <c r="F23" s="30">
        <v>-7</v>
      </c>
      <c r="G23" s="30">
        <v>-7</v>
      </c>
      <c r="H23" s="30">
        <v>-7</v>
      </c>
      <c r="I23" s="30">
        <v>-7</v>
      </c>
      <c r="J23" s="30">
        <v>-7</v>
      </c>
      <c r="K23" s="30">
        <v>-7</v>
      </c>
      <c r="L23" s="30">
        <v>-7</v>
      </c>
      <c r="M23" s="30">
        <v>-7</v>
      </c>
      <c r="N23" s="30">
        <v>-7</v>
      </c>
      <c r="O23" s="50"/>
      <c r="P23" s="30"/>
      <c r="Q23" s="30">
        <v>1</v>
      </c>
      <c r="R23" s="30"/>
      <c r="S23" s="30">
        <v>1</v>
      </c>
      <c r="T23" s="30"/>
      <c r="U23" s="30"/>
      <c r="V23" s="30">
        <v>1</v>
      </c>
      <c r="W23" s="30">
        <v>2</v>
      </c>
      <c r="X23" s="30"/>
      <c r="Y23" s="30"/>
      <c r="Z23" s="30">
        <v>1</v>
      </c>
      <c r="AA23" s="30"/>
      <c r="AD23">
        <v>10</v>
      </c>
    </row>
    <row r="24" spans="1:33" x14ac:dyDescent="0.75">
      <c r="A24" s="35" t="s">
        <v>165</v>
      </c>
      <c r="B24" s="30">
        <v>0</v>
      </c>
      <c r="C24" s="30">
        <v>-2</v>
      </c>
      <c r="D24" s="30">
        <v>-2</v>
      </c>
      <c r="E24" s="30">
        <v>0</v>
      </c>
      <c r="F24" s="30">
        <v>3</v>
      </c>
      <c r="G24" s="30">
        <v>5</v>
      </c>
      <c r="H24" s="30">
        <v>-3</v>
      </c>
      <c r="I24" s="30">
        <v>-2</v>
      </c>
      <c r="J24" s="30">
        <v>-7</v>
      </c>
      <c r="K24" s="30">
        <v>-3</v>
      </c>
      <c r="L24" s="30">
        <v>-3</v>
      </c>
      <c r="M24" s="30">
        <v>-3</v>
      </c>
      <c r="N24" s="30">
        <v>0</v>
      </c>
      <c r="O24" s="50"/>
      <c r="P24" s="30"/>
      <c r="Q24" s="30"/>
      <c r="R24" s="30">
        <v>1</v>
      </c>
      <c r="S24" s="30"/>
      <c r="T24" s="30">
        <v>2</v>
      </c>
      <c r="U24" s="30"/>
      <c r="V24" s="30"/>
      <c r="W24" s="30"/>
      <c r="X24" s="30"/>
      <c r="Y24" s="30">
        <v>1</v>
      </c>
      <c r="Z24" s="30"/>
      <c r="AA24" s="30"/>
    </row>
    <row r="25" spans="1:33" x14ac:dyDescent="0.75">
      <c r="A25" s="35" t="s">
        <v>166</v>
      </c>
      <c r="B25" s="30">
        <v>5</v>
      </c>
      <c r="C25" s="30">
        <v>2</v>
      </c>
      <c r="D25" s="30">
        <v>2</v>
      </c>
      <c r="E25" s="30">
        <v>2</v>
      </c>
      <c r="F25" s="30">
        <v>0</v>
      </c>
      <c r="G25" s="30">
        <v>0</v>
      </c>
      <c r="H25" s="30">
        <v>0</v>
      </c>
      <c r="I25" s="30">
        <v>-4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D25">
        <v>10</v>
      </c>
    </row>
    <row r="26" spans="1:33" x14ac:dyDescent="0.75">
      <c r="A26" s="35" t="s">
        <v>167</v>
      </c>
      <c r="B26" s="30">
        <v>-7</v>
      </c>
      <c r="C26" s="30">
        <v>-7</v>
      </c>
      <c r="D26" s="30">
        <v>-7</v>
      </c>
      <c r="E26" s="30">
        <v>-7</v>
      </c>
      <c r="F26" s="30">
        <v>3</v>
      </c>
      <c r="G26" s="30">
        <v>-7</v>
      </c>
      <c r="H26" s="30">
        <v>-7</v>
      </c>
      <c r="I26" s="30">
        <v>-7</v>
      </c>
      <c r="J26" s="30">
        <v>-7</v>
      </c>
      <c r="K26" s="30">
        <v>-7</v>
      </c>
      <c r="L26" s="30">
        <v>-7</v>
      </c>
      <c r="M26" s="30">
        <v>-7</v>
      </c>
      <c r="N26" s="30">
        <v>-7</v>
      </c>
      <c r="O26" s="50"/>
      <c r="P26" s="30"/>
      <c r="Q26" s="30"/>
      <c r="R26" s="30">
        <v>1</v>
      </c>
      <c r="S26" s="30">
        <v>3</v>
      </c>
      <c r="T26" s="30">
        <v>1</v>
      </c>
      <c r="U26" s="30">
        <v>1</v>
      </c>
      <c r="V26" s="30"/>
      <c r="W26" s="30"/>
      <c r="X26" s="30">
        <v>1</v>
      </c>
      <c r="Y26" s="30"/>
      <c r="Z26" s="30"/>
      <c r="AA26" s="30">
        <v>1</v>
      </c>
      <c r="AE26">
        <v>20</v>
      </c>
    </row>
    <row r="27" spans="1:33" x14ac:dyDescent="0.75">
      <c r="A27" s="35" t="s">
        <v>168</v>
      </c>
      <c r="B27" s="30">
        <v>-1</v>
      </c>
      <c r="C27" s="30">
        <v>-7</v>
      </c>
      <c r="D27" s="30">
        <v>-7</v>
      </c>
      <c r="E27" s="30">
        <v>3</v>
      </c>
      <c r="F27" s="30">
        <v>0</v>
      </c>
      <c r="G27" s="30">
        <v>2</v>
      </c>
      <c r="H27" s="30">
        <v>-7</v>
      </c>
      <c r="I27" s="30">
        <v>-7</v>
      </c>
      <c r="J27" s="30">
        <v>-7</v>
      </c>
      <c r="K27" s="30">
        <v>-7</v>
      </c>
      <c r="L27" s="30">
        <v>-7</v>
      </c>
      <c r="M27" s="30">
        <v>-7</v>
      </c>
      <c r="N27" s="30">
        <v>-1</v>
      </c>
      <c r="O27" s="50"/>
      <c r="P27" s="30"/>
      <c r="Q27" s="30"/>
      <c r="R27" s="30">
        <v>1</v>
      </c>
      <c r="S27" s="30"/>
      <c r="T27" s="30">
        <v>1</v>
      </c>
      <c r="U27" s="30"/>
      <c r="V27" s="30"/>
      <c r="W27" s="30">
        <v>2</v>
      </c>
      <c r="X27" s="30"/>
      <c r="Y27" s="30"/>
      <c r="Z27" s="30"/>
      <c r="AA27" s="30">
        <v>1</v>
      </c>
      <c r="AE27">
        <v>30</v>
      </c>
    </row>
    <row r="28" spans="1:33" x14ac:dyDescent="0.75">
      <c r="A28" s="35" t="s">
        <v>169</v>
      </c>
      <c r="B28" s="30">
        <v>0</v>
      </c>
      <c r="C28" s="30">
        <v>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-7</v>
      </c>
      <c r="K28" s="30">
        <v>-7</v>
      </c>
      <c r="L28" s="30">
        <v>0</v>
      </c>
      <c r="M28" s="30">
        <v>0</v>
      </c>
      <c r="N28" s="30">
        <v>0</v>
      </c>
      <c r="O28" s="50"/>
      <c r="P28" s="30"/>
      <c r="Q28" s="30"/>
      <c r="R28" s="30"/>
      <c r="S28" s="30"/>
      <c r="T28" s="30"/>
      <c r="U28" s="30"/>
      <c r="V28" s="30"/>
      <c r="W28" s="30">
        <v>1</v>
      </c>
      <c r="X28" s="30"/>
      <c r="Y28" s="30"/>
      <c r="Z28" s="30"/>
      <c r="AA28" s="30"/>
    </row>
    <row r="29" spans="1:33" x14ac:dyDescent="0.75">
      <c r="A29" s="35" t="s">
        <v>170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-7</v>
      </c>
      <c r="K29" s="30">
        <v>0</v>
      </c>
      <c r="L29" s="30">
        <v>0</v>
      </c>
      <c r="M29" s="30">
        <v>0</v>
      </c>
      <c r="N29" s="30">
        <v>0</v>
      </c>
      <c r="O29" s="50"/>
      <c r="P29" s="30"/>
      <c r="Q29" s="30"/>
      <c r="R29" s="30">
        <v>2</v>
      </c>
      <c r="S29" s="30"/>
      <c r="T29" s="30"/>
      <c r="U29" s="30"/>
      <c r="V29" s="30"/>
      <c r="W29" s="30"/>
      <c r="X29" s="30">
        <v>1</v>
      </c>
      <c r="Y29" s="30">
        <v>2</v>
      </c>
      <c r="Z29" s="30"/>
      <c r="AA29" s="30">
        <v>1</v>
      </c>
    </row>
    <row r="30" spans="1:33" x14ac:dyDescent="0.75">
      <c r="A30" s="35" t="s">
        <v>171</v>
      </c>
      <c r="B30" s="30">
        <v>0</v>
      </c>
      <c r="C30" s="30">
        <v>0</v>
      </c>
      <c r="D30" s="30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-7</v>
      </c>
      <c r="K30" s="30">
        <v>0</v>
      </c>
      <c r="L30" s="30">
        <v>0</v>
      </c>
      <c r="M30" s="30">
        <v>0</v>
      </c>
      <c r="N30" s="30">
        <v>0</v>
      </c>
      <c r="O30" s="50"/>
      <c r="P30" s="30"/>
      <c r="Q30" s="30"/>
      <c r="R30" s="30"/>
      <c r="S30" s="30"/>
      <c r="T30" s="30"/>
      <c r="U30" s="30"/>
      <c r="V30" s="30"/>
      <c r="W30" s="30"/>
      <c r="X30" s="30">
        <v>1</v>
      </c>
      <c r="Y30" s="30">
        <v>1</v>
      </c>
      <c r="Z30" s="30"/>
      <c r="AA30" s="30">
        <v>1</v>
      </c>
    </row>
    <row r="31" spans="1:33" x14ac:dyDescent="0.75">
      <c r="A31" s="35" t="s">
        <v>172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-7</v>
      </c>
      <c r="K31" s="30">
        <v>0</v>
      </c>
      <c r="L31" s="30">
        <v>0</v>
      </c>
      <c r="M31" s="30">
        <v>0</v>
      </c>
      <c r="N31" s="30">
        <v>0</v>
      </c>
      <c r="O31" s="50"/>
      <c r="P31" s="30"/>
      <c r="Q31" s="30"/>
      <c r="R31" s="30"/>
      <c r="S31" s="30">
        <v>3</v>
      </c>
      <c r="T31" s="30"/>
      <c r="U31" s="30"/>
      <c r="V31" s="30"/>
      <c r="W31" s="30">
        <v>1</v>
      </c>
      <c r="X31" s="30">
        <v>1</v>
      </c>
      <c r="Y31" s="30"/>
      <c r="Z31" s="30"/>
      <c r="AA31" s="30">
        <v>1</v>
      </c>
    </row>
    <row r="32" spans="1:33" x14ac:dyDescent="0.75">
      <c r="A32" s="35" t="s">
        <v>173</v>
      </c>
      <c r="B32" s="30">
        <v>-1</v>
      </c>
      <c r="C32" s="30">
        <v>-1</v>
      </c>
      <c r="D32" s="30">
        <v>-1</v>
      </c>
      <c r="E32" s="30">
        <v>0</v>
      </c>
      <c r="F32" s="30">
        <v>3</v>
      </c>
      <c r="G32" s="30">
        <v>3</v>
      </c>
      <c r="H32" s="30">
        <v>-2</v>
      </c>
      <c r="I32" s="30">
        <v>-2</v>
      </c>
      <c r="J32" s="30">
        <v>-7</v>
      </c>
      <c r="K32" s="30">
        <v>-1</v>
      </c>
      <c r="L32" s="30">
        <v>-1</v>
      </c>
      <c r="M32" s="30">
        <v>-1</v>
      </c>
      <c r="N32" s="30">
        <v>-3</v>
      </c>
      <c r="O32" s="50"/>
      <c r="P32" s="30"/>
      <c r="Q32" s="30"/>
      <c r="R32" s="30"/>
      <c r="S32" s="30"/>
      <c r="T32" s="30"/>
      <c r="U32" s="30"/>
      <c r="V32" s="30"/>
      <c r="W32" s="30">
        <v>1</v>
      </c>
      <c r="X32" s="30"/>
      <c r="Y32" s="30"/>
      <c r="Z32" s="30"/>
      <c r="AA32" s="30"/>
    </row>
    <row r="33" spans="1:34" x14ac:dyDescent="0.75">
      <c r="A33" s="35" t="s">
        <v>174</v>
      </c>
      <c r="B33" s="30">
        <v>-7</v>
      </c>
      <c r="C33" s="30">
        <v>-7</v>
      </c>
      <c r="D33" s="30">
        <v>-7</v>
      </c>
      <c r="E33" s="30">
        <v>-7</v>
      </c>
      <c r="F33" s="30">
        <v>3</v>
      </c>
      <c r="G33" s="30">
        <v>-7</v>
      </c>
      <c r="H33" s="30">
        <v>-7</v>
      </c>
      <c r="I33" s="30">
        <v>-7</v>
      </c>
      <c r="J33" s="30">
        <v>-7</v>
      </c>
      <c r="K33" s="30">
        <v>-7</v>
      </c>
      <c r="L33" s="30">
        <v>-7</v>
      </c>
      <c r="M33" s="30">
        <v>-7</v>
      </c>
      <c r="N33" s="30">
        <v>-7</v>
      </c>
      <c r="O33" s="50"/>
      <c r="P33" s="30"/>
      <c r="Q33" s="30"/>
      <c r="R33" s="30"/>
      <c r="S33" s="30"/>
      <c r="T33" s="30">
        <v>2</v>
      </c>
      <c r="U33" s="30"/>
      <c r="V33" s="30">
        <v>1</v>
      </c>
      <c r="W33" s="30"/>
      <c r="X33" s="30"/>
      <c r="Y33" s="30">
        <v>1</v>
      </c>
      <c r="Z33" s="30"/>
      <c r="AA33" s="30"/>
      <c r="AH33">
        <v>15</v>
      </c>
    </row>
    <row r="34" spans="1:34" x14ac:dyDescent="0.75">
      <c r="A34" s="35" t="s">
        <v>175</v>
      </c>
      <c r="B34" s="30">
        <v>-7</v>
      </c>
      <c r="C34" s="30">
        <v>-7</v>
      </c>
      <c r="D34" s="30">
        <v>-7</v>
      </c>
      <c r="E34" s="30">
        <v>-7</v>
      </c>
      <c r="F34" s="30">
        <v>2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-7</v>
      </c>
      <c r="M34" s="30">
        <v>-7</v>
      </c>
      <c r="N34" s="30">
        <v>-7</v>
      </c>
      <c r="O34" s="50"/>
      <c r="P34" s="30"/>
      <c r="Q34" s="30"/>
      <c r="R34" s="30">
        <v>1</v>
      </c>
      <c r="S34" s="30"/>
      <c r="T34" s="30">
        <v>3</v>
      </c>
      <c r="U34" s="30"/>
      <c r="V34" s="30"/>
      <c r="W34" s="30"/>
      <c r="X34" s="30"/>
      <c r="Y34" s="30"/>
      <c r="Z34" s="30"/>
      <c r="AA34" s="30"/>
      <c r="AE34">
        <v>20</v>
      </c>
    </row>
    <row r="35" spans="1:34" x14ac:dyDescent="0.75">
      <c r="A35" s="35" t="s">
        <v>176</v>
      </c>
      <c r="B35" s="30">
        <v>-7</v>
      </c>
      <c r="C35" s="30">
        <v>-7</v>
      </c>
      <c r="D35" s="30">
        <v>-7</v>
      </c>
      <c r="E35" s="30">
        <v>-7</v>
      </c>
      <c r="F35" s="30">
        <v>5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-7</v>
      </c>
      <c r="M35" s="30">
        <v>-7</v>
      </c>
      <c r="N35" s="30">
        <v>-7</v>
      </c>
      <c r="O35" s="50"/>
      <c r="P35" s="30">
        <v>5</v>
      </c>
      <c r="Q35" s="30"/>
      <c r="R35" s="30">
        <v>1</v>
      </c>
      <c r="S35" s="30"/>
      <c r="T35" s="30">
        <v>3</v>
      </c>
      <c r="U35" s="30"/>
      <c r="V35" s="30"/>
      <c r="W35" s="30"/>
      <c r="X35" s="30"/>
      <c r="Y35" s="30">
        <v>2</v>
      </c>
      <c r="Z35" s="30"/>
      <c r="AA35" s="30"/>
    </row>
    <row r="36" spans="1:34" x14ac:dyDescent="0.75">
      <c r="A36" s="35" t="s">
        <v>177</v>
      </c>
      <c r="B36" s="30">
        <v>2</v>
      </c>
      <c r="C36" s="30">
        <v>-7</v>
      </c>
      <c r="D36" s="30">
        <v>-7</v>
      </c>
      <c r="E36" s="30">
        <v>-7</v>
      </c>
      <c r="F36" s="30">
        <v>-1</v>
      </c>
      <c r="G36" s="30">
        <v>0</v>
      </c>
      <c r="H36" s="30">
        <v>-7</v>
      </c>
      <c r="I36" s="30">
        <v>-7</v>
      </c>
      <c r="J36" s="30">
        <v>-7</v>
      </c>
      <c r="K36" s="30">
        <v>-7</v>
      </c>
      <c r="L36" s="30">
        <v>-7</v>
      </c>
      <c r="M36" s="30">
        <v>-7</v>
      </c>
      <c r="N36" s="30">
        <v>-7</v>
      </c>
      <c r="O36" s="50"/>
      <c r="P36" s="30"/>
      <c r="Q36" s="30"/>
      <c r="R36" s="30"/>
      <c r="S36" s="30">
        <v>2</v>
      </c>
      <c r="T36" s="30"/>
      <c r="U36" s="30"/>
      <c r="V36" s="30">
        <v>2</v>
      </c>
      <c r="W36" s="30">
        <v>3</v>
      </c>
      <c r="X36" s="30"/>
      <c r="Y36" s="30"/>
      <c r="Z36" s="30"/>
      <c r="AA36" s="30"/>
      <c r="AE36">
        <v>10</v>
      </c>
    </row>
    <row r="37" spans="1:34" x14ac:dyDescent="0.75">
      <c r="A37" s="35" t="s">
        <v>178</v>
      </c>
      <c r="B37" s="30">
        <v>-7</v>
      </c>
      <c r="C37" s="30">
        <v>-7</v>
      </c>
      <c r="D37" s="30">
        <v>-7</v>
      </c>
      <c r="E37" s="30">
        <v>5</v>
      </c>
      <c r="F37" s="30">
        <v>-7</v>
      </c>
      <c r="G37" s="30">
        <v>-7</v>
      </c>
      <c r="H37" s="30">
        <v>-7</v>
      </c>
      <c r="I37" s="30">
        <v>3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P37" s="30"/>
      <c r="Q37" s="30"/>
      <c r="R37" s="30">
        <v>1</v>
      </c>
      <c r="S37" s="30"/>
      <c r="T37" s="30">
        <v>2</v>
      </c>
      <c r="U37" s="30"/>
      <c r="V37" s="30"/>
      <c r="W37" s="30"/>
      <c r="X37" s="30"/>
      <c r="Y37" s="30">
        <v>1</v>
      </c>
      <c r="Z37" s="30"/>
      <c r="AA37" s="30"/>
      <c r="AE37">
        <v>10</v>
      </c>
    </row>
    <row r="38" spans="1:34" x14ac:dyDescent="0.75">
      <c r="A38" s="35" t="s">
        <v>179</v>
      </c>
      <c r="B38" s="30">
        <v>-7</v>
      </c>
      <c r="C38" s="30">
        <v>-7</v>
      </c>
      <c r="D38" s="30">
        <v>-7</v>
      </c>
      <c r="E38" s="30">
        <v>5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-7</v>
      </c>
      <c r="M38" s="30">
        <v>-7</v>
      </c>
      <c r="N38" s="30">
        <v>-7</v>
      </c>
      <c r="O38" s="50"/>
      <c r="P38" s="30">
        <v>8</v>
      </c>
      <c r="Q38" s="30"/>
      <c r="R38" s="30">
        <v>1</v>
      </c>
      <c r="S38" s="30"/>
      <c r="T38" s="30">
        <v>2</v>
      </c>
      <c r="U38" s="30"/>
      <c r="V38" s="30"/>
      <c r="W38" s="30"/>
      <c r="X38" s="30"/>
      <c r="Y38" s="30">
        <v>1</v>
      </c>
      <c r="Z38" s="30"/>
      <c r="AA38" s="30"/>
    </row>
    <row r="39" spans="1:34" x14ac:dyDescent="0.75">
      <c r="A39" s="35" t="s">
        <v>180</v>
      </c>
      <c r="B39" s="30">
        <v>-7</v>
      </c>
      <c r="C39" s="30">
        <v>-7</v>
      </c>
      <c r="D39" s="30">
        <v>-7</v>
      </c>
      <c r="E39" s="30">
        <v>2</v>
      </c>
      <c r="F39" s="30">
        <v>-7</v>
      </c>
      <c r="G39" s="30">
        <v>-7</v>
      </c>
      <c r="H39" s="30">
        <v>-7</v>
      </c>
      <c r="I39" s="30">
        <v>2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P39" s="30">
        <v>3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34" x14ac:dyDescent="0.75">
      <c r="A40" s="35" t="s">
        <v>181</v>
      </c>
      <c r="B40" s="30">
        <v>-7</v>
      </c>
      <c r="C40" s="30">
        <v>-7</v>
      </c>
      <c r="D40" s="30">
        <v>-7</v>
      </c>
      <c r="E40" s="30">
        <v>5</v>
      </c>
      <c r="F40" s="30">
        <v>-7</v>
      </c>
      <c r="G40" s="30">
        <v>-7</v>
      </c>
      <c r="H40" s="30">
        <v>-7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P40" s="30">
        <v>18</v>
      </c>
      <c r="Q40" s="30">
        <v>3</v>
      </c>
      <c r="R40" s="30">
        <v>1</v>
      </c>
      <c r="S40" s="30"/>
      <c r="T40" s="30">
        <v>1</v>
      </c>
      <c r="U40" s="30"/>
      <c r="V40" s="30">
        <v>2</v>
      </c>
      <c r="W40" s="30"/>
      <c r="X40" s="30"/>
      <c r="Y40" s="30"/>
      <c r="Z40" s="30"/>
      <c r="AA40" s="30"/>
    </row>
    <row r="41" spans="1:34" x14ac:dyDescent="0.75">
      <c r="A41" s="35" t="s">
        <v>182</v>
      </c>
      <c r="B41" s="30">
        <v>-7</v>
      </c>
      <c r="C41" s="30">
        <v>-7</v>
      </c>
      <c r="D41" s="30">
        <v>-7</v>
      </c>
      <c r="E41" s="30">
        <v>3</v>
      </c>
      <c r="F41" s="30">
        <v>-7</v>
      </c>
      <c r="G41" s="30">
        <v>-7</v>
      </c>
      <c r="H41" s="30">
        <v>-7</v>
      </c>
      <c r="I41" s="30">
        <v>3</v>
      </c>
      <c r="J41" s="30">
        <v>-7</v>
      </c>
      <c r="K41" s="30">
        <v>-7</v>
      </c>
      <c r="L41" s="30">
        <v>-7</v>
      </c>
      <c r="M41" s="30">
        <v>-7</v>
      </c>
      <c r="N41" s="30">
        <v>-7</v>
      </c>
      <c r="O41" s="50"/>
      <c r="P41" s="30">
        <v>40</v>
      </c>
      <c r="Q41" s="30">
        <v>3</v>
      </c>
      <c r="R41" s="30"/>
      <c r="S41" s="30"/>
      <c r="T41" s="30">
        <v>2</v>
      </c>
      <c r="U41" s="30"/>
      <c r="V41" s="30"/>
      <c r="W41" s="30"/>
      <c r="X41" s="30">
        <v>1</v>
      </c>
      <c r="Y41" s="30">
        <v>1</v>
      </c>
      <c r="Z41" s="30"/>
      <c r="AA41" s="30">
        <v>2</v>
      </c>
    </row>
    <row r="42" spans="1:34" x14ac:dyDescent="0.75">
      <c r="A42" s="35" t="s">
        <v>183</v>
      </c>
      <c r="B42" s="30">
        <v>-7</v>
      </c>
      <c r="C42" s="30">
        <v>-7</v>
      </c>
      <c r="D42" s="30">
        <v>-7</v>
      </c>
      <c r="E42" s="30">
        <v>3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-7</v>
      </c>
      <c r="M42" s="30">
        <v>-7</v>
      </c>
      <c r="N42" s="30">
        <v>-7</v>
      </c>
      <c r="O42" s="50"/>
      <c r="P42" s="30">
        <v>1</v>
      </c>
      <c r="Q42" s="30"/>
      <c r="R42" s="30"/>
      <c r="S42" s="30"/>
      <c r="T42" s="30">
        <v>2</v>
      </c>
      <c r="U42" s="30"/>
      <c r="V42" s="30"/>
      <c r="W42" s="30"/>
      <c r="X42" s="30">
        <v>1</v>
      </c>
      <c r="Y42" s="30">
        <v>1</v>
      </c>
      <c r="Z42" s="30"/>
      <c r="AA42" s="30">
        <v>2</v>
      </c>
    </row>
    <row r="43" spans="1:34" x14ac:dyDescent="0.75">
      <c r="A43" s="35" t="s">
        <v>184</v>
      </c>
      <c r="B43" s="30">
        <v>-7</v>
      </c>
      <c r="C43" s="30">
        <v>-7</v>
      </c>
      <c r="D43" s="30">
        <v>-7</v>
      </c>
      <c r="E43" s="30">
        <v>3</v>
      </c>
      <c r="F43" s="30">
        <v>0</v>
      </c>
      <c r="G43" s="30">
        <v>-7</v>
      </c>
      <c r="H43" s="30">
        <v>0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P43" s="30"/>
      <c r="Q43" s="30"/>
      <c r="R43" s="30">
        <v>1</v>
      </c>
      <c r="S43" s="30"/>
      <c r="T43" s="30">
        <v>2</v>
      </c>
      <c r="U43" s="30"/>
      <c r="V43" s="30"/>
      <c r="W43" s="30"/>
      <c r="X43" s="30"/>
      <c r="Y43" s="30">
        <v>1</v>
      </c>
      <c r="Z43" s="30"/>
      <c r="AA43" s="30"/>
      <c r="AE43">
        <v>15</v>
      </c>
    </row>
    <row r="44" spans="1:34" x14ac:dyDescent="0.75">
      <c r="A44" s="35" t="s">
        <v>185</v>
      </c>
      <c r="B44" s="30">
        <v>-7</v>
      </c>
      <c r="C44" s="30">
        <v>-7</v>
      </c>
      <c r="D44" s="30">
        <v>-7</v>
      </c>
      <c r="E44" s="30">
        <v>4</v>
      </c>
      <c r="F44" s="30">
        <v>-7</v>
      </c>
      <c r="G44" s="30">
        <v>-7</v>
      </c>
      <c r="H44" s="30">
        <v>-7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P44" s="30">
        <v>28</v>
      </c>
      <c r="Q44" s="30">
        <v>1</v>
      </c>
      <c r="R44" s="30">
        <v>2</v>
      </c>
      <c r="S44" s="30"/>
      <c r="T44" s="30"/>
      <c r="U44" s="30"/>
      <c r="V44" s="30">
        <v>1</v>
      </c>
      <c r="W44" s="30"/>
      <c r="X44" s="30">
        <v>1</v>
      </c>
      <c r="Y44" s="30">
        <v>1</v>
      </c>
      <c r="Z44" s="30"/>
      <c r="AA44" s="30"/>
    </row>
    <row r="45" spans="1:34" x14ac:dyDescent="0.75">
      <c r="A45" s="59" t="s">
        <v>186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-7</v>
      </c>
      <c r="M45" s="30">
        <v>-7</v>
      </c>
      <c r="N45" s="30">
        <v>-7</v>
      </c>
      <c r="O45" s="50"/>
      <c r="P45" s="30"/>
      <c r="Q45" s="30"/>
      <c r="R45" s="30">
        <v>1</v>
      </c>
      <c r="S45" s="30"/>
      <c r="T45" s="30"/>
      <c r="U45" s="30"/>
      <c r="V45" s="30"/>
      <c r="W45" s="30"/>
      <c r="X45" s="30">
        <v>1</v>
      </c>
      <c r="Y45" s="30"/>
      <c r="Z45" s="30"/>
      <c r="AA45" s="30">
        <v>1</v>
      </c>
    </row>
    <row r="46" spans="1:34" x14ac:dyDescent="0.75">
      <c r="A46" s="35" t="s">
        <v>187</v>
      </c>
      <c r="B46" s="30">
        <v>-7</v>
      </c>
      <c r="C46" s="30">
        <v>-7</v>
      </c>
      <c r="D46" s="30">
        <v>-7</v>
      </c>
      <c r="E46" s="30">
        <v>0</v>
      </c>
      <c r="F46" s="30">
        <v>-7</v>
      </c>
      <c r="G46" s="30">
        <v>-7</v>
      </c>
      <c r="H46" s="30">
        <v>-7</v>
      </c>
      <c r="I46" s="30">
        <v>5</v>
      </c>
      <c r="J46" s="30">
        <v>-7</v>
      </c>
      <c r="K46" s="30">
        <v>-7</v>
      </c>
      <c r="L46" s="30">
        <v>-7</v>
      </c>
      <c r="M46" s="30">
        <v>-7</v>
      </c>
      <c r="N46" s="30">
        <v>-7</v>
      </c>
      <c r="O46" s="50"/>
      <c r="P46" s="30">
        <v>12</v>
      </c>
      <c r="Q46" s="30"/>
      <c r="R46" s="30"/>
      <c r="S46" s="30"/>
      <c r="T46" s="30">
        <v>2</v>
      </c>
      <c r="U46" s="30"/>
      <c r="V46" s="30"/>
      <c r="W46" s="30"/>
      <c r="X46" s="30">
        <v>1</v>
      </c>
      <c r="Y46" s="30">
        <v>1</v>
      </c>
      <c r="Z46" s="30"/>
      <c r="AA46" s="30"/>
    </row>
    <row r="47" spans="1:34" x14ac:dyDescent="0.75">
      <c r="A47" s="35" t="s">
        <v>188</v>
      </c>
      <c r="B47" s="30">
        <v>-7</v>
      </c>
      <c r="C47" s="30">
        <v>-7</v>
      </c>
      <c r="D47" s="30">
        <v>-7</v>
      </c>
      <c r="E47" s="30">
        <v>1</v>
      </c>
      <c r="F47" s="30">
        <v>-7</v>
      </c>
      <c r="G47" s="30">
        <v>-7</v>
      </c>
      <c r="H47" s="30">
        <v>-7</v>
      </c>
      <c r="I47" s="30">
        <v>1</v>
      </c>
      <c r="J47" s="30">
        <v>-7</v>
      </c>
      <c r="K47" s="30">
        <v>-7</v>
      </c>
      <c r="L47" s="30">
        <v>-7</v>
      </c>
      <c r="M47" s="30">
        <v>-7</v>
      </c>
      <c r="N47" s="30">
        <v>-7</v>
      </c>
      <c r="O47" s="50"/>
      <c r="P47" s="30">
        <v>3</v>
      </c>
      <c r="Q47" s="30"/>
      <c r="R47" s="30"/>
      <c r="S47" s="30"/>
      <c r="T47" s="30">
        <v>2</v>
      </c>
      <c r="U47" s="30"/>
      <c r="V47" s="30"/>
      <c r="W47" s="30"/>
      <c r="X47" s="30">
        <v>1</v>
      </c>
      <c r="Y47" s="30">
        <v>1</v>
      </c>
      <c r="Z47" s="30"/>
      <c r="AA47" s="30"/>
    </row>
    <row r="48" spans="1:34" x14ac:dyDescent="0.75">
      <c r="A48" s="35" t="s">
        <v>189</v>
      </c>
      <c r="B48" s="30">
        <v>-7</v>
      </c>
      <c r="C48" s="30">
        <v>-7</v>
      </c>
      <c r="D48" s="30">
        <v>-7</v>
      </c>
      <c r="E48" s="30">
        <v>0</v>
      </c>
      <c r="F48" s="30">
        <v>-7</v>
      </c>
      <c r="G48" s="30">
        <v>-7</v>
      </c>
      <c r="H48" s="30">
        <v>-7</v>
      </c>
      <c r="I48" s="30">
        <v>2</v>
      </c>
      <c r="J48" s="30">
        <v>-7</v>
      </c>
      <c r="K48" s="30">
        <v>-7</v>
      </c>
      <c r="L48" s="30">
        <v>-7</v>
      </c>
      <c r="M48" s="30">
        <v>-7</v>
      </c>
      <c r="N48" s="30">
        <v>-7</v>
      </c>
      <c r="O48" s="50"/>
      <c r="P48" s="30">
        <v>5</v>
      </c>
      <c r="Q48" s="30"/>
      <c r="R48" s="30"/>
      <c r="S48" s="30"/>
      <c r="T48" s="30">
        <v>2</v>
      </c>
      <c r="U48" s="30"/>
      <c r="V48" s="30"/>
      <c r="W48" s="30"/>
      <c r="X48" s="30">
        <v>1</v>
      </c>
      <c r="Y48" s="30">
        <v>1</v>
      </c>
      <c r="Z48" s="30"/>
      <c r="AA48" s="30">
        <v>2</v>
      </c>
    </row>
    <row r="49" spans="1:34" x14ac:dyDescent="0.75">
      <c r="A49" s="35" t="s">
        <v>190</v>
      </c>
      <c r="B49" s="30">
        <v>-7</v>
      </c>
      <c r="C49" s="30">
        <v>-7</v>
      </c>
      <c r="D49" s="30">
        <v>-7</v>
      </c>
      <c r="E49" s="30">
        <v>5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-7</v>
      </c>
      <c r="M49" s="30">
        <v>-7</v>
      </c>
      <c r="N49" s="30">
        <v>-7</v>
      </c>
      <c r="O49" s="50"/>
      <c r="P49" s="30">
        <v>6</v>
      </c>
      <c r="Q49" s="30"/>
      <c r="R49" s="30">
        <v>2</v>
      </c>
      <c r="S49" s="30"/>
      <c r="T49" s="30"/>
      <c r="U49" s="30"/>
      <c r="V49" s="30">
        <v>1</v>
      </c>
      <c r="W49" s="30"/>
      <c r="X49" s="30">
        <v>1</v>
      </c>
      <c r="Y49" s="30">
        <v>1</v>
      </c>
      <c r="Z49" s="30"/>
      <c r="AA49" s="30"/>
    </row>
    <row r="50" spans="1:34" x14ac:dyDescent="0.75">
      <c r="A50" s="35" t="s">
        <v>191</v>
      </c>
      <c r="B50" s="30">
        <v>-7</v>
      </c>
      <c r="C50" s="30">
        <v>-7</v>
      </c>
      <c r="D50" s="30">
        <v>-7</v>
      </c>
      <c r="E50" s="30">
        <v>2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-7</v>
      </c>
      <c r="M50" s="30">
        <v>-7</v>
      </c>
      <c r="N50" s="30">
        <v>-7</v>
      </c>
      <c r="O50" s="50"/>
      <c r="P50" s="30">
        <v>14</v>
      </c>
      <c r="Q50" s="30"/>
      <c r="R50" s="30">
        <v>2</v>
      </c>
      <c r="S50" s="30"/>
      <c r="T50" s="30"/>
      <c r="U50" s="30"/>
      <c r="V50" s="30">
        <v>1</v>
      </c>
      <c r="W50" s="30"/>
      <c r="X50" s="30">
        <v>1</v>
      </c>
      <c r="Y50" s="30">
        <v>1</v>
      </c>
      <c r="Z50" s="30"/>
      <c r="AA50" s="30"/>
    </row>
    <row r="51" spans="1:34" x14ac:dyDescent="0.75">
      <c r="A51" s="35" t="s">
        <v>192</v>
      </c>
      <c r="B51" s="30">
        <v>-7</v>
      </c>
      <c r="C51" s="30">
        <v>-7</v>
      </c>
      <c r="D51" s="30">
        <v>-7</v>
      </c>
      <c r="E51" s="30">
        <v>3</v>
      </c>
      <c r="F51" s="30">
        <v>-7</v>
      </c>
      <c r="G51" s="30">
        <v>-7</v>
      </c>
      <c r="H51" s="30">
        <v>-7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P51" s="30">
        <v>20</v>
      </c>
      <c r="Q51" s="30">
        <v>3</v>
      </c>
      <c r="R51" s="30">
        <v>1</v>
      </c>
      <c r="S51" s="30"/>
      <c r="T51" s="30"/>
      <c r="U51" s="30"/>
      <c r="V51" s="30"/>
      <c r="W51" s="30"/>
      <c r="X51" s="30">
        <v>1</v>
      </c>
      <c r="Y51" s="30"/>
      <c r="Z51" s="30"/>
      <c r="AA51" s="30">
        <v>1</v>
      </c>
    </row>
    <row r="52" spans="1:34" x14ac:dyDescent="0.75">
      <c r="A52" s="35" t="s">
        <v>193</v>
      </c>
      <c r="B52" s="30">
        <v>-7</v>
      </c>
      <c r="C52" s="30">
        <v>-7</v>
      </c>
      <c r="D52" s="30">
        <v>-7</v>
      </c>
      <c r="E52" s="30">
        <v>2</v>
      </c>
      <c r="F52" s="30">
        <v>-7</v>
      </c>
      <c r="G52" s="30">
        <v>-7</v>
      </c>
      <c r="H52" s="30">
        <v>-7</v>
      </c>
      <c r="I52" s="30">
        <v>0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P52" s="30"/>
      <c r="Q52" s="30"/>
      <c r="R52" s="30">
        <v>1</v>
      </c>
      <c r="S52" s="30"/>
      <c r="T52" s="30">
        <v>2</v>
      </c>
      <c r="U52" s="30"/>
      <c r="V52" s="30"/>
      <c r="W52" s="30"/>
      <c r="X52" s="30"/>
      <c r="Y52" s="30">
        <v>1</v>
      </c>
      <c r="Z52" s="30"/>
      <c r="AA52" s="30"/>
      <c r="AH52">
        <v>10</v>
      </c>
    </row>
    <row r="53" spans="1:34" x14ac:dyDescent="0.75">
      <c r="A53" s="35" t="s">
        <v>194</v>
      </c>
      <c r="B53" s="30">
        <v>-7</v>
      </c>
      <c r="C53" s="30">
        <v>-7</v>
      </c>
      <c r="D53" s="30">
        <v>-7</v>
      </c>
      <c r="E53" s="30">
        <v>3</v>
      </c>
      <c r="F53" s="30">
        <v>-7</v>
      </c>
      <c r="G53" s="30">
        <v>-7</v>
      </c>
      <c r="H53" s="30">
        <v>-7</v>
      </c>
      <c r="I53" s="30">
        <v>3</v>
      </c>
      <c r="J53" s="30">
        <v>-7</v>
      </c>
      <c r="K53" s="30">
        <v>-7</v>
      </c>
      <c r="L53" s="30">
        <v>-7</v>
      </c>
      <c r="M53" s="30">
        <v>-7</v>
      </c>
      <c r="N53" s="30">
        <v>-7</v>
      </c>
      <c r="O53" s="50"/>
      <c r="P53" s="30"/>
      <c r="Q53" s="30"/>
      <c r="R53" s="30">
        <v>2</v>
      </c>
      <c r="S53" s="30"/>
      <c r="T53" s="30"/>
      <c r="U53" s="30"/>
      <c r="V53" s="30">
        <v>1</v>
      </c>
      <c r="W53" s="30"/>
      <c r="X53" s="30">
        <v>1</v>
      </c>
      <c r="Y53" s="30">
        <v>1</v>
      </c>
      <c r="Z53" s="30"/>
      <c r="AA53" s="30"/>
    </row>
    <row r="54" spans="1:34" x14ac:dyDescent="0.75">
      <c r="A54" s="35" t="s">
        <v>195</v>
      </c>
      <c r="B54" s="30">
        <v>-7</v>
      </c>
      <c r="C54" s="30">
        <v>-7</v>
      </c>
      <c r="D54" s="30">
        <v>-7</v>
      </c>
      <c r="E54" s="30">
        <v>-7</v>
      </c>
      <c r="F54" s="30">
        <v>1</v>
      </c>
      <c r="G54" s="30">
        <v>-7</v>
      </c>
      <c r="H54" s="30">
        <v>-7</v>
      </c>
      <c r="I54" s="30">
        <v>-7</v>
      </c>
      <c r="J54" s="30">
        <v>-7</v>
      </c>
      <c r="K54" s="30">
        <v>-7</v>
      </c>
      <c r="L54" s="30">
        <v>-7</v>
      </c>
      <c r="M54" s="30">
        <v>-7</v>
      </c>
      <c r="N54" s="30">
        <v>-7</v>
      </c>
      <c r="O54" s="50"/>
      <c r="P54" s="30">
        <v>15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34" x14ac:dyDescent="0.75">
      <c r="A55" s="35" t="s">
        <v>196</v>
      </c>
      <c r="B55" s="30">
        <v>-7</v>
      </c>
      <c r="C55" s="30">
        <v>-7</v>
      </c>
      <c r="D55" s="30">
        <v>-7</v>
      </c>
      <c r="E55" s="30">
        <v>-7</v>
      </c>
      <c r="F55" s="30">
        <v>1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-7</v>
      </c>
      <c r="M55" s="30">
        <v>-7</v>
      </c>
      <c r="N55" s="30">
        <v>-7</v>
      </c>
      <c r="O55" s="50"/>
      <c r="P55" s="30">
        <v>10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34" x14ac:dyDescent="0.75">
      <c r="A56" s="35" t="s">
        <v>197</v>
      </c>
      <c r="B56" s="30">
        <v>-7</v>
      </c>
      <c r="C56" s="30">
        <v>-7</v>
      </c>
      <c r="D56" s="30">
        <v>-7</v>
      </c>
      <c r="E56" s="30">
        <v>-7</v>
      </c>
      <c r="F56" s="30">
        <v>0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-7</v>
      </c>
      <c r="M56" s="30">
        <v>-7</v>
      </c>
      <c r="N56" s="30">
        <v>-7</v>
      </c>
      <c r="O56" s="50"/>
      <c r="P56" s="30">
        <v>25</v>
      </c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34" x14ac:dyDescent="0.75">
      <c r="A57" s="35" t="s">
        <v>198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2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-7</v>
      </c>
      <c r="N57" s="30">
        <v>-7</v>
      </c>
      <c r="O57" s="50"/>
      <c r="P57" s="30">
        <v>22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34" x14ac:dyDescent="0.75">
      <c r="A58" s="35" t="s">
        <v>199</v>
      </c>
      <c r="B58" s="30">
        <v>0</v>
      </c>
      <c r="C58" s="30">
        <v>-1</v>
      </c>
      <c r="D58" s="30">
        <v>-2</v>
      </c>
      <c r="E58" s="30">
        <v>-2</v>
      </c>
      <c r="F58" s="30">
        <v>3</v>
      </c>
      <c r="G58" s="30">
        <v>3</v>
      </c>
      <c r="H58" s="30">
        <v>-7</v>
      </c>
      <c r="I58" s="30">
        <v>-7</v>
      </c>
      <c r="J58" s="30">
        <v>-7</v>
      </c>
      <c r="K58" s="30">
        <v>-7</v>
      </c>
      <c r="L58" s="30">
        <v>-7</v>
      </c>
      <c r="M58" s="30">
        <v>-7</v>
      </c>
      <c r="N58" s="30">
        <v>-1</v>
      </c>
      <c r="O58" s="5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>
        <v>1</v>
      </c>
      <c r="AA58" s="30"/>
    </row>
    <row r="59" spans="1:34" x14ac:dyDescent="0.75">
      <c r="A59" s="35" t="s">
        <v>200</v>
      </c>
      <c r="B59" s="30">
        <v>0</v>
      </c>
      <c r="C59" s="30">
        <v>-1</v>
      </c>
      <c r="D59" s="30">
        <v>-2</v>
      </c>
      <c r="E59" s="30">
        <v>-2</v>
      </c>
      <c r="F59" s="30">
        <v>3</v>
      </c>
      <c r="G59" s="30">
        <v>3</v>
      </c>
      <c r="H59" s="30">
        <v>-7</v>
      </c>
      <c r="I59" s="30">
        <v>-7</v>
      </c>
      <c r="J59" s="30">
        <v>-7</v>
      </c>
      <c r="K59" s="30">
        <v>-7</v>
      </c>
      <c r="L59" s="30">
        <v>-7</v>
      </c>
      <c r="M59" s="30">
        <v>-7</v>
      </c>
      <c r="N59" s="30">
        <v>-1</v>
      </c>
      <c r="O59" s="5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>
        <v>1</v>
      </c>
      <c r="AA59" s="30"/>
    </row>
    <row r="60" spans="1:34" x14ac:dyDescent="0.75">
      <c r="A60" s="35" t="s">
        <v>201</v>
      </c>
      <c r="B60" s="30">
        <v>-7</v>
      </c>
      <c r="C60" s="30">
        <v>-7</v>
      </c>
      <c r="D60" s="30">
        <v>-7</v>
      </c>
      <c r="E60" s="30">
        <v>-7</v>
      </c>
      <c r="F60" s="30">
        <v>-7</v>
      </c>
      <c r="G60" s="30">
        <v>-7</v>
      </c>
      <c r="H60" s="30">
        <v>-7</v>
      </c>
      <c r="I60" s="30">
        <v>-7</v>
      </c>
      <c r="J60" s="30">
        <v>-7</v>
      </c>
      <c r="K60" s="30">
        <v>-7</v>
      </c>
      <c r="L60" s="30">
        <v>-7</v>
      </c>
      <c r="M60" s="30">
        <v>-7</v>
      </c>
      <c r="N60" s="30">
        <v>2</v>
      </c>
      <c r="O60" s="5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>
        <v>1</v>
      </c>
      <c r="AA60" s="30"/>
    </row>
    <row r="61" spans="1:34" x14ac:dyDescent="0.75">
      <c r="A61" s="35" t="s">
        <v>202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-7</v>
      </c>
      <c r="M61" s="30">
        <v>-7</v>
      </c>
      <c r="N61" s="30">
        <v>2</v>
      </c>
      <c r="O61" s="5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>
        <v>1</v>
      </c>
      <c r="AA61" s="30"/>
    </row>
    <row r="62" spans="1:34" x14ac:dyDescent="0.75">
      <c r="A62" s="49" t="s">
        <v>203</v>
      </c>
      <c r="B62" s="30">
        <v>-7</v>
      </c>
      <c r="C62" s="30">
        <v>-7</v>
      </c>
      <c r="D62" s="30">
        <v>-7</v>
      </c>
      <c r="E62" s="30">
        <v>-7</v>
      </c>
      <c r="F62" s="30">
        <v>3</v>
      </c>
      <c r="G62" s="30">
        <v>3</v>
      </c>
      <c r="H62" s="30">
        <v>-7</v>
      </c>
      <c r="I62" s="30">
        <v>-7</v>
      </c>
      <c r="J62" s="30">
        <v>-7</v>
      </c>
      <c r="K62" s="30">
        <v>-7</v>
      </c>
      <c r="L62" s="30">
        <v>-7</v>
      </c>
      <c r="M62" s="30">
        <v>-7</v>
      </c>
      <c r="N62" s="30">
        <v>-7</v>
      </c>
      <c r="O62" s="5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34" x14ac:dyDescent="0.75">
      <c r="A63" s="35" t="s">
        <v>204</v>
      </c>
      <c r="B63" s="30">
        <v>3</v>
      </c>
      <c r="C63" s="30">
        <v>3</v>
      </c>
      <c r="D63" s="30">
        <v>3</v>
      </c>
      <c r="E63" s="30">
        <v>5</v>
      </c>
      <c r="F63" s="30">
        <v>3</v>
      </c>
      <c r="G63" s="30">
        <v>3</v>
      </c>
      <c r="H63" s="30">
        <v>1</v>
      </c>
      <c r="I63" s="30">
        <v>1</v>
      </c>
      <c r="J63" s="30">
        <v>-7</v>
      </c>
      <c r="K63" s="30">
        <v>0</v>
      </c>
      <c r="L63" s="30">
        <v>0</v>
      </c>
      <c r="M63" s="30">
        <v>0</v>
      </c>
      <c r="N63" s="30">
        <v>5</v>
      </c>
      <c r="O63" s="5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34" x14ac:dyDescent="0.75">
      <c r="A64" s="35" t="s">
        <v>205</v>
      </c>
      <c r="B64" s="30">
        <v>3</v>
      </c>
      <c r="C64" s="30">
        <v>3</v>
      </c>
      <c r="D64" s="30">
        <v>3</v>
      </c>
      <c r="E64" s="30">
        <v>5</v>
      </c>
      <c r="F64" s="30">
        <v>0</v>
      </c>
      <c r="G64" s="30">
        <v>0</v>
      </c>
      <c r="H64" s="30">
        <v>0</v>
      </c>
      <c r="I64" s="30">
        <v>-1</v>
      </c>
      <c r="J64" s="30">
        <v>-7</v>
      </c>
      <c r="K64" s="30">
        <v>-2</v>
      </c>
      <c r="L64" s="30">
        <v>-2</v>
      </c>
      <c r="M64" s="30">
        <v>-2</v>
      </c>
      <c r="N64" s="30">
        <v>5</v>
      </c>
      <c r="O64" s="5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D64">
        <v>15</v>
      </c>
    </row>
    <row r="65" spans="1:32" x14ac:dyDescent="0.75">
      <c r="A65" s="35" t="s">
        <v>206</v>
      </c>
      <c r="B65" s="30">
        <v>3</v>
      </c>
      <c r="C65" s="30">
        <v>3</v>
      </c>
      <c r="D65" s="30">
        <v>3</v>
      </c>
      <c r="E65" s="30">
        <v>0</v>
      </c>
      <c r="F65" s="30">
        <v>-2</v>
      </c>
      <c r="G65" s="30">
        <v>-2</v>
      </c>
      <c r="H65" s="30">
        <v>0</v>
      </c>
      <c r="I65" s="30">
        <v>-2</v>
      </c>
      <c r="J65" s="30">
        <v>-7</v>
      </c>
      <c r="K65" s="30">
        <v>-5</v>
      </c>
      <c r="L65" s="30">
        <v>-5</v>
      </c>
      <c r="M65" s="30">
        <v>-5</v>
      </c>
      <c r="N65" s="30">
        <v>1</v>
      </c>
      <c r="O65" s="5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D65">
        <v>30</v>
      </c>
    </row>
    <row r="66" spans="1:32" x14ac:dyDescent="0.75">
      <c r="A66" s="35" t="s">
        <v>207</v>
      </c>
      <c r="B66" s="30">
        <v>0</v>
      </c>
      <c r="C66" s="30">
        <v>5</v>
      </c>
      <c r="D66" s="30">
        <v>5</v>
      </c>
      <c r="E66" s="30">
        <v>-7</v>
      </c>
      <c r="F66" s="30">
        <v>-7</v>
      </c>
      <c r="G66" s="30">
        <v>-7</v>
      </c>
      <c r="H66" s="30">
        <v>-3</v>
      </c>
      <c r="I66" s="30">
        <v>-7</v>
      </c>
      <c r="J66" s="30">
        <v>-7</v>
      </c>
      <c r="K66" s="30">
        <v>-7</v>
      </c>
      <c r="L66" s="30">
        <v>-7</v>
      </c>
      <c r="M66" s="30">
        <v>-7</v>
      </c>
      <c r="N66" s="30">
        <v>-1</v>
      </c>
      <c r="O66" s="5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D66">
        <v>50</v>
      </c>
    </row>
    <row r="67" spans="1:32" x14ac:dyDescent="0.75">
      <c r="A67" s="35" t="s">
        <v>208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-7</v>
      </c>
      <c r="M67" s="30">
        <v>-7</v>
      </c>
      <c r="N67" s="30">
        <v>5</v>
      </c>
      <c r="O67" s="5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D67">
        <v>50</v>
      </c>
      <c r="AF67">
        <v>50</v>
      </c>
    </row>
    <row r="68" spans="1:32" x14ac:dyDescent="0.75">
      <c r="A68" s="35" t="s">
        <v>209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-7</v>
      </c>
      <c r="M68" s="30">
        <v>-7</v>
      </c>
      <c r="N68" s="30">
        <v>5</v>
      </c>
      <c r="O68" s="5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32" x14ac:dyDescent="0.75">
      <c r="A69" s="35" t="s">
        <v>210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-7</v>
      </c>
      <c r="M69" s="30">
        <v>-7</v>
      </c>
      <c r="N69" s="30">
        <v>5</v>
      </c>
      <c r="O69" s="5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D69">
        <v>30</v>
      </c>
      <c r="AF69">
        <v>30</v>
      </c>
    </row>
    <row r="70" spans="1:32" x14ac:dyDescent="0.75">
      <c r="A70" s="35" t="s">
        <v>211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-7</v>
      </c>
      <c r="I70" s="30">
        <v>-7</v>
      </c>
      <c r="J70" s="30">
        <v>-7</v>
      </c>
      <c r="K70" s="30">
        <v>-7</v>
      </c>
      <c r="L70" s="30">
        <v>-7</v>
      </c>
      <c r="M70" s="30">
        <v>-7</v>
      </c>
      <c r="N70" s="30">
        <v>5</v>
      </c>
      <c r="O70" s="5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D70">
        <v>10</v>
      </c>
      <c r="AF70">
        <v>30</v>
      </c>
    </row>
    <row r="71" spans="1:32" x14ac:dyDescent="0.75">
      <c r="A71" s="35" t="s">
        <v>212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-7</v>
      </c>
      <c r="M71" s="30">
        <v>-7</v>
      </c>
      <c r="N71" s="30">
        <v>5</v>
      </c>
      <c r="O71" s="50"/>
      <c r="P71" s="30">
        <v>10</v>
      </c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32" x14ac:dyDescent="0.75">
      <c r="A72" s="35" t="s">
        <v>213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-7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5</v>
      </c>
      <c r="O72" s="50"/>
      <c r="P72" s="30">
        <v>10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32" x14ac:dyDescent="0.75">
      <c r="A73" s="35" t="s">
        <v>214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-7</v>
      </c>
      <c r="M73" s="30">
        <v>-7</v>
      </c>
      <c r="N73" s="30">
        <v>5</v>
      </c>
      <c r="O73" s="50"/>
      <c r="P73" s="30">
        <v>40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F73">
        <v>50</v>
      </c>
    </row>
    <row r="74" spans="1:32" x14ac:dyDescent="0.75">
      <c r="A74" s="35" t="s">
        <v>215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-7</v>
      </c>
      <c r="M74" s="30">
        <v>-7</v>
      </c>
      <c r="N74" s="30">
        <v>3</v>
      </c>
      <c r="O74" s="50"/>
      <c r="P74" s="30">
        <v>50</v>
      </c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F74">
        <v>40</v>
      </c>
    </row>
    <row r="75" spans="1:32" x14ac:dyDescent="0.75">
      <c r="A75" s="35" t="s">
        <v>216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-7</v>
      </c>
      <c r="M75" s="30">
        <v>-7</v>
      </c>
      <c r="N75" s="30">
        <v>5</v>
      </c>
      <c r="O75" s="50"/>
      <c r="P75" s="30">
        <v>35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F75">
        <v>30</v>
      </c>
    </row>
    <row r="76" spans="1:32" x14ac:dyDescent="0.75">
      <c r="A76" s="35" t="s">
        <v>217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-7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5</v>
      </c>
      <c r="O76" s="50"/>
      <c r="P76" s="30">
        <v>30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F76">
        <v>40</v>
      </c>
    </row>
    <row r="77" spans="1:32" x14ac:dyDescent="0.75">
      <c r="A77" s="35" t="s">
        <v>218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-7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5</v>
      </c>
      <c r="O77" s="5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F77">
        <v>50</v>
      </c>
    </row>
    <row r="78" spans="1:32" x14ac:dyDescent="0.75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5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32" x14ac:dyDescent="0.75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5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32" x14ac:dyDescent="0.75">
      <c r="B80" s="34" t="s">
        <v>503</v>
      </c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5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3:3" x14ac:dyDescent="0.75">
      <c r="C81" t="s">
        <v>504</v>
      </c>
    </row>
    <row r="82" spans="3:3" x14ac:dyDescent="0.75">
      <c r="C82" t="s">
        <v>505</v>
      </c>
    </row>
    <row r="83" spans="3:3" x14ac:dyDescent="0.75">
      <c r="C83" s="38" t="s">
        <v>506</v>
      </c>
    </row>
    <row r="84" spans="3:3" x14ac:dyDescent="0.75">
      <c r="C84" t="s">
        <v>507</v>
      </c>
    </row>
  </sheetData>
  <autoFilter ref="A2:AI77" xr:uid="{D79F7362-0657-4B95-B764-6DB07D0AA0D5}"/>
  <conditionalFormatting sqref="B3:O77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I248"/>
  <sheetViews>
    <sheetView workbookViewId="0">
      <pane xSplit="1" ySplit="2" topLeftCell="B230" activePane="bottomRight" state="frozen"/>
      <selection pane="topRight" activeCell="B1" sqref="B1"/>
      <selection pane="bottomLeft" activeCell="A3" sqref="A3"/>
      <selection pane="bottomRight" activeCell="C239" sqref="C239"/>
    </sheetView>
  </sheetViews>
  <sheetFormatPr defaultRowHeight="14.75" x14ac:dyDescent="0.75"/>
  <cols>
    <col min="1" max="1" width="23.81640625" style="36" bestFit="1" customWidth="1"/>
    <col min="15" max="15" width="8.7265625" style="47"/>
  </cols>
  <sheetData>
    <row r="1" spans="1:35" x14ac:dyDescent="0.75">
      <c r="A1" s="35" t="s">
        <v>451</v>
      </c>
      <c r="O1" s="47" t="s">
        <v>508</v>
      </c>
    </row>
    <row r="2" spans="1:35" s="1" customFormat="1" x14ac:dyDescent="0.75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75">
      <c r="A3" s="35" t="s">
        <v>450</v>
      </c>
      <c r="B3" s="30">
        <v>-7</v>
      </c>
      <c r="C3" s="30">
        <v>-7</v>
      </c>
      <c r="D3" s="30">
        <v>-7</v>
      </c>
      <c r="E3" s="30">
        <v>-7</v>
      </c>
      <c r="F3" s="30">
        <v>-7</v>
      </c>
      <c r="G3" s="30">
        <v>-7</v>
      </c>
      <c r="H3" s="30">
        <v>-7</v>
      </c>
      <c r="I3" s="30">
        <v>-7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</row>
    <row r="4" spans="1:35" x14ac:dyDescent="0.75">
      <c r="A4" s="35" t="s">
        <v>449</v>
      </c>
      <c r="B4" s="30">
        <v>-7</v>
      </c>
      <c r="C4" s="30">
        <v>-7</v>
      </c>
      <c r="D4" s="30">
        <v>-7</v>
      </c>
      <c r="E4" s="30">
        <v>-7</v>
      </c>
      <c r="F4" s="30">
        <v>-7</v>
      </c>
      <c r="G4" s="30">
        <v>-7</v>
      </c>
      <c r="H4" s="30">
        <v>-7</v>
      </c>
      <c r="I4" s="30">
        <v>-7</v>
      </c>
      <c r="J4" s="30">
        <v>-7</v>
      </c>
      <c r="K4" s="30">
        <v>-7</v>
      </c>
      <c r="L4" s="30">
        <v>-7</v>
      </c>
      <c r="M4" s="30">
        <v>-7</v>
      </c>
      <c r="N4" s="30">
        <v>-7</v>
      </c>
      <c r="O4" s="50"/>
    </row>
    <row r="5" spans="1:35" x14ac:dyDescent="0.75">
      <c r="A5" s="35" t="s">
        <v>448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-7</v>
      </c>
      <c r="J5" s="30">
        <v>-7</v>
      </c>
      <c r="K5" s="30">
        <v>-7</v>
      </c>
      <c r="L5" s="30">
        <v>-7</v>
      </c>
      <c r="M5" s="30">
        <v>-7</v>
      </c>
      <c r="N5" s="30">
        <v>-7</v>
      </c>
      <c r="O5" s="50"/>
    </row>
    <row r="6" spans="1:35" x14ac:dyDescent="0.75">
      <c r="A6" s="35" t="s">
        <v>447</v>
      </c>
      <c r="B6" s="30">
        <v>-7</v>
      </c>
      <c r="C6" s="30">
        <v>-7</v>
      </c>
      <c r="D6" s="30">
        <v>-7</v>
      </c>
      <c r="E6" s="30">
        <v>-7</v>
      </c>
      <c r="F6" s="30">
        <v>-7</v>
      </c>
      <c r="G6" s="30">
        <v>-7</v>
      </c>
      <c r="H6" s="30">
        <v>-7</v>
      </c>
      <c r="I6" s="30">
        <v>-7</v>
      </c>
      <c r="J6" s="30">
        <v>-7</v>
      </c>
      <c r="K6" s="30">
        <v>-7</v>
      </c>
      <c r="L6" s="30">
        <v>-7</v>
      </c>
      <c r="M6" s="30">
        <v>-7</v>
      </c>
      <c r="N6" s="30">
        <v>-7</v>
      </c>
      <c r="O6" s="50"/>
    </row>
    <row r="7" spans="1:35" x14ac:dyDescent="0.75">
      <c r="A7" s="35" t="s">
        <v>446</v>
      </c>
      <c r="B7" s="30">
        <v>-7</v>
      </c>
      <c r="C7" s="30">
        <v>-7</v>
      </c>
      <c r="D7" s="30">
        <v>-7</v>
      </c>
      <c r="E7" s="30">
        <v>-7</v>
      </c>
      <c r="F7" s="30">
        <v>-7</v>
      </c>
      <c r="G7" s="30">
        <v>-7</v>
      </c>
      <c r="H7" s="30">
        <v>-7</v>
      </c>
      <c r="I7" s="30">
        <v>-7</v>
      </c>
      <c r="J7" s="30">
        <v>-7</v>
      </c>
      <c r="K7" s="30">
        <v>-7</v>
      </c>
      <c r="L7" s="30">
        <v>-7</v>
      </c>
      <c r="M7" s="30">
        <v>-7</v>
      </c>
      <c r="N7" s="30">
        <v>-7</v>
      </c>
      <c r="O7" s="50"/>
    </row>
    <row r="8" spans="1:35" x14ac:dyDescent="0.75">
      <c r="A8" s="35" t="s">
        <v>445</v>
      </c>
      <c r="B8" s="30">
        <v>-7</v>
      </c>
      <c r="C8" s="30">
        <v>-7</v>
      </c>
      <c r="D8" s="30">
        <v>-7</v>
      </c>
      <c r="E8" s="30">
        <v>-7</v>
      </c>
      <c r="F8" s="30">
        <v>-7</v>
      </c>
      <c r="G8" s="30">
        <v>-7</v>
      </c>
      <c r="H8" s="30">
        <v>-7</v>
      </c>
      <c r="I8" s="30">
        <v>-7</v>
      </c>
      <c r="J8" s="30">
        <v>-7</v>
      </c>
      <c r="K8" s="30">
        <v>-7</v>
      </c>
      <c r="L8" s="30">
        <v>-7</v>
      </c>
      <c r="M8" s="30">
        <v>-7</v>
      </c>
      <c r="N8" s="30">
        <v>-7</v>
      </c>
      <c r="O8" s="50"/>
    </row>
    <row r="9" spans="1:35" x14ac:dyDescent="0.75">
      <c r="A9" s="35" t="s">
        <v>444</v>
      </c>
      <c r="B9" s="30">
        <v>-7</v>
      </c>
      <c r="C9" s="30">
        <v>-7</v>
      </c>
      <c r="D9" s="30">
        <v>-7</v>
      </c>
      <c r="E9" s="30">
        <v>-7</v>
      </c>
      <c r="F9" s="30">
        <v>-7</v>
      </c>
      <c r="G9" s="30">
        <v>-7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</row>
    <row r="10" spans="1:35" x14ac:dyDescent="0.75">
      <c r="A10" s="35" t="s">
        <v>443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-7</v>
      </c>
      <c r="J10" s="30">
        <v>-7</v>
      </c>
      <c r="K10" s="30">
        <v>-7</v>
      </c>
      <c r="L10" s="30">
        <v>-7</v>
      </c>
      <c r="M10" s="30">
        <v>-7</v>
      </c>
      <c r="N10" s="30">
        <v>-7</v>
      </c>
      <c r="O10" s="50"/>
    </row>
    <row r="11" spans="1:35" x14ac:dyDescent="0.75">
      <c r="A11" s="35" t="s">
        <v>442</v>
      </c>
      <c r="B11" s="30">
        <v>-7</v>
      </c>
      <c r="C11" s="30">
        <v>-7</v>
      </c>
      <c r="D11" s="30">
        <v>-7</v>
      </c>
      <c r="E11" s="30">
        <v>-7</v>
      </c>
      <c r="F11" s="30">
        <v>-7</v>
      </c>
      <c r="G11" s="30">
        <v>-7</v>
      </c>
      <c r="H11" s="30">
        <v>-7</v>
      </c>
      <c r="I11" s="30">
        <v>-7</v>
      </c>
      <c r="J11" s="30">
        <v>-7</v>
      </c>
      <c r="K11" s="30">
        <v>-7</v>
      </c>
      <c r="L11" s="30">
        <v>-7</v>
      </c>
      <c r="M11" s="30">
        <v>-7</v>
      </c>
      <c r="N11" s="30">
        <v>-7</v>
      </c>
      <c r="O11" s="50"/>
    </row>
    <row r="12" spans="1:35" x14ac:dyDescent="0.75">
      <c r="A12" s="35" t="s">
        <v>441</v>
      </c>
      <c r="B12" s="30">
        <v>-7</v>
      </c>
      <c r="C12" s="30">
        <v>-7</v>
      </c>
      <c r="D12" s="30">
        <v>-7</v>
      </c>
      <c r="E12" s="30">
        <v>-7</v>
      </c>
      <c r="F12" s="30">
        <v>-7</v>
      </c>
      <c r="G12" s="30">
        <v>-7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</row>
    <row r="13" spans="1:35" x14ac:dyDescent="0.75">
      <c r="A13" s="35" t="s">
        <v>440</v>
      </c>
      <c r="B13" s="30">
        <v>-7</v>
      </c>
      <c r="C13" s="30">
        <v>-7</v>
      </c>
      <c r="D13" s="30">
        <v>-7</v>
      </c>
      <c r="E13" s="30">
        <v>-7</v>
      </c>
      <c r="F13" s="30">
        <v>-7</v>
      </c>
      <c r="G13" s="30">
        <v>-7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</row>
    <row r="14" spans="1:35" x14ac:dyDescent="0.75">
      <c r="A14" s="35" t="s">
        <v>439</v>
      </c>
      <c r="B14" s="30">
        <v>-7</v>
      </c>
      <c r="C14" s="30">
        <v>-7</v>
      </c>
      <c r="D14" s="30">
        <v>-7</v>
      </c>
      <c r="E14" s="30">
        <v>-7</v>
      </c>
      <c r="F14" s="30">
        <v>-7</v>
      </c>
      <c r="G14" s="30">
        <v>-7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</row>
    <row r="15" spans="1:35" x14ac:dyDescent="0.75">
      <c r="A15" s="35" t="s">
        <v>438</v>
      </c>
      <c r="B15" s="30">
        <v>-7</v>
      </c>
      <c r="C15" s="30">
        <v>-7</v>
      </c>
      <c r="D15" s="30">
        <v>-7</v>
      </c>
      <c r="E15" s="30">
        <v>-7</v>
      </c>
      <c r="F15" s="30">
        <v>-7</v>
      </c>
      <c r="G15" s="30">
        <v>-7</v>
      </c>
      <c r="H15" s="30">
        <v>-7</v>
      </c>
      <c r="I15" s="30">
        <v>-7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Y15">
        <v>1</v>
      </c>
      <c r="AA15">
        <v>1</v>
      </c>
      <c r="AB15">
        <v>60</v>
      </c>
    </row>
    <row r="16" spans="1:35" x14ac:dyDescent="0.75">
      <c r="A16" s="35" t="s">
        <v>437</v>
      </c>
      <c r="B16" s="30">
        <v>-7</v>
      </c>
      <c r="C16" s="30">
        <v>-7</v>
      </c>
      <c r="D16" s="30">
        <v>0</v>
      </c>
      <c r="E16" s="30">
        <v>-7</v>
      </c>
      <c r="F16" s="30">
        <v>-7</v>
      </c>
      <c r="G16" s="30">
        <v>-7</v>
      </c>
      <c r="H16" s="30">
        <v>4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AC16">
        <v>20</v>
      </c>
    </row>
    <row r="17" spans="1:29" x14ac:dyDescent="0.75">
      <c r="A17" s="35" t="s">
        <v>436</v>
      </c>
      <c r="B17" s="30">
        <v>-7</v>
      </c>
      <c r="C17" s="30">
        <v>0</v>
      </c>
      <c r="D17" s="30">
        <v>-7</v>
      </c>
      <c r="E17" s="30">
        <v>-7</v>
      </c>
      <c r="F17" s="30">
        <v>-7</v>
      </c>
      <c r="G17" s="30">
        <v>-7</v>
      </c>
      <c r="H17" s="30">
        <v>-7</v>
      </c>
      <c r="I17" s="30">
        <v>-7</v>
      </c>
      <c r="J17" s="30">
        <v>-7</v>
      </c>
      <c r="K17" s="30">
        <v>5</v>
      </c>
      <c r="L17" s="30">
        <v>-7</v>
      </c>
      <c r="M17" s="30">
        <v>-7</v>
      </c>
      <c r="N17" s="30">
        <v>-7</v>
      </c>
      <c r="O17" s="50"/>
      <c r="AC17">
        <v>50</v>
      </c>
    </row>
    <row r="18" spans="1:29" x14ac:dyDescent="0.75">
      <c r="A18" s="35" t="s">
        <v>435</v>
      </c>
      <c r="B18" s="30">
        <v>-7</v>
      </c>
      <c r="C18" s="30">
        <v>-7</v>
      </c>
      <c r="D18" s="30">
        <v>0</v>
      </c>
      <c r="E18" s="30">
        <v>-7</v>
      </c>
      <c r="F18" s="30">
        <v>-7</v>
      </c>
      <c r="G18" s="30">
        <v>-7</v>
      </c>
      <c r="H18" s="30">
        <v>2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-7</v>
      </c>
      <c r="O18" s="50"/>
      <c r="AC18">
        <v>40</v>
      </c>
    </row>
    <row r="19" spans="1:29" x14ac:dyDescent="0.75">
      <c r="A19" s="35" t="s">
        <v>434</v>
      </c>
      <c r="B19" s="30">
        <v>-7</v>
      </c>
      <c r="C19" s="30">
        <v>-7</v>
      </c>
      <c r="D19" s="30">
        <v>-3</v>
      </c>
      <c r="E19" s="30">
        <v>-7</v>
      </c>
      <c r="F19" s="30">
        <v>-7</v>
      </c>
      <c r="G19" s="30">
        <v>-7</v>
      </c>
      <c r="H19" s="30">
        <v>5</v>
      </c>
      <c r="I19" s="30">
        <v>-7</v>
      </c>
      <c r="J19" s="30">
        <v>-7</v>
      </c>
      <c r="K19" s="30">
        <v>-7</v>
      </c>
      <c r="L19" s="30">
        <v>-7</v>
      </c>
      <c r="M19" s="30">
        <v>-7</v>
      </c>
      <c r="N19" s="30">
        <v>-7</v>
      </c>
      <c r="O19" s="50"/>
      <c r="AC19">
        <v>5</v>
      </c>
    </row>
    <row r="20" spans="1:29" x14ac:dyDescent="0.75">
      <c r="A20" s="35" t="s">
        <v>433</v>
      </c>
      <c r="B20" s="30">
        <v>-7</v>
      </c>
      <c r="C20" s="30">
        <v>-7</v>
      </c>
      <c r="D20" s="30">
        <v>-3</v>
      </c>
      <c r="E20" s="30">
        <v>-7</v>
      </c>
      <c r="F20" s="30">
        <v>-7</v>
      </c>
      <c r="G20" s="30">
        <v>-7</v>
      </c>
      <c r="H20" s="30">
        <v>2</v>
      </c>
      <c r="I20" s="30">
        <v>-7</v>
      </c>
      <c r="J20" s="30">
        <v>-7</v>
      </c>
      <c r="K20" s="30">
        <v>-7</v>
      </c>
      <c r="L20" s="30">
        <v>-7</v>
      </c>
      <c r="M20" s="30">
        <v>-7</v>
      </c>
      <c r="N20" s="30">
        <v>-7</v>
      </c>
      <c r="O20" s="50"/>
      <c r="AC20">
        <v>25</v>
      </c>
    </row>
    <row r="21" spans="1:29" x14ac:dyDescent="0.75">
      <c r="A21" s="35" t="s">
        <v>432</v>
      </c>
      <c r="B21" s="30">
        <v>-7</v>
      </c>
      <c r="C21" s="30">
        <v>-7</v>
      </c>
      <c r="D21" s="30">
        <v>-7</v>
      </c>
      <c r="E21" s="30">
        <v>-7</v>
      </c>
      <c r="F21" s="30">
        <v>-7</v>
      </c>
      <c r="G21" s="30">
        <v>-7</v>
      </c>
      <c r="H21" s="30">
        <v>0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-7</v>
      </c>
      <c r="O21" s="50"/>
      <c r="AC21">
        <v>25</v>
      </c>
    </row>
    <row r="22" spans="1:29" x14ac:dyDescent="0.75">
      <c r="A22" s="35" t="s">
        <v>431</v>
      </c>
      <c r="B22" s="30">
        <v>-7</v>
      </c>
      <c r="C22" s="30">
        <v>-3</v>
      </c>
      <c r="D22" s="30">
        <v>-7</v>
      </c>
      <c r="E22" s="30">
        <v>-7</v>
      </c>
      <c r="F22" s="30">
        <v>-7</v>
      </c>
      <c r="G22" s="30">
        <v>-7</v>
      </c>
      <c r="H22" s="30">
        <v>0</v>
      </c>
      <c r="I22" s="30">
        <v>-7</v>
      </c>
      <c r="J22" s="30">
        <v>-7</v>
      </c>
      <c r="K22" s="30">
        <v>2</v>
      </c>
      <c r="L22" s="30">
        <v>-7</v>
      </c>
      <c r="M22" s="30">
        <v>-7</v>
      </c>
      <c r="N22" s="30">
        <v>-7</v>
      </c>
      <c r="O22" s="50"/>
      <c r="AC22">
        <v>5</v>
      </c>
    </row>
    <row r="23" spans="1:29" x14ac:dyDescent="0.75">
      <c r="A23" s="35" t="s">
        <v>430</v>
      </c>
      <c r="B23" s="30">
        <v>-7</v>
      </c>
      <c r="C23" s="30">
        <v>-3</v>
      </c>
      <c r="D23" s="30">
        <v>-7</v>
      </c>
      <c r="E23" s="30">
        <v>-7</v>
      </c>
      <c r="F23" s="30">
        <v>-7</v>
      </c>
      <c r="G23" s="30">
        <v>-7</v>
      </c>
      <c r="H23" s="30">
        <v>-3</v>
      </c>
      <c r="I23" s="30">
        <v>-7</v>
      </c>
      <c r="J23" s="30">
        <v>-7</v>
      </c>
      <c r="K23" s="30">
        <v>0</v>
      </c>
      <c r="L23" s="30">
        <v>-7</v>
      </c>
      <c r="M23" s="30">
        <v>-7</v>
      </c>
      <c r="N23" s="30">
        <v>-7</v>
      </c>
      <c r="O23" s="50"/>
      <c r="P23">
        <v>13</v>
      </c>
    </row>
    <row r="24" spans="1:29" x14ac:dyDescent="0.75">
      <c r="A24" s="35" t="s">
        <v>429</v>
      </c>
      <c r="B24" s="30">
        <v>-7</v>
      </c>
      <c r="C24" s="30">
        <v>-7</v>
      </c>
      <c r="D24" s="30">
        <v>-7</v>
      </c>
      <c r="E24" s="30">
        <v>-7</v>
      </c>
      <c r="F24" s="30">
        <v>-7</v>
      </c>
      <c r="G24" s="30">
        <v>-7</v>
      </c>
      <c r="H24" s="30">
        <v>-7</v>
      </c>
      <c r="I24" s="30">
        <v>-7</v>
      </c>
      <c r="J24" s="30">
        <v>-7</v>
      </c>
      <c r="K24" s="30">
        <v>-3</v>
      </c>
      <c r="L24" s="30">
        <v>-7</v>
      </c>
      <c r="M24" s="30">
        <v>-7</v>
      </c>
      <c r="N24" s="30">
        <v>-7</v>
      </c>
      <c r="O24" s="50"/>
      <c r="P24">
        <v>25</v>
      </c>
    </row>
    <row r="25" spans="1:29" x14ac:dyDescent="0.75">
      <c r="A25" s="35" t="s">
        <v>428</v>
      </c>
      <c r="B25" s="30">
        <v>-7</v>
      </c>
      <c r="C25" s="30">
        <v>-7</v>
      </c>
      <c r="D25" s="30">
        <v>5</v>
      </c>
      <c r="E25" s="30">
        <v>-7</v>
      </c>
      <c r="F25" s="30">
        <v>-7</v>
      </c>
      <c r="G25" s="30">
        <v>-7</v>
      </c>
      <c r="H25" s="30">
        <v>0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AC25">
        <v>90</v>
      </c>
    </row>
    <row r="26" spans="1:29" x14ac:dyDescent="0.75">
      <c r="A26" s="35" t="s">
        <v>427</v>
      </c>
      <c r="B26" s="30">
        <v>-7</v>
      </c>
      <c r="C26" s="30">
        <v>-3</v>
      </c>
      <c r="D26" s="30">
        <v>-3</v>
      </c>
      <c r="E26" s="30">
        <v>-7</v>
      </c>
      <c r="F26" s="30">
        <v>-7</v>
      </c>
      <c r="G26" s="30">
        <v>-7</v>
      </c>
      <c r="H26" s="30">
        <v>-7</v>
      </c>
      <c r="I26" s="30">
        <v>-7</v>
      </c>
      <c r="J26" s="30">
        <v>-7</v>
      </c>
      <c r="K26" s="30">
        <v>5</v>
      </c>
      <c r="L26" s="30">
        <v>-7</v>
      </c>
      <c r="M26" s="30">
        <v>-7</v>
      </c>
      <c r="N26" s="30">
        <v>-7</v>
      </c>
      <c r="O26" s="50"/>
      <c r="AC26">
        <v>30</v>
      </c>
    </row>
    <row r="27" spans="1:29" x14ac:dyDescent="0.75">
      <c r="A27" s="35" t="s">
        <v>426</v>
      </c>
      <c r="B27" s="30">
        <v>-7</v>
      </c>
      <c r="C27" s="30">
        <v>-7</v>
      </c>
      <c r="D27" s="30">
        <v>-7</v>
      </c>
      <c r="E27" s="30">
        <v>-7</v>
      </c>
      <c r="F27" s="30">
        <v>-7</v>
      </c>
      <c r="G27" s="30">
        <v>-7</v>
      </c>
      <c r="H27" s="30">
        <v>-7</v>
      </c>
      <c r="I27" s="30">
        <v>-7</v>
      </c>
      <c r="J27" s="30">
        <v>-7</v>
      </c>
      <c r="K27" s="30">
        <v>2</v>
      </c>
      <c r="L27" s="30">
        <v>-7</v>
      </c>
      <c r="M27" s="30">
        <v>-7</v>
      </c>
      <c r="N27" s="30">
        <v>-7</v>
      </c>
      <c r="O27" s="50"/>
      <c r="AC27">
        <v>62</v>
      </c>
    </row>
    <row r="28" spans="1:29" x14ac:dyDescent="0.75">
      <c r="A28" s="35" t="s">
        <v>425</v>
      </c>
      <c r="B28" s="30">
        <v>-7</v>
      </c>
      <c r="C28" s="30">
        <v>-7</v>
      </c>
      <c r="D28" s="30">
        <v>-7</v>
      </c>
      <c r="E28" s="30">
        <v>-7</v>
      </c>
      <c r="F28" s="30">
        <v>-7</v>
      </c>
      <c r="G28" s="30">
        <v>-7</v>
      </c>
      <c r="H28" s="30">
        <v>0</v>
      </c>
      <c r="I28" s="30">
        <v>-7</v>
      </c>
      <c r="J28" s="30">
        <v>-7</v>
      </c>
      <c r="K28" s="30">
        <v>2</v>
      </c>
      <c r="L28" s="30">
        <v>-7</v>
      </c>
      <c r="M28" s="30">
        <v>-7</v>
      </c>
      <c r="N28" s="30">
        <v>-7</v>
      </c>
      <c r="O28" s="50"/>
      <c r="AC28">
        <v>26</v>
      </c>
    </row>
    <row r="29" spans="1:29" x14ac:dyDescent="0.75">
      <c r="A29" s="35" t="s">
        <v>424</v>
      </c>
      <c r="B29" s="30">
        <v>-7</v>
      </c>
      <c r="C29" s="30">
        <v>-7</v>
      </c>
      <c r="D29" s="30">
        <v>-7</v>
      </c>
      <c r="E29" s="30">
        <v>-7</v>
      </c>
      <c r="F29" s="30">
        <v>-7</v>
      </c>
      <c r="G29" s="30">
        <v>-7</v>
      </c>
      <c r="H29" s="30">
        <v>0</v>
      </c>
      <c r="I29" s="30">
        <v>-7</v>
      </c>
      <c r="J29" s="30">
        <v>-7</v>
      </c>
      <c r="K29" s="30">
        <v>-7</v>
      </c>
      <c r="L29" s="30">
        <v>-7</v>
      </c>
      <c r="M29" s="30">
        <v>-7</v>
      </c>
      <c r="N29" s="30">
        <v>-7</v>
      </c>
      <c r="O29" s="50"/>
      <c r="AC29">
        <v>20</v>
      </c>
    </row>
    <row r="30" spans="1:29" x14ac:dyDescent="0.75">
      <c r="A30" s="35" t="s">
        <v>423</v>
      </c>
      <c r="B30" s="30">
        <v>-7</v>
      </c>
      <c r="C30" s="30">
        <v>-7</v>
      </c>
      <c r="D30" s="30">
        <v>-7</v>
      </c>
      <c r="E30" s="30">
        <v>-7</v>
      </c>
      <c r="F30" s="30">
        <v>-7</v>
      </c>
      <c r="G30" s="30">
        <v>-7</v>
      </c>
      <c r="H30" s="30">
        <v>-3</v>
      </c>
      <c r="I30" s="30">
        <v>-3</v>
      </c>
      <c r="J30" s="30">
        <v>-7</v>
      </c>
      <c r="K30" s="30">
        <v>-7</v>
      </c>
      <c r="L30" s="30">
        <v>-7</v>
      </c>
      <c r="M30" s="30">
        <v>-7</v>
      </c>
      <c r="N30" s="30">
        <v>-7</v>
      </c>
      <c r="O30" s="50"/>
      <c r="AC30">
        <v>32</v>
      </c>
    </row>
    <row r="31" spans="1:29" x14ac:dyDescent="0.75">
      <c r="A31" s="35" t="s">
        <v>422</v>
      </c>
      <c r="B31" s="30">
        <v>-7</v>
      </c>
      <c r="C31" s="30">
        <v>-7</v>
      </c>
      <c r="D31" s="30">
        <v>-7</v>
      </c>
      <c r="E31" s="30">
        <v>-7</v>
      </c>
      <c r="F31" s="30">
        <v>-7</v>
      </c>
      <c r="G31" s="30">
        <v>-7</v>
      </c>
      <c r="H31" s="30">
        <v>0</v>
      </c>
      <c r="I31" s="30">
        <v>-4</v>
      </c>
      <c r="J31" s="30">
        <v>-7</v>
      </c>
      <c r="K31" s="30">
        <v>-7</v>
      </c>
      <c r="L31" s="30">
        <v>-7</v>
      </c>
      <c r="M31" s="30">
        <v>-7</v>
      </c>
      <c r="N31" s="30">
        <v>-7</v>
      </c>
      <c r="O31" s="50"/>
      <c r="AC31">
        <v>28</v>
      </c>
    </row>
    <row r="32" spans="1:29" x14ac:dyDescent="0.75">
      <c r="A32" s="35" t="s">
        <v>421</v>
      </c>
      <c r="B32" s="30">
        <v>-7</v>
      </c>
      <c r="C32" s="30">
        <v>-7</v>
      </c>
      <c r="D32" s="30">
        <v>-7</v>
      </c>
      <c r="E32" s="30">
        <v>-7</v>
      </c>
      <c r="F32" s="30">
        <v>-7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3</v>
      </c>
      <c r="M32" s="30">
        <v>5</v>
      </c>
      <c r="N32" s="30">
        <v>-7</v>
      </c>
      <c r="O32" s="50"/>
      <c r="Y32">
        <v>2</v>
      </c>
      <c r="AA32">
        <v>1</v>
      </c>
      <c r="AB32">
        <v>5</v>
      </c>
    </row>
    <row r="33" spans="1:29" x14ac:dyDescent="0.75">
      <c r="A33" s="35" t="s">
        <v>420</v>
      </c>
      <c r="B33" s="30">
        <v>-7</v>
      </c>
      <c r="C33" s="30">
        <v>-7</v>
      </c>
      <c r="D33" s="30">
        <v>-7</v>
      </c>
      <c r="E33" s="30">
        <v>-7</v>
      </c>
      <c r="F33" s="30">
        <v>-7</v>
      </c>
      <c r="G33" s="30">
        <v>-7</v>
      </c>
      <c r="H33" s="30">
        <v>5</v>
      </c>
      <c r="I33" s="30">
        <v>-7</v>
      </c>
      <c r="J33" s="30">
        <v>-7</v>
      </c>
      <c r="K33" s="30">
        <v>2</v>
      </c>
      <c r="L33" s="30">
        <v>-7</v>
      </c>
      <c r="M33" s="30">
        <v>-7</v>
      </c>
      <c r="N33" s="30">
        <v>-7</v>
      </c>
      <c r="O33" s="50"/>
      <c r="AC33">
        <v>20</v>
      </c>
    </row>
    <row r="34" spans="1:29" x14ac:dyDescent="0.75">
      <c r="A34" s="35" t="s">
        <v>138</v>
      </c>
      <c r="B34" s="30">
        <v>-7</v>
      </c>
      <c r="C34" s="30">
        <v>-7</v>
      </c>
      <c r="D34" s="30">
        <v>-7</v>
      </c>
      <c r="E34" s="30">
        <v>-7</v>
      </c>
      <c r="F34" s="30">
        <v>-7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3</v>
      </c>
      <c r="M34" s="30">
        <v>3</v>
      </c>
      <c r="N34" s="30">
        <v>-7</v>
      </c>
      <c r="O34" s="50"/>
      <c r="Y34">
        <v>1</v>
      </c>
      <c r="AA34">
        <v>1</v>
      </c>
      <c r="AB34">
        <v>20</v>
      </c>
    </row>
    <row r="35" spans="1:29" x14ac:dyDescent="0.75">
      <c r="A35" s="35" t="s">
        <v>139</v>
      </c>
      <c r="B35" s="30">
        <v>-7</v>
      </c>
      <c r="C35" s="30">
        <v>-7</v>
      </c>
      <c r="D35" s="30">
        <v>-7</v>
      </c>
      <c r="E35" s="30">
        <v>-7</v>
      </c>
      <c r="F35" s="30">
        <v>-7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3</v>
      </c>
      <c r="M35" s="30">
        <v>3</v>
      </c>
      <c r="N35" s="30">
        <v>-7</v>
      </c>
      <c r="O35" s="50"/>
      <c r="Y35">
        <v>2</v>
      </c>
      <c r="AA35">
        <v>1</v>
      </c>
      <c r="AB35">
        <v>20</v>
      </c>
    </row>
    <row r="36" spans="1:29" x14ac:dyDescent="0.75">
      <c r="A36" s="35" t="s">
        <v>140</v>
      </c>
      <c r="B36" s="30">
        <v>-7</v>
      </c>
      <c r="C36" s="30">
        <v>-7</v>
      </c>
      <c r="D36" s="30">
        <v>-7</v>
      </c>
      <c r="E36" s="30">
        <v>-7</v>
      </c>
      <c r="F36" s="30">
        <v>-7</v>
      </c>
      <c r="G36" s="30">
        <v>-7</v>
      </c>
      <c r="H36" s="30">
        <v>-7</v>
      </c>
      <c r="I36" s="30">
        <v>-7</v>
      </c>
      <c r="J36" s="30">
        <v>-7</v>
      </c>
      <c r="K36" s="30">
        <v>-7</v>
      </c>
      <c r="L36" s="30">
        <v>3</v>
      </c>
      <c r="M36" s="30">
        <v>3</v>
      </c>
      <c r="N36" s="30">
        <v>-7</v>
      </c>
      <c r="O36" s="50"/>
      <c r="Y36">
        <v>1</v>
      </c>
      <c r="AA36">
        <v>1</v>
      </c>
      <c r="AB36">
        <v>20</v>
      </c>
    </row>
    <row r="37" spans="1:29" x14ac:dyDescent="0.75">
      <c r="A37" s="35" t="s">
        <v>141</v>
      </c>
      <c r="B37" s="30">
        <v>-7</v>
      </c>
      <c r="C37" s="30">
        <v>-7</v>
      </c>
      <c r="D37" s="30">
        <v>-7</v>
      </c>
      <c r="E37" s="30">
        <v>-7</v>
      </c>
      <c r="F37" s="30">
        <v>-7</v>
      </c>
      <c r="G37" s="30">
        <v>-7</v>
      </c>
      <c r="H37" s="30">
        <v>5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AC37">
        <v>20</v>
      </c>
    </row>
    <row r="38" spans="1:29" x14ac:dyDescent="0.75">
      <c r="A38" s="35" t="s">
        <v>142</v>
      </c>
      <c r="B38" s="30">
        <v>-7</v>
      </c>
      <c r="C38" s="30">
        <v>-7</v>
      </c>
      <c r="D38" s="30">
        <v>-7</v>
      </c>
      <c r="E38" s="30">
        <v>-7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5</v>
      </c>
      <c r="M38" s="30">
        <v>3</v>
      </c>
      <c r="N38" s="30">
        <v>-7</v>
      </c>
      <c r="O38" s="50"/>
      <c r="Y38">
        <v>2</v>
      </c>
      <c r="AA38">
        <v>1</v>
      </c>
      <c r="AB38">
        <v>20</v>
      </c>
    </row>
    <row r="39" spans="1:29" x14ac:dyDescent="0.75">
      <c r="A39" s="35" t="s">
        <v>419</v>
      </c>
      <c r="B39" s="30">
        <v>-7</v>
      </c>
      <c r="C39" s="30">
        <v>-7</v>
      </c>
      <c r="D39" s="30">
        <v>-7</v>
      </c>
      <c r="E39" s="30">
        <v>-7</v>
      </c>
      <c r="F39" s="30">
        <v>-7</v>
      </c>
      <c r="G39" s="30">
        <v>-7</v>
      </c>
      <c r="H39" s="30">
        <v>0</v>
      </c>
      <c r="I39" s="30">
        <v>0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AC39">
        <v>62</v>
      </c>
    </row>
    <row r="40" spans="1:29" x14ac:dyDescent="0.75">
      <c r="A40" s="35" t="s">
        <v>418</v>
      </c>
      <c r="B40" s="30">
        <v>-7</v>
      </c>
      <c r="C40" s="30">
        <v>-7</v>
      </c>
      <c r="D40" s="30">
        <v>-7</v>
      </c>
      <c r="E40" s="30">
        <v>-7</v>
      </c>
      <c r="F40" s="30">
        <v>-7</v>
      </c>
      <c r="G40" s="30">
        <v>-7</v>
      </c>
      <c r="H40" s="30">
        <v>5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AC40">
        <v>10</v>
      </c>
    </row>
    <row r="41" spans="1:29" x14ac:dyDescent="0.75">
      <c r="A41" s="35" t="s">
        <v>417</v>
      </c>
      <c r="B41" s="30">
        <v>-7</v>
      </c>
      <c r="C41" s="30">
        <v>-7</v>
      </c>
      <c r="D41" s="30">
        <v>-7</v>
      </c>
      <c r="E41" s="30">
        <v>-7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0</v>
      </c>
      <c r="M41" s="30">
        <v>0</v>
      </c>
      <c r="N41" s="30">
        <v>-7</v>
      </c>
      <c r="O41" s="50"/>
      <c r="P41">
        <v>35</v>
      </c>
      <c r="Y41">
        <v>2</v>
      </c>
      <c r="AA41">
        <v>1</v>
      </c>
    </row>
    <row r="42" spans="1:29" x14ac:dyDescent="0.75">
      <c r="A42" s="35" t="s">
        <v>416</v>
      </c>
      <c r="B42" s="30">
        <v>-7</v>
      </c>
      <c r="C42" s="30">
        <v>-7</v>
      </c>
      <c r="D42" s="30">
        <v>-7</v>
      </c>
      <c r="E42" s="30">
        <v>-7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-3</v>
      </c>
      <c r="M42" s="30">
        <v>0</v>
      </c>
      <c r="N42" s="30">
        <v>-7</v>
      </c>
      <c r="O42" s="50"/>
      <c r="P42">
        <v>29</v>
      </c>
      <c r="Y42">
        <v>2</v>
      </c>
      <c r="AA42">
        <v>1</v>
      </c>
    </row>
    <row r="43" spans="1:29" x14ac:dyDescent="0.75">
      <c r="A43" s="35" t="s">
        <v>415</v>
      </c>
      <c r="B43" s="30">
        <v>-7</v>
      </c>
      <c r="C43" s="30">
        <v>-7</v>
      </c>
      <c r="D43" s="30">
        <v>-7</v>
      </c>
      <c r="E43" s="30">
        <v>-7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AC43">
        <v>18</v>
      </c>
    </row>
    <row r="44" spans="1:29" x14ac:dyDescent="0.75">
      <c r="A44" s="35" t="s">
        <v>414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2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AC44">
        <v>28</v>
      </c>
    </row>
    <row r="45" spans="1:29" x14ac:dyDescent="0.75">
      <c r="A45" s="35" t="s">
        <v>413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0</v>
      </c>
      <c r="M45" s="30">
        <v>0</v>
      </c>
      <c r="N45" s="30">
        <v>-7</v>
      </c>
      <c r="O45" s="50"/>
      <c r="P45">
        <v>5</v>
      </c>
      <c r="Y45">
        <v>2</v>
      </c>
      <c r="AA45">
        <v>1</v>
      </c>
    </row>
    <row r="46" spans="1:29" x14ac:dyDescent="0.75">
      <c r="A46" s="35" t="s">
        <v>412</v>
      </c>
      <c r="B46" s="30">
        <v>-7</v>
      </c>
      <c r="C46" s="30">
        <v>-7</v>
      </c>
      <c r="D46" s="30">
        <v>-7</v>
      </c>
      <c r="E46" s="30">
        <v>-7</v>
      </c>
      <c r="F46" s="30">
        <v>-7</v>
      </c>
      <c r="G46" s="30">
        <v>-7</v>
      </c>
      <c r="H46" s="30">
        <v>-7</v>
      </c>
      <c r="I46" s="30">
        <v>-7</v>
      </c>
      <c r="J46" s="30">
        <v>-7</v>
      </c>
      <c r="K46" s="30">
        <v>-7</v>
      </c>
      <c r="L46" s="30">
        <v>5</v>
      </c>
      <c r="M46" s="30">
        <v>5</v>
      </c>
      <c r="N46" s="30">
        <v>-7</v>
      </c>
      <c r="O46" s="50"/>
      <c r="P46">
        <v>6</v>
      </c>
      <c r="Y46">
        <v>1</v>
      </c>
      <c r="AA46">
        <v>1</v>
      </c>
    </row>
    <row r="47" spans="1:29" x14ac:dyDescent="0.75">
      <c r="A47" s="35" t="s">
        <v>411</v>
      </c>
      <c r="B47" s="30">
        <v>-7</v>
      </c>
      <c r="C47" s="30">
        <v>-7</v>
      </c>
      <c r="D47" s="30">
        <v>-7</v>
      </c>
      <c r="E47" s="30">
        <v>-7</v>
      </c>
      <c r="F47" s="30">
        <v>-7</v>
      </c>
      <c r="G47" s="30">
        <v>-7</v>
      </c>
      <c r="H47" s="30">
        <v>-7</v>
      </c>
      <c r="I47" s="30">
        <v>-7</v>
      </c>
      <c r="J47" s="30">
        <v>-7</v>
      </c>
      <c r="K47" s="30">
        <v>-7</v>
      </c>
      <c r="L47" s="30">
        <v>0</v>
      </c>
      <c r="M47" s="30">
        <v>5</v>
      </c>
      <c r="N47" s="30">
        <v>-7</v>
      </c>
      <c r="O47" s="50"/>
      <c r="P47">
        <v>7</v>
      </c>
      <c r="Y47">
        <v>1</v>
      </c>
      <c r="AA47">
        <v>1</v>
      </c>
    </row>
    <row r="48" spans="1:29" x14ac:dyDescent="0.75">
      <c r="A48" s="35" t="s">
        <v>410</v>
      </c>
      <c r="B48" s="30">
        <v>-7</v>
      </c>
      <c r="C48" s="30">
        <v>-7</v>
      </c>
      <c r="D48" s="30">
        <v>-7</v>
      </c>
      <c r="E48" s="30">
        <v>-7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0</v>
      </c>
      <c r="M48" s="30">
        <v>5</v>
      </c>
      <c r="N48" s="30">
        <v>-7</v>
      </c>
      <c r="O48" s="50"/>
      <c r="P48">
        <v>8</v>
      </c>
      <c r="Y48">
        <v>1</v>
      </c>
      <c r="AA48">
        <v>1</v>
      </c>
    </row>
    <row r="49" spans="1:29" x14ac:dyDescent="0.75">
      <c r="A49" s="35" t="s">
        <v>409</v>
      </c>
      <c r="B49" s="30">
        <v>-7</v>
      </c>
      <c r="C49" s="30">
        <v>-7</v>
      </c>
      <c r="D49" s="30">
        <v>-7</v>
      </c>
      <c r="E49" s="30">
        <v>-7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0</v>
      </c>
      <c r="M49" s="30">
        <v>5</v>
      </c>
      <c r="N49" s="30">
        <v>-7</v>
      </c>
      <c r="O49" s="50"/>
      <c r="P49">
        <v>9</v>
      </c>
      <c r="Y49">
        <v>1</v>
      </c>
      <c r="AA49">
        <v>1</v>
      </c>
    </row>
    <row r="50" spans="1:29" x14ac:dyDescent="0.75">
      <c r="A50" s="35" t="s">
        <v>408</v>
      </c>
      <c r="B50" s="30">
        <v>-7</v>
      </c>
      <c r="C50" s="30">
        <v>-7</v>
      </c>
      <c r="D50" s="30">
        <v>-7</v>
      </c>
      <c r="E50" s="30">
        <v>-7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0</v>
      </c>
      <c r="M50" s="30">
        <v>5</v>
      </c>
      <c r="N50" s="30">
        <v>-7</v>
      </c>
      <c r="O50" s="50"/>
      <c r="P50">
        <v>10</v>
      </c>
      <c r="Y50">
        <v>1</v>
      </c>
      <c r="AA50">
        <v>1</v>
      </c>
    </row>
    <row r="51" spans="1:29" x14ac:dyDescent="0.75">
      <c r="A51" s="35" t="s">
        <v>407</v>
      </c>
      <c r="B51" s="30">
        <v>-7</v>
      </c>
      <c r="C51" s="30">
        <v>-7</v>
      </c>
      <c r="D51" s="30">
        <v>0</v>
      </c>
      <c r="E51" s="30">
        <v>-7</v>
      </c>
      <c r="F51" s="30">
        <v>-7</v>
      </c>
      <c r="G51" s="30">
        <v>-7</v>
      </c>
      <c r="H51" s="30">
        <v>0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AC51">
        <v>64</v>
      </c>
    </row>
    <row r="52" spans="1:29" x14ac:dyDescent="0.75">
      <c r="A52" s="35" t="s">
        <v>406</v>
      </c>
      <c r="B52" s="30">
        <v>-7</v>
      </c>
      <c r="C52" s="30">
        <v>-7</v>
      </c>
      <c r="D52" s="30">
        <v>-3</v>
      </c>
      <c r="E52" s="30">
        <v>-7</v>
      </c>
      <c r="F52" s="30">
        <v>-7</v>
      </c>
      <c r="G52" s="30">
        <v>-7</v>
      </c>
      <c r="H52" s="30">
        <v>0</v>
      </c>
      <c r="I52" s="30">
        <v>-7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AC52">
        <v>18</v>
      </c>
    </row>
    <row r="53" spans="1:29" x14ac:dyDescent="0.75">
      <c r="A53" s="35" t="s">
        <v>405</v>
      </c>
      <c r="B53" s="30">
        <v>-7</v>
      </c>
      <c r="C53" s="30">
        <v>-7</v>
      </c>
      <c r="D53" s="30">
        <v>-7</v>
      </c>
      <c r="E53" s="30">
        <v>-7</v>
      </c>
      <c r="F53" s="30">
        <v>-7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-3</v>
      </c>
      <c r="M53" s="30">
        <v>0</v>
      </c>
      <c r="N53" s="30">
        <v>-7</v>
      </c>
      <c r="O53" s="50"/>
      <c r="P53">
        <v>17</v>
      </c>
      <c r="Y53">
        <v>2</v>
      </c>
      <c r="AA53">
        <v>1</v>
      </c>
    </row>
    <row r="54" spans="1:29" x14ac:dyDescent="0.75">
      <c r="A54" s="35" t="s">
        <v>404</v>
      </c>
      <c r="B54" s="30">
        <v>-7</v>
      </c>
      <c r="C54" s="30">
        <v>-7</v>
      </c>
      <c r="D54" s="30">
        <v>0</v>
      </c>
      <c r="E54" s="30">
        <v>-7</v>
      </c>
      <c r="F54" s="30">
        <v>-7</v>
      </c>
      <c r="G54" s="30">
        <v>-7</v>
      </c>
      <c r="H54" s="30">
        <v>2</v>
      </c>
      <c r="I54" s="30">
        <v>2</v>
      </c>
      <c r="J54" s="30">
        <v>-7</v>
      </c>
      <c r="K54" s="30">
        <v>0</v>
      </c>
      <c r="L54" s="30">
        <v>-7</v>
      </c>
      <c r="M54" s="30">
        <v>-7</v>
      </c>
      <c r="N54" s="30">
        <v>-7</v>
      </c>
      <c r="O54" s="50"/>
      <c r="AC54">
        <v>10</v>
      </c>
    </row>
    <row r="55" spans="1:29" x14ac:dyDescent="0.75">
      <c r="A55" s="35" t="s">
        <v>403</v>
      </c>
      <c r="B55" s="30">
        <v>-7</v>
      </c>
      <c r="C55" s="30">
        <v>-7</v>
      </c>
      <c r="D55" s="30">
        <v>-7</v>
      </c>
      <c r="E55" s="30">
        <v>-7</v>
      </c>
      <c r="F55" s="30">
        <v>-7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0</v>
      </c>
      <c r="M55" s="30">
        <v>-3</v>
      </c>
      <c r="N55" s="30">
        <v>-7</v>
      </c>
      <c r="O55" s="50"/>
      <c r="P55">
        <v>16</v>
      </c>
      <c r="Y55">
        <v>2</v>
      </c>
      <c r="AA55">
        <v>1</v>
      </c>
    </row>
    <row r="56" spans="1:29" x14ac:dyDescent="0.75">
      <c r="A56" s="35" t="s">
        <v>402</v>
      </c>
      <c r="B56" s="30">
        <v>-7</v>
      </c>
      <c r="C56" s="30">
        <v>-7</v>
      </c>
      <c r="D56" s="30">
        <v>-7</v>
      </c>
      <c r="E56" s="30">
        <v>-7</v>
      </c>
      <c r="F56" s="30">
        <v>-3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0</v>
      </c>
      <c r="M56" s="30">
        <v>-3</v>
      </c>
      <c r="N56" s="30">
        <v>-7</v>
      </c>
      <c r="O56" s="50"/>
      <c r="P56">
        <v>18</v>
      </c>
      <c r="Y56">
        <v>2</v>
      </c>
      <c r="AA56">
        <v>1</v>
      </c>
    </row>
    <row r="57" spans="1:29" x14ac:dyDescent="0.75">
      <c r="A57" s="35" t="s">
        <v>401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-7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-3</v>
      </c>
      <c r="N57" s="30">
        <v>-7</v>
      </c>
      <c r="O57" s="50"/>
      <c r="P57">
        <v>25</v>
      </c>
      <c r="Y57">
        <v>2</v>
      </c>
      <c r="AA57">
        <v>1</v>
      </c>
    </row>
    <row r="58" spans="1:29" x14ac:dyDescent="0.75">
      <c r="A58" s="35" t="s">
        <v>400</v>
      </c>
      <c r="B58" s="30">
        <v>-7</v>
      </c>
      <c r="C58" s="30">
        <v>-7</v>
      </c>
      <c r="D58" s="30">
        <v>-7</v>
      </c>
      <c r="E58" s="30">
        <v>-7</v>
      </c>
      <c r="F58" s="30">
        <v>-7</v>
      </c>
      <c r="G58" s="30">
        <v>-7</v>
      </c>
      <c r="H58" s="30">
        <v>-7</v>
      </c>
      <c r="I58" s="30">
        <v>-7</v>
      </c>
      <c r="J58" s="30">
        <v>-7</v>
      </c>
      <c r="K58" s="30">
        <v>-7</v>
      </c>
      <c r="L58" s="30">
        <v>-3</v>
      </c>
      <c r="M58" s="30">
        <v>0</v>
      </c>
      <c r="N58" s="30">
        <v>-7</v>
      </c>
      <c r="O58" s="50"/>
      <c r="P58">
        <v>9</v>
      </c>
      <c r="Y58">
        <v>1</v>
      </c>
      <c r="AA58">
        <v>1</v>
      </c>
    </row>
    <row r="59" spans="1:29" x14ac:dyDescent="0.75">
      <c r="A59" s="35" t="s">
        <v>399</v>
      </c>
      <c r="B59" s="30">
        <v>-7</v>
      </c>
      <c r="C59" s="30">
        <v>-7</v>
      </c>
      <c r="D59" s="30">
        <v>-7</v>
      </c>
      <c r="E59" s="30">
        <v>-7</v>
      </c>
      <c r="F59" s="30">
        <v>-7</v>
      </c>
      <c r="G59" s="30">
        <v>-7</v>
      </c>
      <c r="H59" s="30">
        <v>-7</v>
      </c>
      <c r="I59" s="30">
        <v>-7</v>
      </c>
      <c r="J59" s="30">
        <v>-7</v>
      </c>
      <c r="K59" s="30">
        <v>-7</v>
      </c>
      <c r="L59" s="30">
        <v>0</v>
      </c>
      <c r="M59" s="30">
        <v>-7</v>
      </c>
      <c r="N59" s="30">
        <v>-7</v>
      </c>
      <c r="O59" s="50"/>
      <c r="P59">
        <v>9</v>
      </c>
      <c r="Y59">
        <v>1</v>
      </c>
      <c r="AA59">
        <v>2</v>
      </c>
    </row>
    <row r="60" spans="1:29" x14ac:dyDescent="0.75">
      <c r="A60" s="35" t="s">
        <v>398</v>
      </c>
      <c r="B60" s="30">
        <v>-7</v>
      </c>
      <c r="C60" s="30">
        <v>-7</v>
      </c>
      <c r="D60" s="30">
        <v>0</v>
      </c>
      <c r="E60" s="30">
        <v>-7</v>
      </c>
      <c r="F60" s="30">
        <v>-7</v>
      </c>
      <c r="G60" s="30">
        <v>-7</v>
      </c>
      <c r="H60" s="30">
        <v>2</v>
      </c>
      <c r="I60" s="30">
        <v>-1</v>
      </c>
      <c r="J60" s="30">
        <v>-7</v>
      </c>
      <c r="K60" s="30">
        <v>0</v>
      </c>
      <c r="L60" s="30">
        <v>-7</v>
      </c>
      <c r="M60" s="30">
        <v>-7</v>
      </c>
      <c r="N60" s="30">
        <v>-7</v>
      </c>
      <c r="O60" s="50"/>
      <c r="R60">
        <v>1</v>
      </c>
      <c r="AC60">
        <v>14</v>
      </c>
    </row>
    <row r="61" spans="1:29" x14ac:dyDescent="0.75">
      <c r="A61" s="35" t="s">
        <v>397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0</v>
      </c>
      <c r="M61" s="30">
        <v>0</v>
      </c>
      <c r="N61" s="30">
        <v>-7</v>
      </c>
      <c r="O61" s="50"/>
      <c r="P61">
        <v>15</v>
      </c>
      <c r="U61">
        <v>1</v>
      </c>
      <c r="Y61">
        <v>2</v>
      </c>
      <c r="AA61">
        <v>1</v>
      </c>
    </row>
    <row r="62" spans="1:29" x14ac:dyDescent="0.75">
      <c r="A62" s="35" t="s">
        <v>396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5</v>
      </c>
      <c r="M62" s="30">
        <v>0</v>
      </c>
      <c r="N62" s="30">
        <v>-7</v>
      </c>
      <c r="O62" s="50"/>
      <c r="Y62">
        <v>2</v>
      </c>
      <c r="AA62">
        <v>2</v>
      </c>
      <c r="AB62">
        <v>5</v>
      </c>
    </row>
    <row r="63" spans="1:29" x14ac:dyDescent="0.75">
      <c r="A63" s="35" t="s">
        <v>395</v>
      </c>
      <c r="B63" s="30">
        <v>-7</v>
      </c>
      <c r="C63" s="30">
        <v>-7</v>
      </c>
      <c r="D63" s="30">
        <v>0</v>
      </c>
      <c r="E63" s="30">
        <v>-7</v>
      </c>
      <c r="F63" s="30">
        <v>-7</v>
      </c>
      <c r="G63" s="30">
        <v>-7</v>
      </c>
      <c r="H63" s="30">
        <v>2</v>
      </c>
      <c r="I63" s="30">
        <v>2</v>
      </c>
      <c r="J63" s="30">
        <v>-7</v>
      </c>
      <c r="K63" s="30">
        <v>5</v>
      </c>
      <c r="L63" s="30">
        <v>-7</v>
      </c>
      <c r="M63" s="30">
        <v>-7</v>
      </c>
      <c r="N63" s="30">
        <v>-7</v>
      </c>
      <c r="O63" s="50"/>
      <c r="AC63">
        <v>10</v>
      </c>
    </row>
    <row r="64" spans="1:29" x14ac:dyDescent="0.75">
      <c r="A64" s="35" t="s">
        <v>394</v>
      </c>
      <c r="B64" s="30">
        <v>-7</v>
      </c>
      <c r="C64" s="30">
        <v>-7</v>
      </c>
      <c r="D64" s="30">
        <v>0</v>
      </c>
      <c r="E64" s="30">
        <v>-7</v>
      </c>
      <c r="F64" s="30">
        <v>-7</v>
      </c>
      <c r="G64" s="30">
        <v>-7</v>
      </c>
      <c r="H64" s="30">
        <v>2</v>
      </c>
      <c r="I64" s="30">
        <v>-7</v>
      </c>
      <c r="J64" s="30">
        <v>-7</v>
      </c>
      <c r="K64" s="30">
        <v>5</v>
      </c>
      <c r="L64" s="30">
        <v>-7</v>
      </c>
      <c r="M64" s="30">
        <v>-7</v>
      </c>
      <c r="N64" s="30">
        <v>-7</v>
      </c>
      <c r="O64" s="50"/>
      <c r="AC64">
        <v>8</v>
      </c>
    </row>
    <row r="65" spans="1:29" x14ac:dyDescent="0.75">
      <c r="A65" s="35" t="s">
        <v>393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2</v>
      </c>
      <c r="I65" s="30">
        <v>-7</v>
      </c>
      <c r="J65" s="30">
        <v>-7</v>
      </c>
      <c r="K65" s="30">
        <v>5</v>
      </c>
      <c r="L65" s="30">
        <v>-7</v>
      </c>
      <c r="M65" s="30">
        <v>-7</v>
      </c>
      <c r="N65" s="30">
        <v>-7</v>
      </c>
      <c r="O65" s="50"/>
      <c r="AC65">
        <v>6</v>
      </c>
    </row>
    <row r="66" spans="1:29" x14ac:dyDescent="0.75">
      <c r="A66" s="35" t="s">
        <v>392</v>
      </c>
      <c r="B66" s="30">
        <v>-7</v>
      </c>
      <c r="C66" s="30">
        <v>0</v>
      </c>
      <c r="D66" s="30">
        <v>-7</v>
      </c>
      <c r="E66" s="30">
        <v>0</v>
      </c>
      <c r="F66" s="30">
        <v>-7</v>
      </c>
      <c r="G66" s="30">
        <v>-7</v>
      </c>
      <c r="H66" s="30">
        <v>-3</v>
      </c>
      <c r="I66" s="30">
        <v>2</v>
      </c>
      <c r="J66" s="30">
        <v>-7</v>
      </c>
      <c r="K66" s="30">
        <v>5</v>
      </c>
      <c r="L66" s="30">
        <v>-7</v>
      </c>
      <c r="M66" s="30">
        <v>-7</v>
      </c>
      <c r="N66" s="30">
        <v>-7</v>
      </c>
      <c r="O66" s="50"/>
      <c r="AC66">
        <v>4</v>
      </c>
    </row>
    <row r="67" spans="1:29" x14ac:dyDescent="0.75">
      <c r="A67" s="35" t="s">
        <v>391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2</v>
      </c>
      <c r="M67" s="30">
        <v>-3</v>
      </c>
      <c r="N67" s="30">
        <v>-7</v>
      </c>
      <c r="O67" s="50"/>
      <c r="P67">
        <v>12</v>
      </c>
      <c r="Y67">
        <v>1</v>
      </c>
      <c r="AA67">
        <v>1</v>
      </c>
    </row>
    <row r="68" spans="1:29" x14ac:dyDescent="0.75">
      <c r="A68" s="35" t="s">
        <v>390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0</v>
      </c>
      <c r="M68" s="30">
        <v>-7</v>
      </c>
      <c r="N68" s="30">
        <v>-7</v>
      </c>
      <c r="O68" s="50"/>
      <c r="P68">
        <v>28</v>
      </c>
      <c r="Y68">
        <v>1</v>
      </c>
      <c r="AA68">
        <v>1</v>
      </c>
    </row>
    <row r="69" spans="1:29" x14ac:dyDescent="0.75">
      <c r="A69" s="35" t="s">
        <v>389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0</v>
      </c>
      <c r="M69" s="30">
        <v>-7</v>
      </c>
      <c r="N69" s="30">
        <v>-7</v>
      </c>
      <c r="O69" s="50"/>
      <c r="P69">
        <v>22</v>
      </c>
      <c r="Y69">
        <v>2</v>
      </c>
      <c r="AA69">
        <v>1</v>
      </c>
    </row>
    <row r="70" spans="1:29" x14ac:dyDescent="0.75">
      <c r="A70" s="35" t="s">
        <v>388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-3</v>
      </c>
      <c r="I70" s="30">
        <v>-3</v>
      </c>
      <c r="J70" s="30">
        <v>-7</v>
      </c>
      <c r="K70" s="30">
        <v>-7</v>
      </c>
      <c r="L70" s="30">
        <v>-7</v>
      </c>
      <c r="M70" s="30">
        <v>-7</v>
      </c>
      <c r="N70" s="30">
        <v>-7</v>
      </c>
      <c r="O70" s="50"/>
      <c r="AC70">
        <v>66</v>
      </c>
    </row>
    <row r="71" spans="1:29" x14ac:dyDescent="0.75">
      <c r="A71" s="35" t="s">
        <v>387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2</v>
      </c>
      <c r="M71" s="30">
        <v>-7</v>
      </c>
      <c r="N71" s="30">
        <v>-7</v>
      </c>
      <c r="O71" s="50"/>
      <c r="P71">
        <v>18</v>
      </c>
      <c r="Y71">
        <v>1</v>
      </c>
      <c r="AA71">
        <v>1</v>
      </c>
    </row>
    <row r="72" spans="1:29" x14ac:dyDescent="0.75">
      <c r="A72" s="35" t="s">
        <v>386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0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-7</v>
      </c>
      <c r="O72" s="50"/>
      <c r="Q72">
        <v>1</v>
      </c>
      <c r="R72">
        <v>1</v>
      </c>
      <c r="AC72">
        <v>20</v>
      </c>
    </row>
    <row r="73" spans="1:29" x14ac:dyDescent="0.75">
      <c r="A73" s="35" t="s">
        <v>385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0</v>
      </c>
      <c r="M73" s="30">
        <v>-7</v>
      </c>
      <c r="N73" s="30">
        <v>-7</v>
      </c>
      <c r="O73" s="50"/>
      <c r="P73">
        <v>35</v>
      </c>
      <c r="Y73">
        <v>2</v>
      </c>
      <c r="AA73">
        <v>1</v>
      </c>
    </row>
    <row r="74" spans="1:29" x14ac:dyDescent="0.75">
      <c r="A74" s="35" t="s">
        <v>384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2</v>
      </c>
      <c r="M74" s="30">
        <v>-3</v>
      </c>
      <c r="N74" s="30">
        <v>-7</v>
      </c>
      <c r="O74" s="50"/>
      <c r="P74">
        <v>30</v>
      </c>
      <c r="Y74">
        <v>1</v>
      </c>
      <c r="AA74">
        <v>2</v>
      </c>
    </row>
    <row r="75" spans="1:29" x14ac:dyDescent="0.75">
      <c r="A75" s="35" t="s">
        <v>383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0</v>
      </c>
      <c r="M75" s="30">
        <v>-7</v>
      </c>
      <c r="N75" s="30">
        <v>-7</v>
      </c>
      <c r="O75" s="50"/>
      <c r="P75">
        <v>35</v>
      </c>
      <c r="Y75">
        <v>1</v>
      </c>
      <c r="AA75">
        <v>2</v>
      </c>
    </row>
    <row r="76" spans="1:29" x14ac:dyDescent="0.75">
      <c r="A76" s="35" t="s">
        <v>382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0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-7</v>
      </c>
      <c r="O76" s="50"/>
      <c r="AC76">
        <v>10</v>
      </c>
    </row>
    <row r="77" spans="1:29" x14ac:dyDescent="0.75">
      <c r="A77" s="35" t="s">
        <v>381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2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-7</v>
      </c>
      <c r="O77" s="50"/>
      <c r="AC77">
        <v>18</v>
      </c>
    </row>
    <row r="78" spans="1:29" x14ac:dyDescent="0.75">
      <c r="A78" s="35" t="s">
        <v>380</v>
      </c>
      <c r="B78" s="30">
        <v>-7</v>
      </c>
      <c r="C78" s="30">
        <v>-7</v>
      </c>
      <c r="D78" s="30">
        <v>0</v>
      </c>
      <c r="E78" s="30">
        <v>-7</v>
      </c>
      <c r="F78" s="30">
        <v>-7</v>
      </c>
      <c r="G78" s="30">
        <v>-7</v>
      </c>
      <c r="H78" s="30">
        <v>5</v>
      </c>
      <c r="I78" s="30">
        <v>-7</v>
      </c>
      <c r="J78" s="30">
        <v>-7</v>
      </c>
      <c r="K78" s="30">
        <v>-7</v>
      </c>
      <c r="L78" s="30">
        <v>-7</v>
      </c>
      <c r="M78" s="30">
        <v>-7</v>
      </c>
      <c r="N78" s="30">
        <v>-7</v>
      </c>
      <c r="O78" s="50"/>
      <c r="AC78">
        <v>16</v>
      </c>
    </row>
    <row r="79" spans="1:29" x14ac:dyDescent="0.75">
      <c r="A79" s="35" t="s">
        <v>379</v>
      </c>
      <c r="B79" s="30">
        <v>-7</v>
      </c>
      <c r="C79" s="30">
        <v>-7</v>
      </c>
      <c r="D79" s="30">
        <v>-7</v>
      </c>
      <c r="E79" s="30">
        <v>-7</v>
      </c>
      <c r="F79" s="30">
        <v>-7</v>
      </c>
      <c r="G79" s="30">
        <v>-7</v>
      </c>
      <c r="H79" s="30">
        <v>0</v>
      </c>
      <c r="I79" s="30">
        <v>-7</v>
      </c>
      <c r="J79" s="30">
        <v>-7</v>
      </c>
      <c r="K79" s="30">
        <v>-7</v>
      </c>
      <c r="L79" s="30">
        <v>-7</v>
      </c>
      <c r="M79" s="30">
        <v>-7</v>
      </c>
      <c r="N79" s="30">
        <v>-7</v>
      </c>
      <c r="O79" s="50"/>
      <c r="AC79">
        <v>46</v>
      </c>
    </row>
    <row r="80" spans="1:29" x14ac:dyDescent="0.75">
      <c r="A80" s="35" t="s">
        <v>378</v>
      </c>
      <c r="B80" s="30">
        <v>-7</v>
      </c>
      <c r="C80" s="30">
        <v>0</v>
      </c>
      <c r="D80" s="30">
        <v>-7</v>
      </c>
      <c r="E80" s="30">
        <v>-7</v>
      </c>
      <c r="F80" s="30">
        <v>-7</v>
      </c>
      <c r="G80" s="30">
        <v>-7</v>
      </c>
      <c r="H80" s="30">
        <v>-7</v>
      </c>
      <c r="I80" s="30">
        <v>-7</v>
      </c>
      <c r="J80" s="30">
        <v>-7</v>
      </c>
      <c r="K80" s="30">
        <v>5</v>
      </c>
      <c r="L80" s="30">
        <v>-7</v>
      </c>
      <c r="M80" s="30">
        <v>-7</v>
      </c>
      <c r="N80" s="30">
        <v>-7</v>
      </c>
      <c r="O80" s="50"/>
      <c r="T80">
        <v>1</v>
      </c>
      <c r="V80">
        <v>1</v>
      </c>
      <c r="AA80">
        <v>3</v>
      </c>
      <c r="AC80">
        <v>6</v>
      </c>
    </row>
    <row r="81" spans="1:29" x14ac:dyDescent="0.75">
      <c r="A81" s="35" t="s">
        <v>377</v>
      </c>
      <c r="B81" s="30">
        <v>-7</v>
      </c>
      <c r="C81" s="30">
        <v>-7</v>
      </c>
      <c r="D81" s="30">
        <v>-7</v>
      </c>
      <c r="E81" s="30">
        <v>-7</v>
      </c>
      <c r="F81" s="30">
        <v>-7</v>
      </c>
      <c r="G81" s="30">
        <v>-7</v>
      </c>
      <c r="H81" s="30">
        <v>-7</v>
      </c>
      <c r="I81" s="30">
        <v>-7</v>
      </c>
      <c r="J81" s="30">
        <v>-7</v>
      </c>
      <c r="K81" s="30">
        <v>2</v>
      </c>
      <c r="L81" s="30">
        <v>-7</v>
      </c>
      <c r="M81" s="30">
        <v>-7</v>
      </c>
      <c r="N81" s="30">
        <v>-7</v>
      </c>
      <c r="O81" s="50"/>
      <c r="AC81">
        <v>52</v>
      </c>
    </row>
    <row r="82" spans="1:29" x14ac:dyDescent="0.75">
      <c r="A82" s="35" t="s">
        <v>376</v>
      </c>
      <c r="B82" s="30">
        <v>-7</v>
      </c>
      <c r="C82" s="30">
        <v>-7</v>
      </c>
      <c r="D82" s="30">
        <v>-7</v>
      </c>
      <c r="E82" s="30">
        <v>-7</v>
      </c>
      <c r="F82" s="30">
        <v>-7</v>
      </c>
      <c r="G82" s="30">
        <v>-7</v>
      </c>
      <c r="H82" s="30">
        <v>-7</v>
      </c>
      <c r="I82" s="30">
        <v>-7</v>
      </c>
      <c r="J82" s="30">
        <v>-7</v>
      </c>
      <c r="K82" s="30">
        <v>-7</v>
      </c>
      <c r="L82" s="30">
        <v>-7</v>
      </c>
      <c r="M82" s="30">
        <v>0</v>
      </c>
      <c r="N82" s="30">
        <v>-7</v>
      </c>
      <c r="O82" s="50"/>
      <c r="P82">
        <v>15</v>
      </c>
      <c r="Y82">
        <v>1</v>
      </c>
      <c r="AA82">
        <v>1</v>
      </c>
    </row>
    <row r="83" spans="1:29" x14ac:dyDescent="0.75">
      <c r="A83" s="35" t="s">
        <v>375</v>
      </c>
      <c r="B83" s="30">
        <v>-7</v>
      </c>
      <c r="C83" s="30">
        <v>-7</v>
      </c>
      <c r="D83" s="30">
        <v>-7</v>
      </c>
      <c r="E83" s="30">
        <v>-7</v>
      </c>
      <c r="F83" s="30">
        <v>-7</v>
      </c>
      <c r="G83" s="30">
        <v>-7</v>
      </c>
      <c r="H83" s="30">
        <v>-7</v>
      </c>
      <c r="I83" s="30">
        <v>-7</v>
      </c>
      <c r="J83" s="30">
        <v>-7</v>
      </c>
      <c r="K83" s="30">
        <v>-7</v>
      </c>
      <c r="L83" s="30">
        <v>-7</v>
      </c>
      <c r="M83" s="30">
        <v>-7</v>
      </c>
      <c r="N83" s="30">
        <v>-7</v>
      </c>
      <c r="O83" s="50"/>
      <c r="Y83">
        <v>1</v>
      </c>
      <c r="AA83">
        <v>1</v>
      </c>
    </row>
    <row r="84" spans="1:29" x14ac:dyDescent="0.75">
      <c r="A84" s="35" t="s">
        <v>374</v>
      </c>
      <c r="B84" s="30">
        <v>-7</v>
      </c>
      <c r="C84" s="30">
        <v>-7</v>
      </c>
      <c r="D84" s="30">
        <v>-7</v>
      </c>
      <c r="E84" s="30">
        <v>-7</v>
      </c>
      <c r="F84" s="30">
        <v>-7</v>
      </c>
      <c r="G84" s="30">
        <v>-7</v>
      </c>
      <c r="H84" s="30">
        <v>-7</v>
      </c>
      <c r="I84" s="30">
        <v>-7</v>
      </c>
      <c r="J84" s="30">
        <v>-7</v>
      </c>
      <c r="K84" s="30">
        <v>5</v>
      </c>
      <c r="L84" s="30">
        <v>-7</v>
      </c>
      <c r="M84" s="30">
        <v>-7</v>
      </c>
      <c r="N84" s="30">
        <v>-7</v>
      </c>
      <c r="O84" s="50"/>
      <c r="AC84">
        <v>15</v>
      </c>
    </row>
    <row r="85" spans="1:29" x14ac:dyDescent="0.75">
      <c r="A85" s="35" t="s">
        <v>373</v>
      </c>
      <c r="B85" s="30">
        <v>-7</v>
      </c>
      <c r="C85" s="30">
        <v>-7</v>
      </c>
      <c r="D85" s="30">
        <v>-7</v>
      </c>
      <c r="E85" s="30">
        <v>-7</v>
      </c>
      <c r="F85" s="30">
        <v>-7</v>
      </c>
      <c r="G85" s="30">
        <v>-7</v>
      </c>
      <c r="H85" s="30">
        <v>2</v>
      </c>
      <c r="I85" s="30">
        <v>-7</v>
      </c>
      <c r="J85" s="30">
        <v>-7</v>
      </c>
      <c r="K85" s="30">
        <v>-7</v>
      </c>
      <c r="L85" s="30">
        <v>-7</v>
      </c>
      <c r="M85" s="30">
        <v>-7</v>
      </c>
      <c r="N85" s="30">
        <v>-7</v>
      </c>
      <c r="O85" s="50"/>
      <c r="AC85">
        <v>16</v>
      </c>
    </row>
    <row r="86" spans="1:29" x14ac:dyDescent="0.75">
      <c r="A86" s="35" t="s">
        <v>372</v>
      </c>
      <c r="B86" s="30">
        <v>-7</v>
      </c>
      <c r="C86" s="30">
        <v>-7</v>
      </c>
      <c r="D86" s="30">
        <v>-7</v>
      </c>
      <c r="E86" s="30">
        <v>-7</v>
      </c>
      <c r="F86" s="30">
        <v>-7</v>
      </c>
      <c r="G86" s="30">
        <v>-7</v>
      </c>
      <c r="H86" s="30">
        <v>0</v>
      </c>
      <c r="I86" s="30">
        <v>0</v>
      </c>
      <c r="J86" s="30">
        <v>-7</v>
      </c>
      <c r="K86" s="30">
        <v>-7</v>
      </c>
      <c r="L86" s="30">
        <v>-7</v>
      </c>
      <c r="M86" s="30">
        <v>-7</v>
      </c>
      <c r="N86" s="30">
        <v>-7</v>
      </c>
      <c r="O86" s="50"/>
      <c r="AC86">
        <v>32</v>
      </c>
    </row>
    <row r="87" spans="1:29" x14ac:dyDescent="0.75">
      <c r="A87" s="35" t="s">
        <v>371</v>
      </c>
      <c r="B87" s="30">
        <v>-7</v>
      </c>
      <c r="C87" s="30">
        <v>-7</v>
      </c>
      <c r="D87" s="30">
        <v>-7</v>
      </c>
      <c r="E87" s="30">
        <v>-7</v>
      </c>
      <c r="F87" s="30">
        <v>-7</v>
      </c>
      <c r="G87" s="30">
        <v>-7</v>
      </c>
      <c r="H87" s="30">
        <v>-7</v>
      </c>
      <c r="I87" s="30">
        <v>-7</v>
      </c>
      <c r="J87" s="30">
        <v>-7</v>
      </c>
      <c r="K87" s="30">
        <v>5</v>
      </c>
      <c r="L87" s="30">
        <v>-7</v>
      </c>
      <c r="M87" s="30">
        <v>-7</v>
      </c>
      <c r="N87" s="30">
        <v>-7</v>
      </c>
      <c r="O87" s="50"/>
      <c r="AC87">
        <v>72</v>
      </c>
    </row>
    <row r="88" spans="1:29" x14ac:dyDescent="0.75">
      <c r="A88" s="35" t="s">
        <v>370</v>
      </c>
      <c r="B88" s="30">
        <v>-7</v>
      </c>
      <c r="C88" s="30">
        <v>-7</v>
      </c>
      <c r="D88" s="30">
        <v>-7</v>
      </c>
      <c r="E88" s="30">
        <v>-7</v>
      </c>
      <c r="F88" s="30">
        <v>-7</v>
      </c>
      <c r="G88" s="30">
        <v>-7</v>
      </c>
      <c r="H88" s="30">
        <v>-7</v>
      </c>
      <c r="I88" s="30">
        <v>-7</v>
      </c>
      <c r="J88" s="30">
        <v>-7</v>
      </c>
      <c r="K88" s="30">
        <v>-7</v>
      </c>
      <c r="L88" s="30">
        <v>-7</v>
      </c>
      <c r="M88" s="30">
        <v>-3</v>
      </c>
      <c r="N88" s="30">
        <v>-7</v>
      </c>
      <c r="O88" s="50"/>
      <c r="P88">
        <v>24</v>
      </c>
      <c r="Y88">
        <v>1</v>
      </c>
      <c r="AA88">
        <v>1</v>
      </c>
    </row>
    <row r="89" spans="1:29" x14ac:dyDescent="0.75">
      <c r="A89" s="35" t="s">
        <v>369</v>
      </c>
      <c r="B89" s="30">
        <v>-7</v>
      </c>
      <c r="C89" s="30">
        <v>-7</v>
      </c>
      <c r="D89" s="30">
        <v>-7</v>
      </c>
      <c r="E89" s="30">
        <v>-7</v>
      </c>
      <c r="F89" s="30">
        <v>-7</v>
      </c>
      <c r="G89" s="30">
        <v>-7</v>
      </c>
      <c r="H89" s="30">
        <v>-7</v>
      </c>
      <c r="I89" s="30">
        <v>-7</v>
      </c>
      <c r="J89" s="30">
        <v>-7</v>
      </c>
      <c r="K89" s="30">
        <v>-7</v>
      </c>
      <c r="L89" s="30">
        <v>-7</v>
      </c>
      <c r="M89" s="30">
        <v>-7</v>
      </c>
      <c r="N89" s="30">
        <v>-7</v>
      </c>
      <c r="O89" s="50"/>
      <c r="P89">
        <v>45</v>
      </c>
      <c r="Y89">
        <v>1</v>
      </c>
      <c r="AA89">
        <v>1</v>
      </c>
    </row>
    <row r="90" spans="1:29" x14ac:dyDescent="0.75">
      <c r="A90" s="35" t="s">
        <v>368</v>
      </c>
      <c r="B90" s="30">
        <v>-7</v>
      </c>
      <c r="C90" s="30">
        <v>-7</v>
      </c>
      <c r="D90" s="30">
        <v>-7</v>
      </c>
      <c r="E90" s="30">
        <v>-7</v>
      </c>
      <c r="F90" s="30">
        <v>-7</v>
      </c>
      <c r="G90" s="30">
        <v>-7</v>
      </c>
      <c r="H90" s="30">
        <v>0</v>
      </c>
      <c r="I90" s="30">
        <v>-7</v>
      </c>
      <c r="J90" s="30">
        <v>-7</v>
      </c>
      <c r="K90" s="30">
        <v>-7</v>
      </c>
      <c r="L90" s="30">
        <v>-7</v>
      </c>
      <c r="M90" s="30">
        <v>-7</v>
      </c>
      <c r="N90" s="30">
        <v>-7</v>
      </c>
      <c r="O90" s="50"/>
      <c r="AC90">
        <v>4</v>
      </c>
    </row>
    <row r="91" spans="1:29" x14ac:dyDescent="0.75">
      <c r="A91" s="35" t="s">
        <v>367</v>
      </c>
      <c r="B91" s="30">
        <v>-7</v>
      </c>
      <c r="C91" s="30">
        <v>-7</v>
      </c>
      <c r="D91" s="30">
        <v>-7</v>
      </c>
      <c r="E91" s="30">
        <v>-7</v>
      </c>
      <c r="F91" s="30">
        <v>-7</v>
      </c>
      <c r="G91" s="30">
        <v>-7</v>
      </c>
      <c r="H91" s="30">
        <v>-3</v>
      </c>
      <c r="I91" s="30">
        <v>-7</v>
      </c>
      <c r="J91" s="30">
        <v>-7</v>
      </c>
      <c r="K91" s="30">
        <v>-7</v>
      </c>
      <c r="L91" s="30">
        <v>-7</v>
      </c>
      <c r="M91" s="30">
        <v>-7</v>
      </c>
      <c r="N91" s="30">
        <v>-7</v>
      </c>
      <c r="O91" s="50"/>
      <c r="R91">
        <v>1</v>
      </c>
    </row>
    <row r="92" spans="1:29" x14ac:dyDescent="0.75">
      <c r="A92" s="35" t="s">
        <v>366</v>
      </c>
      <c r="B92" s="30">
        <v>-7</v>
      </c>
      <c r="C92" s="30">
        <v>-7</v>
      </c>
      <c r="D92" s="30">
        <v>-7</v>
      </c>
      <c r="E92" s="30">
        <v>-7</v>
      </c>
      <c r="F92" s="30">
        <v>-7</v>
      </c>
      <c r="G92" s="30">
        <v>-7</v>
      </c>
      <c r="H92" s="30">
        <v>-7</v>
      </c>
      <c r="I92" s="30">
        <v>-7</v>
      </c>
      <c r="J92" s="30">
        <v>-7</v>
      </c>
      <c r="K92" s="30">
        <v>-7</v>
      </c>
      <c r="L92" s="30">
        <v>-7</v>
      </c>
      <c r="M92" s="30">
        <v>-7</v>
      </c>
      <c r="N92" s="30">
        <v>-7</v>
      </c>
      <c r="O92" s="50"/>
      <c r="P92">
        <v>20</v>
      </c>
      <c r="R92">
        <v>1</v>
      </c>
    </row>
    <row r="93" spans="1:29" x14ac:dyDescent="0.75">
      <c r="A93" s="35" t="s">
        <v>365</v>
      </c>
      <c r="B93" s="30">
        <v>-7</v>
      </c>
      <c r="C93" s="30">
        <v>-7</v>
      </c>
      <c r="D93" s="30">
        <v>-7</v>
      </c>
      <c r="E93" s="30">
        <v>-7</v>
      </c>
      <c r="F93" s="30">
        <v>-7</v>
      </c>
      <c r="G93" s="30">
        <v>-7</v>
      </c>
      <c r="H93" s="30">
        <v>-7</v>
      </c>
      <c r="I93" s="30">
        <v>-7</v>
      </c>
      <c r="J93" s="30">
        <v>-7</v>
      </c>
      <c r="K93" s="30">
        <v>-7</v>
      </c>
      <c r="L93" s="30">
        <v>-7</v>
      </c>
      <c r="M93" s="30">
        <v>-7</v>
      </c>
      <c r="N93" s="30">
        <v>-7</v>
      </c>
      <c r="O93" s="50"/>
      <c r="P93">
        <v>40</v>
      </c>
      <c r="R93">
        <v>1</v>
      </c>
    </row>
    <row r="94" spans="1:29" x14ac:dyDescent="0.75">
      <c r="A94" s="35" t="s">
        <v>364</v>
      </c>
      <c r="B94" s="30">
        <v>-7</v>
      </c>
      <c r="C94" s="30">
        <v>-7</v>
      </c>
      <c r="D94" s="30">
        <v>-7</v>
      </c>
      <c r="E94" s="30">
        <v>-7</v>
      </c>
      <c r="F94" s="30">
        <v>-7</v>
      </c>
      <c r="G94" s="30">
        <v>-3</v>
      </c>
      <c r="H94" s="30">
        <v>-7</v>
      </c>
      <c r="I94" s="30">
        <v>-7</v>
      </c>
      <c r="J94" s="30">
        <v>-7</v>
      </c>
      <c r="K94" s="30">
        <v>-7</v>
      </c>
      <c r="L94" s="30">
        <v>2</v>
      </c>
      <c r="M94" s="30">
        <v>-7</v>
      </c>
      <c r="N94" s="30">
        <v>-7</v>
      </c>
      <c r="O94" s="50"/>
      <c r="P94">
        <v>25</v>
      </c>
      <c r="R94">
        <v>1</v>
      </c>
      <c r="Y94">
        <v>2</v>
      </c>
      <c r="AA94">
        <v>1</v>
      </c>
    </row>
    <row r="95" spans="1:29" x14ac:dyDescent="0.75">
      <c r="A95" s="35" t="s">
        <v>363</v>
      </c>
      <c r="B95" s="30">
        <v>-7</v>
      </c>
      <c r="C95" s="30">
        <v>-7</v>
      </c>
      <c r="D95" s="30">
        <v>-7</v>
      </c>
      <c r="E95" s="30">
        <v>-7</v>
      </c>
      <c r="F95" s="30">
        <v>-7</v>
      </c>
      <c r="G95" s="30">
        <v>-7</v>
      </c>
      <c r="H95" s="30">
        <v>-7</v>
      </c>
      <c r="I95" s="30">
        <v>-7</v>
      </c>
      <c r="J95" s="30">
        <v>-7</v>
      </c>
      <c r="K95" s="30">
        <v>-7</v>
      </c>
      <c r="L95" s="30">
        <v>2</v>
      </c>
      <c r="M95" s="30">
        <v>-7</v>
      </c>
      <c r="N95" s="30">
        <v>-7</v>
      </c>
      <c r="O95" s="50"/>
      <c r="P95">
        <v>23</v>
      </c>
      <c r="R95">
        <v>1</v>
      </c>
      <c r="Y95">
        <v>2</v>
      </c>
      <c r="AA95">
        <v>1</v>
      </c>
    </row>
    <row r="96" spans="1:29" x14ac:dyDescent="0.75">
      <c r="A96" s="35" t="s">
        <v>362</v>
      </c>
      <c r="B96" s="30">
        <v>-7</v>
      </c>
      <c r="C96" s="30">
        <v>-3</v>
      </c>
      <c r="D96" s="30">
        <v>-7</v>
      </c>
      <c r="E96" s="30">
        <v>-7</v>
      </c>
      <c r="F96" s="30">
        <v>-7</v>
      </c>
      <c r="G96" s="30">
        <v>-7</v>
      </c>
      <c r="H96" s="30">
        <v>-7</v>
      </c>
      <c r="I96" s="30">
        <v>-7</v>
      </c>
      <c r="J96" s="30">
        <v>-7</v>
      </c>
      <c r="K96" s="30">
        <v>2</v>
      </c>
      <c r="L96" s="30">
        <v>-7</v>
      </c>
      <c r="M96" s="30">
        <v>-7</v>
      </c>
      <c r="N96" s="30">
        <v>-7</v>
      </c>
      <c r="O96" s="50"/>
      <c r="R96">
        <v>1</v>
      </c>
      <c r="AC96">
        <v>38</v>
      </c>
    </row>
    <row r="97" spans="1:29" x14ac:dyDescent="0.75">
      <c r="A97" s="35" t="s">
        <v>361</v>
      </c>
      <c r="B97" s="30">
        <v>-7</v>
      </c>
      <c r="C97" s="30">
        <v>-7</v>
      </c>
      <c r="D97" s="30">
        <v>-7</v>
      </c>
      <c r="E97" s="30">
        <v>-7</v>
      </c>
      <c r="F97" s="30">
        <v>-7</v>
      </c>
      <c r="G97" s="30">
        <v>-7</v>
      </c>
      <c r="H97" s="30">
        <v>-7</v>
      </c>
      <c r="I97" s="30">
        <v>-7</v>
      </c>
      <c r="J97" s="30">
        <v>-7</v>
      </c>
      <c r="K97" s="30">
        <v>-7</v>
      </c>
      <c r="L97" s="30">
        <v>-7</v>
      </c>
      <c r="M97" s="30">
        <v>-3</v>
      </c>
      <c r="N97" s="30">
        <v>-7</v>
      </c>
      <c r="O97" s="50"/>
      <c r="P97">
        <v>13</v>
      </c>
      <c r="R97">
        <v>1</v>
      </c>
      <c r="AA97">
        <v>2</v>
      </c>
    </row>
    <row r="98" spans="1:29" x14ac:dyDescent="0.75">
      <c r="A98" s="35" t="s">
        <v>360</v>
      </c>
      <c r="B98" s="30">
        <v>-7</v>
      </c>
      <c r="C98" s="30">
        <v>-7</v>
      </c>
      <c r="D98" s="30">
        <v>-7</v>
      </c>
      <c r="E98" s="30">
        <v>-7</v>
      </c>
      <c r="F98" s="30">
        <v>-7</v>
      </c>
      <c r="G98" s="30">
        <v>-7</v>
      </c>
      <c r="H98" s="30">
        <v>-7</v>
      </c>
      <c r="I98" s="30">
        <v>-7</v>
      </c>
      <c r="J98" s="30">
        <v>-7</v>
      </c>
      <c r="K98" s="30">
        <v>4</v>
      </c>
      <c r="L98" s="30">
        <v>-7</v>
      </c>
      <c r="M98" s="30">
        <v>-7</v>
      </c>
      <c r="N98" s="30">
        <v>-7</v>
      </c>
      <c r="O98" s="50"/>
      <c r="R98">
        <v>1</v>
      </c>
      <c r="AC98">
        <v>28</v>
      </c>
    </row>
    <row r="99" spans="1:29" x14ac:dyDescent="0.75">
      <c r="A99" s="35" t="s">
        <v>359</v>
      </c>
      <c r="B99" s="30">
        <v>-7</v>
      </c>
      <c r="C99" s="30">
        <v>-7</v>
      </c>
      <c r="D99" s="30">
        <v>-7</v>
      </c>
      <c r="E99" s="30">
        <v>-7</v>
      </c>
      <c r="F99" s="30">
        <v>-7</v>
      </c>
      <c r="G99" s="30">
        <v>-7</v>
      </c>
      <c r="H99" s="30">
        <v>-7</v>
      </c>
      <c r="I99" s="30">
        <v>-7</v>
      </c>
      <c r="J99" s="30">
        <v>-7</v>
      </c>
      <c r="K99" s="30">
        <v>-7</v>
      </c>
      <c r="L99" s="30">
        <v>-7</v>
      </c>
      <c r="M99" s="30">
        <v>2</v>
      </c>
      <c r="N99" s="30">
        <v>-7</v>
      </c>
      <c r="O99" s="50"/>
      <c r="R99">
        <v>1</v>
      </c>
      <c r="Y99">
        <v>2</v>
      </c>
      <c r="AA99">
        <v>1</v>
      </c>
      <c r="AB99">
        <v>34</v>
      </c>
    </row>
    <row r="100" spans="1:29" x14ac:dyDescent="0.75">
      <c r="A100" s="35" t="s">
        <v>358</v>
      </c>
      <c r="B100" s="30">
        <v>-7</v>
      </c>
      <c r="C100" s="30">
        <v>-7</v>
      </c>
      <c r="D100" s="30">
        <v>-3</v>
      </c>
      <c r="E100" s="30">
        <v>-7</v>
      </c>
      <c r="F100" s="30">
        <v>-7</v>
      </c>
      <c r="G100" s="30">
        <v>-7</v>
      </c>
      <c r="H100" s="30">
        <v>0</v>
      </c>
      <c r="I100" s="30">
        <v>-3</v>
      </c>
      <c r="J100" s="30">
        <v>-7</v>
      </c>
      <c r="K100" s="30">
        <v>-7</v>
      </c>
      <c r="L100" s="30">
        <v>-7</v>
      </c>
      <c r="M100" s="30">
        <v>-7</v>
      </c>
      <c r="N100" s="30">
        <v>-7</v>
      </c>
      <c r="O100" s="50"/>
      <c r="R100">
        <v>1</v>
      </c>
      <c r="AC100">
        <v>56</v>
      </c>
    </row>
    <row r="101" spans="1:29" x14ac:dyDescent="0.75">
      <c r="A101" s="35" t="s">
        <v>357</v>
      </c>
      <c r="B101" s="30">
        <v>-7</v>
      </c>
      <c r="C101" s="30">
        <v>-7</v>
      </c>
      <c r="D101" s="30">
        <v>-7</v>
      </c>
      <c r="E101" s="30">
        <v>-7</v>
      </c>
      <c r="F101" s="30">
        <v>-7</v>
      </c>
      <c r="G101" s="30">
        <v>-7</v>
      </c>
      <c r="H101" s="30">
        <v>0</v>
      </c>
      <c r="I101" s="30">
        <v>0</v>
      </c>
      <c r="J101" s="30">
        <v>-7</v>
      </c>
      <c r="K101" s="30">
        <v>-7</v>
      </c>
      <c r="L101" s="30">
        <v>-7</v>
      </c>
      <c r="M101" s="30">
        <v>-7</v>
      </c>
      <c r="N101" s="30">
        <v>-7</v>
      </c>
      <c r="O101" s="50"/>
      <c r="R101">
        <v>1</v>
      </c>
      <c r="AC101">
        <v>8</v>
      </c>
    </row>
    <row r="102" spans="1:29" x14ac:dyDescent="0.75">
      <c r="A102" s="35" t="s">
        <v>356</v>
      </c>
      <c r="B102" s="30">
        <v>-7</v>
      </c>
      <c r="C102" s="30">
        <v>-7</v>
      </c>
      <c r="D102" s="30">
        <v>-7</v>
      </c>
      <c r="E102" s="30">
        <v>-7</v>
      </c>
      <c r="F102" s="30">
        <v>-7</v>
      </c>
      <c r="G102" s="30">
        <v>-7</v>
      </c>
      <c r="H102" s="30">
        <v>2</v>
      </c>
      <c r="I102" s="30">
        <v>-7</v>
      </c>
      <c r="J102" s="30">
        <v>-7</v>
      </c>
      <c r="K102" s="30">
        <v>4</v>
      </c>
      <c r="L102" s="30">
        <v>-7</v>
      </c>
      <c r="M102" s="30">
        <v>-7</v>
      </c>
      <c r="N102" s="30">
        <v>-7</v>
      </c>
      <c r="O102" s="50"/>
      <c r="R102">
        <v>1</v>
      </c>
      <c r="AC102">
        <v>25</v>
      </c>
    </row>
    <row r="103" spans="1:29" x14ac:dyDescent="0.75">
      <c r="A103" s="35" t="s">
        <v>355</v>
      </c>
      <c r="B103" s="30">
        <v>-7</v>
      </c>
      <c r="C103" s="30">
        <v>-7</v>
      </c>
      <c r="D103" s="30">
        <v>-7</v>
      </c>
      <c r="E103" s="30">
        <v>-7</v>
      </c>
      <c r="F103" s="30">
        <v>-7</v>
      </c>
      <c r="G103" s="30">
        <v>-7</v>
      </c>
      <c r="H103" s="30">
        <v>-7</v>
      </c>
      <c r="I103" s="30">
        <v>-7</v>
      </c>
      <c r="J103" s="30">
        <v>-7</v>
      </c>
      <c r="K103" s="30">
        <v>-7</v>
      </c>
      <c r="L103" s="30">
        <v>0</v>
      </c>
      <c r="M103" s="30">
        <v>-7</v>
      </c>
      <c r="N103" s="30">
        <v>-7</v>
      </c>
      <c r="O103" s="50"/>
      <c r="P103">
        <v>8</v>
      </c>
      <c r="T103">
        <v>1</v>
      </c>
      <c r="Y103">
        <v>2</v>
      </c>
      <c r="AA103">
        <v>1</v>
      </c>
    </row>
    <row r="104" spans="1:29" x14ac:dyDescent="0.75">
      <c r="A104" s="35" t="s">
        <v>354</v>
      </c>
      <c r="B104" s="30">
        <v>-7</v>
      </c>
      <c r="C104" s="30">
        <v>-7</v>
      </c>
      <c r="D104" s="30">
        <v>-7</v>
      </c>
      <c r="E104" s="30">
        <v>-7</v>
      </c>
      <c r="F104" s="30">
        <v>-7</v>
      </c>
      <c r="G104" s="30">
        <v>-7</v>
      </c>
      <c r="H104" s="30">
        <v>-7</v>
      </c>
      <c r="I104" s="30">
        <v>-7</v>
      </c>
      <c r="J104" s="30">
        <v>-7</v>
      </c>
      <c r="K104" s="30">
        <v>-7</v>
      </c>
      <c r="L104" s="30">
        <v>-7</v>
      </c>
      <c r="M104" s="30">
        <v>5</v>
      </c>
      <c r="N104" s="30">
        <v>-7</v>
      </c>
      <c r="O104" s="50"/>
      <c r="Q104">
        <v>1</v>
      </c>
      <c r="Y104">
        <v>2</v>
      </c>
      <c r="AA104">
        <v>1</v>
      </c>
      <c r="AB104">
        <v>5</v>
      </c>
    </row>
    <row r="105" spans="1:29" x14ac:dyDescent="0.75">
      <c r="A105" s="35" t="s">
        <v>353</v>
      </c>
      <c r="B105" s="30">
        <v>-7</v>
      </c>
      <c r="C105" s="30">
        <v>-7</v>
      </c>
      <c r="D105" s="30">
        <v>-7</v>
      </c>
      <c r="E105" s="30">
        <v>-7</v>
      </c>
      <c r="F105" s="30">
        <v>-7</v>
      </c>
      <c r="G105" s="30">
        <v>-7</v>
      </c>
      <c r="H105" s="30">
        <v>-7</v>
      </c>
      <c r="I105" s="30">
        <v>-7</v>
      </c>
      <c r="J105" s="30">
        <v>-7</v>
      </c>
      <c r="K105" s="30">
        <v>-7</v>
      </c>
      <c r="L105" s="30">
        <v>-7</v>
      </c>
      <c r="M105" s="30">
        <v>2</v>
      </c>
      <c r="N105" s="30">
        <v>-7</v>
      </c>
      <c r="O105" s="50"/>
      <c r="P105">
        <v>14</v>
      </c>
      <c r="Q105">
        <v>1</v>
      </c>
      <c r="Y105">
        <v>1</v>
      </c>
      <c r="AA105">
        <v>1</v>
      </c>
    </row>
    <row r="106" spans="1:29" x14ac:dyDescent="0.75">
      <c r="A106" s="35" t="s">
        <v>352</v>
      </c>
      <c r="B106" s="30">
        <v>-7</v>
      </c>
      <c r="C106" s="30">
        <v>-7</v>
      </c>
      <c r="D106" s="30">
        <v>-7</v>
      </c>
      <c r="E106" s="30">
        <v>-7</v>
      </c>
      <c r="F106" s="30">
        <v>-7</v>
      </c>
      <c r="G106" s="30">
        <v>-7</v>
      </c>
      <c r="H106" s="30">
        <v>-7</v>
      </c>
      <c r="I106" s="30">
        <v>-7</v>
      </c>
      <c r="J106" s="30">
        <v>-7</v>
      </c>
      <c r="K106" s="30">
        <v>-7</v>
      </c>
      <c r="L106" s="30">
        <v>-7</v>
      </c>
      <c r="M106" s="30">
        <v>0</v>
      </c>
      <c r="N106" s="30">
        <v>-7</v>
      </c>
      <c r="O106" s="50"/>
      <c r="P106">
        <v>28</v>
      </c>
      <c r="Q106">
        <v>1</v>
      </c>
      <c r="Y106">
        <v>1</v>
      </c>
      <c r="AA106">
        <v>2</v>
      </c>
    </row>
    <row r="107" spans="1:29" x14ac:dyDescent="0.75">
      <c r="A107" s="35" t="s">
        <v>351</v>
      </c>
      <c r="B107" s="30">
        <v>-7</v>
      </c>
      <c r="C107" s="30">
        <v>-7</v>
      </c>
      <c r="D107" s="30">
        <v>-7</v>
      </c>
      <c r="E107" s="30">
        <v>-7</v>
      </c>
      <c r="F107" s="30">
        <v>-7</v>
      </c>
      <c r="G107" s="30">
        <v>-7</v>
      </c>
      <c r="H107" s="30">
        <v>-7</v>
      </c>
      <c r="I107" s="30">
        <v>-7</v>
      </c>
      <c r="J107" s="30">
        <v>-7</v>
      </c>
      <c r="K107" s="30">
        <v>-7</v>
      </c>
      <c r="L107" s="30">
        <v>-7</v>
      </c>
      <c r="M107" s="30">
        <v>5</v>
      </c>
      <c r="N107" s="30">
        <v>-7</v>
      </c>
      <c r="O107" s="50"/>
      <c r="P107">
        <v>6</v>
      </c>
      <c r="U107">
        <v>1</v>
      </c>
      <c r="Y107">
        <v>2</v>
      </c>
      <c r="AA107">
        <v>1</v>
      </c>
    </row>
    <row r="108" spans="1:29" x14ac:dyDescent="0.75">
      <c r="A108" s="35" t="s">
        <v>350</v>
      </c>
      <c r="B108" s="30">
        <v>-7</v>
      </c>
      <c r="C108" s="30">
        <v>-7</v>
      </c>
      <c r="D108" s="30">
        <v>-7</v>
      </c>
      <c r="E108" s="30">
        <v>-7</v>
      </c>
      <c r="F108" s="30">
        <v>-7</v>
      </c>
      <c r="G108" s="30">
        <v>-7</v>
      </c>
      <c r="H108" s="30">
        <v>-7</v>
      </c>
      <c r="I108" s="30">
        <v>-7</v>
      </c>
      <c r="J108" s="30">
        <v>-7</v>
      </c>
      <c r="K108" s="30">
        <v>-7</v>
      </c>
      <c r="L108" s="30">
        <v>-7</v>
      </c>
      <c r="M108" s="30">
        <v>2</v>
      </c>
      <c r="N108" s="30">
        <v>-7</v>
      </c>
      <c r="O108" s="50"/>
      <c r="P108">
        <v>19</v>
      </c>
      <c r="U108">
        <v>1</v>
      </c>
      <c r="Y108">
        <v>2</v>
      </c>
      <c r="AA108">
        <v>1</v>
      </c>
    </row>
    <row r="109" spans="1:29" x14ac:dyDescent="0.75">
      <c r="A109" s="35" t="s">
        <v>349</v>
      </c>
      <c r="B109" s="30">
        <v>-7</v>
      </c>
      <c r="C109" s="30">
        <v>-7</v>
      </c>
      <c r="D109" s="30">
        <v>-7</v>
      </c>
      <c r="E109" s="30">
        <v>-7</v>
      </c>
      <c r="F109" s="30">
        <v>-7</v>
      </c>
      <c r="G109" s="30">
        <v>-7</v>
      </c>
      <c r="H109" s="30">
        <v>-7</v>
      </c>
      <c r="I109" s="30">
        <v>-7</v>
      </c>
      <c r="J109" s="30">
        <v>-7</v>
      </c>
      <c r="K109" s="30">
        <v>-7</v>
      </c>
      <c r="L109" s="30">
        <v>-7</v>
      </c>
      <c r="M109" s="30">
        <v>-7</v>
      </c>
      <c r="N109" s="30">
        <v>-7</v>
      </c>
      <c r="O109" s="50"/>
      <c r="P109">
        <v>100</v>
      </c>
      <c r="U109">
        <v>1</v>
      </c>
      <c r="Y109">
        <v>1</v>
      </c>
      <c r="AA109">
        <v>1</v>
      </c>
    </row>
    <row r="110" spans="1:29" x14ac:dyDescent="0.75">
      <c r="A110" s="35" t="s">
        <v>348</v>
      </c>
      <c r="B110" s="30">
        <v>-7</v>
      </c>
      <c r="C110" s="30">
        <v>-7</v>
      </c>
      <c r="D110" s="30">
        <v>-7</v>
      </c>
      <c r="E110" s="30">
        <v>-7</v>
      </c>
      <c r="F110" s="30">
        <v>-7</v>
      </c>
      <c r="G110" s="30">
        <v>-7</v>
      </c>
      <c r="H110" s="30">
        <v>-7</v>
      </c>
      <c r="I110" s="30">
        <v>-7</v>
      </c>
      <c r="J110" s="30">
        <v>-7</v>
      </c>
      <c r="K110" s="30">
        <v>-7</v>
      </c>
      <c r="L110" s="30">
        <v>-7</v>
      </c>
      <c r="M110" s="30">
        <v>5</v>
      </c>
      <c r="N110" s="30">
        <v>-7</v>
      </c>
      <c r="O110" s="50"/>
      <c r="S110">
        <v>1</v>
      </c>
      <c r="Y110">
        <v>1</v>
      </c>
      <c r="AA110">
        <v>2</v>
      </c>
      <c r="AB110">
        <v>5</v>
      </c>
    </row>
    <row r="111" spans="1:29" x14ac:dyDescent="0.75">
      <c r="A111" s="35" t="s">
        <v>347</v>
      </c>
      <c r="B111" s="30">
        <v>-7</v>
      </c>
      <c r="C111" s="30">
        <v>-7</v>
      </c>
      <c r="D111" s="30">
        <v>-7</v>
      </c>
      <c r="E111" s="30">
        <v>-7</v>
      </c>
      <c r="F111" s="30">
        <v>-7</v>
      </c>
      <c r="G111" s="30">
        <v>-7</v>
      </c>
      <c r="H111" s="30">
        <v>-7</v>
      </c>
      <c r="I111" s="30">
        <v>-7</v>
      </c>
      <c r="J111" s="30">
        <v>-7</v>
      </c>
      <c r="K111" s="30">
        <v>-7</v>
      </c>
      <c r="L111" s="30">
        <v>-7</v>
      </c>
      <c r="M111" s="30">
        <v>2</v>
      </c>
      <c r="N111" s="30">
        <v>-7</v>
      </c>
      <c r="O111" s="50"/>
      <c r="P111">
        <v>16</v>
      </c>
      <c r="S111">
        <v>1</v>
      </c>
      <c r="Y111">
        <v>2</v>
      </c>
      <c r="AA111">
        <v>1</v>
      </c>
    </row>
    <row r="112" spans="1:29" x14ac:dyDescent="0.75">
      <c r="A112" s="35" t="s">
        <v>346</v>
      </c>
      <c r="B112" s="30">
        <v>-7</v>
      </c>
      <c r="C112" s="30">
        <v>-7</v>
      </c>
      <c r="D112" s="30">
        <v>-7</v>
      </c>
      <c r="E112" s="30">
        <v>-7</v>
      </c>
      <c r="F112" s="30">
        <v>-7</v>
      </c>
      <c r="G112" s="30">
        <v>-7</v>
      </c>
      <c r="H112" s="30">
        <v>-7</v>
      </c>
      <c r="I112" s="30">
        <v>-7</v>
      </c>
      <c r="J112" s="30">
        <v>-7</v>
      </c>
      <c r="K112" s="30">
        <v>-7</v>
      </c>
      <c r="L112" s="30">
        <v>-7</v>
      </c>
      <c r="M112" s="30">
        <v>0</v>
      </c>
      <c r="N112" s="30">
        <v>-7</v>
      </c>
      <c r="O112" s="50"/>
      <c r="P112">
        <v>30</v>
      </c>
      <c r="S112">
        <v>1</v>
      </c>
      <c r="Y112">
        <v>1</v>
      </c>
      <c r="AA112">
        <v>1</v>
      </c>
    </row>
    <row r="113" spans="1:29" x14ac:dyDescent="0.75">
      <c r="A113" s="35" t="s">
        <v>345</v>
      </c>
      <c r="B113" s="30">
        <v>-7</v>
      </c>
      <c r="C113" s="30">
        <v>-7</v>
      </c>
      <c r="D113" s="30">
        <v>-7</v>
      </c>
      <c r="E113" s="30">
        <v>-7</v>
      </c>
      <c r="F113" s="30">
        <v>-7</v>
      </c>
      <c r="G113" s="30">
        <v>-7</v>
      </c>
      <c r="H113" s="30">
        <v>-7</v>
      </c>
      <c r="I113" s="30">
        <v>-7</v>
      </c>
      <c r="J113" s="30">
        <v>-7</v>
      </c>
      <c r="K113" s="30">
        <v>5</v>
      </c>
      <c r="L113" s="30">
        <v>-7</v>
      </c>
      <c r="M113" s="30">
        <v>-7</v>
      </c>
      <c r="N113" s="30">
        <v>-7</v>
      </c>
      <c r="O113" s="50"/>
      <c r="T113">
        <v>1</v>
      </c>
      <c r="AC113">
        <v>5</v>
      </c>
    </row>
    <row r="114" spans="1:29" x14ac:dyDescent="0.75">
      <c r="A114" s="35" t="s">
        <v>344</v>
      </c>
      <c r="B114" s="30">
        <v>-7</v>
      </c>
      <c r="C114" s="30">
        <v>-7</v>
      </c>
      <c r="D114" s="30">
        <v>-7</v>
      </c>
      <c r="E114" s="30">
        <v>-7</v>
      </c>
      <c r="F114" s="30">
        <v>-7</v>
      </c>
      <c r="G114" s="30">
        <v>-7</v>
      </c>
      <c r="H114" s="30">
        <v>-7</v>
      </c>
      <c r="I114" s="30">
        <v>-7</v>
      </c>
      <c r="J114" s="30">
        <v>-7</v>
      </c>
      <c r="K114" s="30">
        <v>2</v>
      </c>
      <c r="L114" s="30">
        <v>-7</v>
      </c>
      <c r="M114" s="30">
        <v>-7</v>
      </c>
      <c r="N114" s="30">
        <v>-7</v>
      </c>
      <c r="O114" s="50"/>
      <c r="P114">
        <v>16</v>
      </c>
      <c r="T114">
        <v>1</v>
      </c>
    </row>
    <row r="115" spans="1:29" x14ac:dyDescent="0.75">
      <c r="A115" s="35" t="s">
        <v>343</v>
      </c>
      <c r="B115" s="30">
        <v>-7</v>
      </c>
      <c r="C115" s="30">
        <v>-7</v>
      </c>
      <c r="D115" s="30">
        <v>-7</v>
      </c>
      <c r="E115" s="30">
        <v>-7</v>
      </c>
      <c r="F115" s="30">
        <v>-7</v>
      </c>
      <c r="G115" s="30">
        <v>-7</v>
      </c>
      <c r="H115" s="30">
        <v>-7</v>
      </c>
      <c r="I115" s="30">
        <v>-7</v>
      </c>
      <c r="J115" s="30">
        <v>-7</v>
      </c>
      <c r="K115" s="30">
        <v>0</v>
      </c>
      <c r="L115" s="30">
        <v>-7</v>
      </c>
      <c r="M115" s="30">
        <v>-7</v>
      </c>
      <c r="N115" s="30">
        <v>-7</v>
      </c>
      <c r="O115" s="50"/>
      <c r="P115">
        <v>30</v>
      </c>
      <c r="T115">
        <v>1</v>
      </c>
    </row>
    <row r="116" spans="1:29" x14ac:dyDescent="0.75">
      <c r="A116" s="35" t="s">
        <v>342</v>
      </c>
      <c r="B116" s="30">
        <v>-7</v>
      </c>
      <c r="C116" s="30">
        <v>-7</v>
      </c>
      <c r="D116" s="30">
        <v>-7</v>
      </c>
      <c r="E116" s="30">
        <v>-7</v>
      </c>
      <c r="F116" s="30">
        <v>-7</v>
      </c>
      <c r="G116" s="30">
        <v>-3</v>
      </c>
      <c r="H116" s="30">
        <v>-7</v>
      </c>
      <c r="I116" s="30">
        <v>-7</v>
      </c>
      <c r="J116" s="30">
        <v>-7</v>
      </c>
      <c r="K116" s="30">
        <v>-7</v>
      </c>
      <c r="L116" s="30">
        <v>-7</v>
      </c>
      <c r="M116" s="30">
        <v>0</v>
      </c>
      <c r="N116" s="30">
        <v>-7</v>
      </c>
      <c r="O116" s="50"/>
      <c r="P116">
        <v>20</v>
      </c>
      <c r="AA116">
        <v>1</v>
      </c>
    </row>
    <row r="117" spans="1:29" x14ac:dyDescent="0.75">
      <c r="A117" s="35" t="s">
        <v>341</v>
      </c>
      <c r="B117" s="30">
        <v>-7</v>
      </c>
      <c r="C117" s="30">
        <v>-7</v>
      </c>
      <c r="D117" s="30">
        <v>-7</v>
      </c>
      <c r="E117" s="30">
        <v>-7</v>
      </c>
      <c r="F117" s="30">
        <v>-7</v>
      </c>
      <c r="G117" s="30">
        <v>-7</v>
      </c>
      <c r="H117" s="30">
        <v>0</v>
      </c>
      <c r="I117" s="30">
        <v>-3</v>
      </c>
      <c r="J117" s="30">
        <v>-7</v>
      </c>
      <c r="K117" s="30">
        <v>-7</v>
      </c>
      <c r="L117" s="30">
        <v>-7</v>
      </c>
      <c r="M117" s="30">
        <v>-7</v>
      </c>
      <c r="N117" s="30">
        <v>-7</v>
      </c>
      <c r="O117" s="50"/>
      <c r="S117">
        <v>2</v>
      </c>
      <c r="AC117">
        <v>10</v>
      </c>
    </row>
    <row r="118" spans="1:29" x14ac:dyDescent="0.75">
      <c r="A118" s="35" t="s">
        <v>340</v>
      </c>
      <c r="B118" s="30">
        <v>-7</v>
      </c>
      <c r="C118" s="30">
        <v>0</v>
      </c>
      <c r="D118" s="30">
        <v>-7</v>
      </c>
      <c r="E118" s="30">
        <v>-7</v>
      </c>
      <c r="F118" s="30">
        <v>-7</v>
      </c>
      <c r="G118" s="30">
        <v>-7</v>
      </c>
      <c r="H118" s="30">
        <v>-7</v>
      </c>
      <c r="I118" s="30">
        <v>-7</v>
      </c>
      <c r="J118" s="30">
        <v>-7</v>
      </c>
      <c r="K118" s="30">
        <v>2</v>
      </c>
      <c r="L118" s="30">
        <v>-7</v>
      </c>
      <c r="M118" s="30">
        <v>-7</v>
      </c>
      <c r="N118" s="30">
        <v>-7</v>
      </c>
      <c r="O118" s="50"/>
      <c r="AC118">
        <v>76</v>
      </c>
    </row>
    <row r="119" spans="1:29" x14ac:dyDescent="0.75">
      <c r="A119" s="35" t="s">
        <v>339</v>
      </c>
      <c r="B119" s="30">
        <v>-7</v>
      </c>
      <c r="C119" s="30">
        <v>-7</v>
      </c>
      <c r="D119" s="30">
        <v>-7</v>
      </c>
      <c r="E119" s="30">
        <v>-7</v>
      </c>
      <c r="F119" s="30">
        <v>-7</v>
      </c>
      <c r="G119" s="30">
        <v>-7</v>
      </c>
      <c r="H119" s="30">
        <v>-7</v>
      </c>
      <c r="I119" s="30">
        <v>-7</v>
      </c>
      <c r="J119" s="30">
        <v>-7</v>
      </c>
      <c r="K119" s="30">
        <v>0</v>
      </c>
      <c r="L119" s="30">
        <v>-7</v>
      </c>
      <c r="M119" s="30">
        <v>-7</v>
      </c>
      <c r="N119" s="30">
        <v>-7</v>
      </c>
      <c r="O119" s="50"/>
      <c r="AC119">
        <v>14</v>
      </c>
    </row>
    <row r="120" spans="1:29" x14ac:dyDescent="0.75">
      <c r="A120" s="35" t="s">
        <v>338</v>
      </c>
      <c r="B120" s="30">
        <v>-7</v>
      </c>
      <c r="C120" s="30">
        <v>-3</v>
      </c>
      <c r="D120" s="30">
        <v>-7</v>
      </c>
      <c r="E120" s="30">
        <v>-7</v>
      </c>
      <c r="F120" s="30">
        <v>-7</v>
      </c>
      <c r="G120" s="30">
        <v>-7</v>
      </c>
      <c r="H120" s="30">
        <v>-7</v>
      </c>
      <c r="I120" s="30">
        <v>-7</v>
      </c>
      <c r="J120" s="30">
        <v>-7</v>
      </c>
      <c r="K120" s="30">
        <v>5</v>
      </c>
      <c r="L120" s="30">
        <v>-7</v>
      </c>
      <c r="M120" s="30">
        <v>-7</v>
      </c>
      <c r="N120" s="30">
        <v>-7</v>
      </c>
      <c r="O120" s="50"/>
      <c r="P120">
        <v>25</v>
      </c>
    </row>
    <row r="121" spans="1:29" x14ac:dyDescent="0.75">
      <c r="A121" s="35" t="s">
        <v>337</v>
      </c>
      <c r="B121" s="30">
        <v>-7</v>
      </c>
      <c r="C121" s="30">
        <v>-7</v>
      </c>
      <c r="D121" s="30">
        <v>-3</v>
      </c>
      <c r="E121" s="30">
        <v>-7</v>
      </c>
      <c r="F121" s="30">
        <v>-7</v>
      </c>
      <c r="G121" s="30">
        <v>-7</v>
      </c>
      <c r="H121" s="30">
        <v>0</v>
      </c>
      <c r="I121" s="30">
        <v>-3</v>
      </c>
      <c r="J121" s="30">
        <v>-7</v>
      </c>
      <c r="K121" s="30">
        <v>-7</v>
      </c>
      <c r="L121" s="30">
        <v>-7</v>
      </c>
      <c r="M121" s="30">
        <v>-7</v>
      </c>
      <c r="N121" s="30">
        <v>-7</v>
      </c>
      <c r="O121" s="50"/>
      <c r="R121">
        <v>2</v>
      </c>
      <c r="AC121">
        <v>15</v>
      </c>
    </row>
    <row r="122" spans="1:29" x14ac:dyDescent="0.75">
      <c r="A122" s="35" t="s">
        <v>336</v>
      </c>
      <c r="B122" s="30">
        <v>-7</v>
      </c>
      <c r="C122" s="30">
        <v>-7</v>
      </c>
      <c r="D122" s="30">
        <v>-7</v>
      </c>
      <c r="E122" s="30">
        <v>-7</v>
      </c>
      <c r="F122" s="30">
        <v>-7</v>
      </c>
      <c r="G122" s="30">
        <v>-7</v>
      </c>
      <c r="H122" s="30">
        <v>-7</v>
      </c>
      <c r="I122" s="30">
        <v>-7</v>
      </c>
      <c r="J122" s="30">
        <v>-7</v>
      </c>
      <c r="K122" s="30">
        <v>-7</v>
      </c>
      <c r="L122" s="30">
        <v>-7</v>
      </c>
      <c r="M122" s="30">
        <v>0</v>
      </c>
      <c r="N122" s="30">
        <v>-7</v>
      </c>
      <c r="O122" s="50"/>
      <c r="P122">
        <v>100</v>
      </c>
      <c r="Y122">
        <v>1</v>
      </c>
    </row>
    <row r="123" spans="1:29" x14ac:dyDescent="0.75">
      <c r="A123" s="35" t="s">
        <v>335</v>
      </c>
      <c r="B123" s="30">
        <v>-7</v>
      </c>
      <c r="C123" s="30">
        <v>-7</v>
      </c>
      <c r="D123" s="30">
        <v>-7</v>
      </c>
      <c r="E123" s="30">
        <v>-7</v>
      </c>
      <c r="F123" s="30">
        <v>-7</v>
      </c>
      <c r="G123" s="30">
        <v>-7</v>
      </c>
      <c r="H123" s="30">
        <v>-7</v>
      </c>
      <c r="I123" s="30">
        <v>-7</v>
      </c>
      <c r="J123" s="30">
        <v>-7</v>
      </c>
      <c r="K123" s="30">
        <v>-7</v>
      </c>
      <c r="L123" s="30">
        <v>-7</v>
      </c>
      <c r="M123" s="30">
        <v>0</v>
      </c>
      <c r="N123" s="30">
        <v>-7</v>
      </c>
      <c r="O123" s="50"/>
      <c r="P123">
        <v>120</v>
      </c>
    </row>
    <row r="124" spans="1:29" x14ac:dyDescent="0.75">
      <c r="A124" s="35" t="s">
        <v>334</v>
      </c>
      <c r="B124" s="30">
        <v>-7</v>
      </c>
      <c r="C124" s="30">
        <v>-7</v>
      </c>
      <c r="D124" s="30">
        <v>-7</v>
      </c>
      <c r="E124" s="30">
        <v>-7</v>
      </c>
      <c r="F124" s="30">
        <v>-7</v>
      </c>
      <c r="G124" s="30">
        <v>-7</v>
      </c>
      <c r="H124" s="30">
        <v>-7</v>
      </c>
      <c r="I124" s="30">
        <v>-7</v>
      </c>
      <c r="J124" s="30">
        <v>-7</v>
      </c>
      <c r="K124" s="30">
        <v>-7</v>
      </c>
      <c r="L124" s="30">
        <v>-7</v>
      </c>
      <c r="M124" s="30">
        <v>0</v>
      </c>
      <c r="N124" s="30">
        <v>-7</v>
      </c>
      <c r="O124" s="50"/>
      <c r="P124">
        <v>145</v>
      </c>
    </row>
    <row r="125" spans="1:29" x14ac:dyDescent="0.75">
      <c r="A125" s="35" t="s">
        <v>333</v>
      </c>
      <c r="B125" s="30">
        <v>-7</v>
      </c>
      <c r="C125" s="30">
        <v>-7</v>
      </c>
      <c r="D125" s="30">
        <v>-7</v>
      </c>
      <c r="E125" s="30">
        <v>-7</v>
      </c>
      <c r="F125" s="30">
        <v>-7</v>
      </c>
      <c r="G125" s="30">
        <v>-7</v>
      </c>
      <c r="H125" s="30">
        <v>-7</v>
      </c>
      <c r="I125" s="30">
        <v>0</v>
      </c>
      <c r="J125" s="30">
        <v>-7</v>
      </c>
      <c r="K125" s="30">
        <v>-7</v>
      </c>
      <c r="L125" s="30">
        <v>-7</v>
      </c>
      <c r="M125" s="30">
        <v>-7</v>
      </c>
      <c r="N125" s="30">
        <v>-7</v>
      </c>
      <c r="O125" s="50"/>
      <c r="P125">
        <v>47</v>
      </c>
      <c r="R125">
        <v>2</v>
      </c>
      <c r="T125">
        <v>1</v>
      </c>
      <c r="Y125">
        <v>1</v>
      </c>
    </row>
    <row r="126" spans="1:29" x14ac:dyDescent="0.75">
      <c r="A126" s="35" t="s">
        <v>332</v>
      </c>
      <c r="B126" s="30">
        <v>-7</v>
      </c>
      <c r="C126" s="30">
        <v>-7</v>
      </c>
      <c r="D126" s="30">
        <v>-7</v>
      </c>
      <c r="E126" s="30">
        <v>-7</v>
      </c>
      <c r="F126" s="30">
        <v>-7</v>
      </c>
      <c r="G126" s="30">
        <v>-7</v>
      </c>
      <c r="H126" s="30">
        <v>0</v>
      </c>
      <c r="I126" s="30">
        <v>-1</v>
      </c>
      <c r="J126" s="30">
        <v>-7</v>
      </c>
      <c r="K126" s="30">
        <v>-7</v>
      </c>
      <c r="L126" s="30">
        <v>-7</v>
      </c>
      <c r="M126" s="30">
        <v>-7</v>
      </c>
      <c r="N126" s="30">
        <v>-7</v>
      </c>
      <c r="O126" s="50"/>
      <c r="AC126">
        <v>25</v>
      </c>
    </row>
    <row r="127" spans="1:29" x14ac:dyDescent="0.75">
      <c r="A127" s="35" t="s">
        <v>331</v>
      </c>
      <c r="B127" s="30">
        <v>-7</v>
      </c>
      <c r="C127" s="30">
        <v>5</v>
      </c>
      <c r="D127" s="30">
        <v>-7</v>
      </c>
      <c r="E127" s="30">
        <v>-7</v>
      </c>
      <c r="F127" s="30">
        <v>-7</v>
      </c>
      <c r="G127" s="30">
        <v>-7</v>
      </c>
      <c r="H127" s="30">
        <v>-7</v>
      </c>
      <c r="I127" s="30">
        <v>-7</v>
      </c>
      <c r="J127" s="30">
        <v>-7</v>
      </c>
      <c r="K127" s="30">
        <v>5</v>
      </c>
      <c r="L127" s="30">
        <v>-7</v>
      </c>
      <c r="M127" s="30">
        <v>-7</v>
      </c>
      <c r="N127" s="30">
        <v>-7</v>
      </c>
      <c r="O127" s="50"/>
      <c r="AC127">
        <v>78</v>
      </c>
    </row>
    <row r="128" spans="1:29" x14ac:dyDescent="0.75">
      <c r="A128" s="35" t="s">
        <v>330</v>
      </c>
      <c r="B128" s="30">
        <v>-7</v>
      </c>
      <c r="C128" s="30">
        <v>0</v>
      </c>
      <c r="D128" s="30">
        <v>-7</v>
      </c>
      <c r="E128" s="30">
        <v>-7</v>
      </c>
      <c r="F128" s="30">
        <v>-7</v>
      </c>
      <c r="G128" s="30">
        <v>-7</v>
      </c>
      <c r="H128" s="30">
        <v>-7</v>
      </c>
      <c r="I128" s="30">
        <v>-7</v>
      </c>
      <c r="J128" s="30">
        <v>-7</v>
      </c>
      <c r="K128" s="30">
        <v>2</v>
      </c>
      <c r="L128" s="30">
        <v>-7</v>
      </c>
      <c r="M128" s="30">
        <v>-7</v>
      </c>
      <c r="N128" s="30">
        <v>-7</v>
      </c>
      <c r="O128" s="50"/>
      <c r="AC128">
        <v>60</v>
      </c>
    </row>
    <row r="129" spans="1:29" x14ac:dyDescent="0.75">
      <c r="A129" s="35" t="s">
        <v>329</v>
      </c>
      <c r="B129" s="30">
        <v>-7</v>
      </c>
      <c r="C129" s="30">
        <v>-7</v>
      </c>
      <c r="D129" s="30">
        <v>-7</v>
      </c>
      <c r="E129" s="30">
        <v>-7</v>
      </c>
      <c r="F129" s="30">
        <v>-7</v>
      </c>
      <c r="G129" s="30">
        <v>-7</v>
      </c>
      <c r="H129" s="30">
        <v>-7</v>
      </c>
      <c r="I129" s="30">
        <v>-7</v>
      </c>
      <c r="J129" s="30">
        <v>-7</v>
      </c>
      <c r="K129" s="30">
        <v>-7</v>
      </c>
      <c r="L129" s="30">
        <v>2</v>
      </c>
      <c r="M129" s="30">
        <v>-3</v>
      </c>
      <c r="N129" s="30">
        <v>-7</v>
      </c>
      <c r="O129" s="50"/>
      <c r="P129">
        <v>32</v>
      </c>
      <c r="Y129">
        <v>2</v>
      </c>
      <c r="AA129">
        <v>1</v>
      </c>
    </row>
    <row r="130" spans="1:29" x14ac:dyDescent="0.75">
      <c r="A130" s="35" t="s">
        <v>328</v>
      </c>
      <c r="B130" s="30">
        <v>-7</v>
      </c>
      <c r="C130" s="30">
        <v>-7</v>
      </c>
      <c r="D130" s="30">
        <v>-7</v>
      </c>
      <c r="E130" s="30">
        <v>-7</v>
      </c>
      <c r="F130" s="30">
        <v>-7</v>
      </c>
      <c r="G130" s="30">
        <v>-7</v>
      </c>
      <c r="H130" s="30">
        <v>-7</v>
      </c>
      <c r="I130" s="30">
        <v>-7</v>
      </c>
      <c r="J130" s="30">
        <v>-7</v>
      </c>
      <c r="K130" s="30">
        <v>-7</v>
      </c>
      <c r="L130" s="30">
        <v>-7</v>
      </c>
      <c r="M130" s="30">
        <v>-7</v>
      </c>
      <c r="N130" s="30">
        <v>-7</v>
      </c>
      <c r="O130" s="50"/>
    </row>
    <row r="131" spans="1:29" x14ac:dyDescent="0.75">
      <c r="A131" s="35" t="s">
        <v>327</v>
      </c>
      <c r="B131" s="30">
        <v>-7</v>
      </c>
      <c r="C131" s="30">
        <v>-7</v>
      </c>
      <c r="D131" s="30">
        <v>-7</v>
      </c>
      <c r="E131" s="30">
        <v>-7</v>
      </c>
      <c r="F131" s="30">
        <v>-7</v>
      </c>
      <c r="G131" s="30">
        <v>-7</v>
      </c>
      <c r="H131" s="30">
        <v>-7</v>
      </c>
      <c r="I131" s="30">
        <v>-7</v>
      </c>
      <c r="J131" s="30">
        <v>-7</v>
      </c>
      <c r="K131" s="30">
        <v>-7</v>
      </c>
      <c r="L131" s="30">
        <v>-7</v>
      </c>
      <c r="M131" s="30">
        <v>-7</v>
      </c>
      <c r="N131" s="30">
        <v>-7</v>
      </c>
      <c r="O131" s="50"/>
    </row>
    <row r="132" spans="1:29" x14ac:dyDescent="0.75">
      <c r="A132" s="35" t="s">
        <v>326</v>
      </c>
      <c r="B132" s="30">
        <v>-7</v>
      </c>
      <c r="C132" s="30">
        <v>-7</v>
      </c>
      <c r="D132" s="30">
        <v>-7</v>
      </c>
      <c r="E132" s="30">
        <v>-7</v>
      </c>
      <c r="F132" s="30">
        <v>-7</v>
      </c>
      <c r="G132" s="30">
        <v>-7</v>
      </c>
      <c r="H132" s="30">
        <v>-7</v>
      </c>
      <c r="I132" s="30">
        <v>-7</v>
      </c>
      <c r="J132" s="30">
        <v>-7</v>
      </c>
      <c r="K132" s="30">
        <v>-7</v>
      </c>
      <c r="L132" s="30">
        <v>-7</v>
      </c>
      <c r="M132" s="30">
        <v>-7</v>
      </c>
      <c r="N132" s="30">
        <v>-7</v>
      </c>
      <c r="O132" s="50"/>
    </row>
    <row r="133" spans="1:29" x14ac:dyDescent="0.75">
      <c r="A133" s="35" t="s">
        <v>325</v>
      </c>
      <c r="B133" s="30">
        <v>-7</v>
      </c>
      <c r="C133" s="30">
        <v>-7</v>
      </c>
      <c r="D133" s="30">
        <v>-7</v>
      </c>
      <c r="E133" s="30">
        <v>-7</v>
      </c>
      <c r="F133" s="30">
        <v>-7</v>
      </c>
      <c r="G133" s="30">
        <v>-7</v>
      </c>
      <c r="H133" s="30">
        <v>-7</v>
      </c>
      <c r="I133" s="30">
        <v>-7</v>
      </c>
      <c r="J133" s="30">
        <v>-7</v>
      </c>
      <c r="K133" s="30">
        <v>-7</v>
      </c>
      <c r="L133" s="30">
        <v>-7</v>
      </c>
      <c r="M133" s="30">
        <v>-7</v>
      </c>
      <c r="N133" s="30">
        <v>-7</v>
      </c>
      <c r="O133" s="50"/>
    </row>
    <row r="134" spans="1:29" x14ac:dyDescent="0.75">
      <c r="A134" s="35" t="s">
        <v>324</v>
      </c>
      <c r="B134" s="30">
        <v>-7</v>
      </c>
      <c r="C134" s="30">
        <v>-7</v>
      </c>
      <c r="D134" s="30">
        <v>-7</v>
      </c>
      <c r="E134" s="30">
        <v>-7</v>
      </c>
      <c r="F134" s="30">
        <v>-7</v>
      </c>
      <c r="G134" s="30">
        <v>-7</v>
      </c>
      <c r="H134" s="30">
        <v>-7</v>
      </c>
      <c r="I134" s="30">
        <v>-7</v>
      </c>
      <c r="J134" s="30">
        <v>-7</v>
      </c>
      <c r="K134" s="30">
        <v>-7</v>
      </c>
      <c r="L134" s="30">
        <v>-7</v>
      </c>
      <c r="M134" s="30">
        <v>-7</v>
      </c>
      <c r="N134" s="30">
        <v>-7</v>
      </c>
      <c r="O134" s="50"/>
    </row>
    <row r="135" spans="1:29" x14ac:dyDescent="0.75">
      <c r="A135" s="35" t="s">
        <v>323</v>
      </c>
      <c r="B135" s="30">
        <v>-7</v>
      </c>
      <c r="C135" s="30">
        <v>-7</v>
      </c>
      <c r="D135" s="30">
        <v>-7</v>
      </c>
      <c r="E135" s="30">
        <v>-7</v>
      </c>
      <c r="F135" s="30">
        <v>-7</v>
      </c>
      <c r="G135" s="30">
        <v>-7</v>
      </c>
      <c r="H135" s="30">
        <v>-7</v>
      </c>
      <c r="I135" s="30">
        <v>-7</v>
      </c>
      <c r="J135" s="30">
        <v>-7</v>
      </c>
      <c r="K135" s="30">
        <v>-7</v>
      </c>
      <c r="L135" s="30">
        <v>-7</v>
      </c>
      <c r="M135" s="30">
        <v>-7</v>
      </c>
      <c r="N135" s="30">
        <v>-7</v>
      </c>
      <c r="O135" s="50"/>
    </row>
    <row r="136" spans="1:29" x14ac:dyDescent="0.75">
      <c r="A136" s="35" t="s">
        <v>322</v>
      </c>
      <c r="B136" s="30">
        <v>-7</v>
      </c>
      <c r="C136" s="30">
        <v>-7</v>
      </c>
      <c r="D136" s="30">
        <v>-7</v>
      </c>
      <c r="E136" s="30">
        <v>-7</v>
      </c>
      <c r="F136" s="30">
        <v>-7</v>
      </c>
      <c r="G136" s="30">
        <v>-7</v>
      </c>
      <c r="H136" s="30">
        <v>-7</v>
      </c>
      <c r="I136" s="30">
        <v>-7</v>
      </c>
      <c r="J136" s="30">
        <v>-7</v>
      </c>
      <c r="K136" s="30">
        <v>-7</v>
      </c>
      <c r="L136" s="30">
        <v>-7</v>
      </c>
      <c r="M136" s="30">
        <v>0</v>
      </c>
      <c r="N136" s="30">
        <v>-7</v>
      </c>
      <c r="O136" s="50"/>
      <c r="P136">
        <v>27</v>
      </c>
      <c r="Y136">
        <v>1</v>
      </c>
      <c r="AA136">
        <v>1</v>
      </c>
    </row>
    <row r="137" spans="1:29" x14ac:dyDescent="0.75">
      <c r="A137" s="35" t="s">
        <v>321</v>
      </c>
      <c r="B137" s="30">
        <v>-7</v>
      </c>
      <c r="C137" s="30">
        <v>-7</v>
      </c>
      <c r="D137" s="30">
        <v>-7</v>
      </c>
      <c r="E137" s="30">
        <v>-7</v>
      </c>
      <c r="F137" s="30">
        <v>-7</v>
      </c>
      <c r="G137" s="30">
        <v>-7</v>
      </c>
      <c r="H137" s="30">
        <v>-7</v>
      </c>
      <c r="I137" s="30">
        <v>-7</v>
      </c>
      <c r="J137" s="30">
        <v>-7</v>
      </c>
      <c r="K137" s="30">
        <v>5</v>
      </c>
      <c r="L137" s="30">
        <v>-7</v>
      </c>
      <c r="M137" s="30">
        <v>-7</v>
      </c>
      <c r="N137" s="30">
        <v>-7</v>
      </c>
      <c r="O137" s="50"/>
      <c r="AC137">
        <v>28</v>
      </c>
    </row>
    <row r="138" spans="1:29" x14ac:dyDescent="0.75">
      <c r="A138" s="35" t="s">
        <v>320</v>
      </c>
      <c r="B138" s="30">
        <v>-7</v>
      </c>
      <c r="C138" s="30">
        <v>-7</v>
      </c>
      <c r="D138" s="30">
        <v>-7</v>
      </c>
      <c r="E138" s="30">
        <v>-7</v>
      </c>
      <c r="F138" s="30">
        <v>-7</v>
      </c>
      <c r="G138" s="30">
        <v>-7</v>
      </c>
      <c r="H138" s="30">
        <v>-3</v>
      </c>
      <c r="I138" s="30">
        <v>-7</v>
      </c>
      <c r="J138" s="30">
        <v>-7</v>
      </c>
      <c r="K138" s="30">
        <v>-7</v>
      </c>
      <c r="L138" s="30">
        <v>-7</v>
      </c>
      <c r="M138" s="30">
        <v>-7</v>
      </c>
      <c r="N138" s="30">
        <v>-7</v>
      </c>
      <c r="O138" s="50"/>
      <c r="AC138">
        <v>25</v>
      </c>
    </row>
    <row r="139" spans="1:29" x14ac:dyDescent="0.75">
      <c r="A139" s="35" t="s">
        <v>319</v>
      </c>
      <c r="B139" s="30">
        <v>-7</v>
      </c>
      <c r="C139" s="30">
        <v>-7</v>
      </c>
      <c r="D139" s="30">
        <v>-7</v>
      </c>
      <c r="E139" s="30">
        <v>-7</v>
      </c>
      <c r="F139" s="30">
        <v>-7</v>
      </c>
      <c r="G139" s="30">
        <v>-7</v>
      </c>
      <c r="H139" s="30">
        <v>-7</v>
      </c>
      <c r="I139" s="30">
        <v>-7</v>
      </c>
      <c r="J139" s="30">
        <v>-7</v>
      </c>
      <c r="K139" s="30">
        <v>-7</v>
      </c>
      <c r="L139" s="30">
        <v>-7</v>
      </c>
      <c r="M139" s="30">
        <v>-7</v>
      </c>
      <c r="N139" s="30">
        <v>-7</v>
      </c>
      <c r="O139" s="50"/>
      <c r="X139">
        <v>1</v>
      </c>
      <c r="AC139">
        <v>80</v>
      </c>
    </row>
    <row r="140" spans="1:29" x14ac:dyDescent="0.75">
      <c r="A140" s="35" t="s">
        <v>318</v>
      </c>
      <c r="B140" s="30">
        <v>-7</v>
      </c>
      <c r="C140" s="30">
        <v>-7</v>
      </c>
      <c r="D140" s="30">
        <v>-7</v>
      </c>
      <c r="E140" s="30">
        <v>-7</v>
      </c>
      <c r="F140" s="30">
        <v>-7</v>
      </c>
      <c r="G140" s="30">
        <v>-7</v>
      </c>
      <c r="H140" s="30">
        <v>-3</v>
      </c>
      <c r="I140" s="30">
        <v>-7</v>
      </c>
      <c r="J140" s="30">
        <v>-7</v>
      </c>
      <c r="K140" s="30">
        <v>-7</v>
      </c>
      <c r="L140" s="30">
        <v>-7</v>
      </c>
      <c r="M140" s="30">
        <v>-7</v>
      </c>
      <c r="N140" s="30">
        <v>-7</v>
      </c>
      <c r="O140" s="50"/>
      <c r="AC140">
        <v>40</v>
      </c>
    </row>
    <row r="141" spans="1:29" x14ac:dyDescent="0.75">
      <c r="A141" s="35" t="s">
        <v>317</v>
      </c>
      <c r="B141" s="30">
        <v>-7</v>
      </c>
      <c r="C141" s="30">
        <v>-7</v>
      </c>
      <c r="D141" s="30">
        <v>-7</v>
      </c>
      <c r="E141" s="30">
        <v>-7</v>
      </c>
      <c r="F141" s="30">
        <v>-7</v>
      </c>
      <c r="G141" s="30">
        <v>-7</v>
      </c>
      <c r="H141" s="30">
        <v>-7</v>
      </c>
      <c r="I141" s="30">
        <v>-7</v>
      </c>
      <c r="J141" s="30">
        <v>-7</v>
      </c>
      <c r="K141" s="30">
        <v>-3</v>
      </c>
      <c r="L141" s="30">
        <v>-7</v>
      </c>
      <c r="M141" s="30">
        <v>-7</v>
      </c>
      <c r="N141" s="30">
        <v>-7</v>
      </c>
      <c r="O141" s="50"/>
      <c r="AC141">
        <v>50</v>
      </c>
    </row>
    <row r="142" spans="1:29" x14ac:dyDescent="0.75">
      <c r="A142" s="35" t="s">
        <v>316</v>
      </c>
      <c r="B142" s="30">
        <v>-7</v>
      </c>
      <c r="C142" s="30">
        <v>-7</v>
      </c>
      <c r="D142" s="30">
        <v>-7</v>
      </c>
      <c r="E142" s="30">
        <v>-7</v>
      </c>
      <c r="F142" s="30">
        <v>-7</v>
      </c>
      <c r="G142" s="30">
        <v>-7</v>
      </c>
      <c r="H142" s="30">
        <v>0</v>
      </c>
      <c r="I142" s="30">
        <v>1</v>
      </c>
      <c r="J142" s="30">
        <v>-7</v>
      </c>
      <c r="K142" s="30">
        <v>-7</v>
      </c>
      <c r="L142" s="30">
        <v>-7</v>
      </c>
      <c r="M142" s="30">
        <v>-7</v>
      </c>
      <c r="N142" s="30">
        <v>-7</v>
      </c>
      <c r="O142" s="50"/>
      <c r="AC142">
        <v>34</v>
      </c>
    </row>
    <row r="143" spans="1:29" x14ac:dyDescent="0.75">
      <c r="A143" s="35" t="s">
        <v>315</v>
      </c>
      <c r="B143" s="30">
        <v>-7</v>
      </c>
      <c r="C143" s="30">
        <v>-7</v>
      </c>
      <c r="D143" s="30">
        <v>-7</v>
      </c>
      <c r="E143" s="30">
        <v>-7</v>
      </c>
      <c r="F143" s="30">
        <v>-7</v>
      </c>
      <c r="G143" s="30">
        <v>-7</v>
      </c>
      <c r="H143" s="30">
        <v>-7</v>
      </c>
      <c r="I143" s="30">
        <v>-7</v>
      </c>
      <c r="J143" s="30">
        <v>-7</v>
      </c>
      <c r="K143" s="30">
        <v>-7</v>
      </c>
      <c r="L143" s="30">
        <v>5</v>
      </c>
      <c r="M143" s="30">
        <v>-7</v>
      </c>
      <c r="N143" s="30">
        <v>-7</v>
      </c>
      <c r="O143" s="50"/>
      <c r="Y143">
        <v>1</v>
      </c>
      <c r="AA143">
        <v>1</v>
      </c>
      <c r="AB143">
        <v>5</v>
      </c>
    </row>
    <row r="144" spans="1:29" x14ac:dyDescent="0.75">
      <c r="A144" s="35" t="s">
        <v>314</v>
      </c>
      <c r="B144" s="30">
        <v>-7</v>
      </c>
      <c r="C144" s="30">
        <v>-7</v>
      </c>
      <c r="D144" s="30">
        <v>-7</v>
      </c>
      <c r="E144" s="30">
        <v>-7</v>
      </c>
      <c r="F144" s="30">
        <v>-7</v>
      </c>
      <c r="G144" s="30">
        <v>-7</v>
      </c>
      <c r="H144" s="30">
        <v>-7</v>
      </c>
      <c r="I144" s="30">
        <v>-7</v>
      </c>
      <c r="J144" s="30">
        <v>-7</v>
      </c>
      <c r="K144" s="30">
        <v>-7</v>
      </c>
      <c r="L144" s="30">
        <v>2</v>
      </c>
      <c r="M144" s="30">
        <v>-7</v>
      </c>
      <c r="N144" s="30">
        <v>-7</v>
      </c>
      <c r="O144" s="50"/>
      <c r="P144">
        <v>13</v>
      </c>
      <c r="Y144">
        <v>1</v>
      </c>
      <c r="AA144">
        <v>1</v>
      </c>
    </row>
    <row r="145" spans="1:29" x14ac:dyDescent="0.75">
      <c r="A145" s="35" t="s">
        <v>313</v>
      </c>
      <c r="B145" s="30">
        <v>-7</v>
      </c>
      <c r="C145" s="30">
        <v>-7</v>
      </c>
      <c r="D145" s="30">
        <v>-7</v>
      </c>
      <c r="E145" s="30">
        <v>-7</v>
      </c>
      <c r="F145" s="30">
        <v>-7</v>
      </c>
      <c r="G145" s="30">
        <v>-7</v>
      </c>
      <c r="H145" s="30">
        <v>-7</v>
      </c>
      <c r="I145" s="30">
        <v>-7</v>
      </c>
      <c r="J145" s="30">
        <v>-7</v>
      </c>
      <c r="K145" s="30">
        <v>-7</v>
      </c>
      <c r="L145" s="30">
        <v>-7</v>
      </c>
      <c r="M145" s="30">
        <v>-7</v>
      </c>
      <c r="N145" s="30">
        <v>-7</v>
      </c>
      <c r="O145" s="50"/>
      <c r="Y145">
        <v>1</v>
      </c>
      <c r="AA145">
        <v>2</v>
      </c>
    </row>
    <row r="146" spans="1:29" x14ac:dyDescent="0.75">
      <c r="A146" s="35" t="s">
        <v>312</v>
      </c>
      <c r="B146" s="30">
        <v>-7</v>
      </c>
      <c r="C146" s="30">
        <v>-7</v>
      </c>
      <c r="D146" s="30">
        <v>-7</v>
      </c>
      <c r="E146" s="30">
        <v>-7</v>
      </c>
      <c r="F146" s="30">
        <v>-7</v>
      </c>
      <c r="G146" s="30">
        <v>-7</v>
      </c>
      <c r="H146" s="30">
        <v>-7</v>
      </c>
      <c r="I146" s="30">
        <v>-7</v>
      </c>
      <c r="J146" s="30">
        <v>-7</v>
      </c>
      <c r="K146" s="30">
        <v>-7</v>
      </c>
      <c r="L146" s="30">
        <v>-7</v>
      </c>
      <c r="M146" s="30">
        <v>-7</v>
      </c>
      <c r="N146" s="30">
        <v>-7</v>
      </c>
      <c r="O146" s="50"/>
      <c r="AC146">
        <v>20</v>
      </c>
    </row>
    <row r="147" spans="1:29" x14ac:dyDescent="0.75">
      <c r="A147" s="35" t="s">
        <v>311</v>
      </c>
      <c r="B147" s="30">
        <v>-7</v>
      </c>
      <c r="C147" s="30">
        <v>-7</v>
      </c>
      <c r="D147" s="30">
        <v>-7</v>
      </c>
      <c r="E147" s="30">
        <v>-7</v>
      </c>
      <c r="F147" s="30">
        <v>-7</v>
      </c>
      <c r="G147" s="30">
        <v>-7</v>
      </c>
      <c r="H147" s="30">
        <v>-7</v>
      </c>
      <c r="I147" s="30">
        <v>-7</v>
      </c>
      <c r="J147" s="30">
        <v>-7</v>
      </c>
      <c r="K147" s="30">
        <v>-7</v>
      </c>
      <c r="L147" s="30">
        <v>-7</v>
      </c>
      <c r="M147" s="30">
        <v>-7</v>
      </c>
      <c r="N147" s="30">
        <v>-7</v>
      </c>
      <c r="O147" s="50"/>
      <c r="AC147">
        <v>40</v>
      </c>
    </row>
    <row r="148" spans="1:29" x14ac:dyDescent="0.75">
      <c r="A148" s="35" t="s">
        <v>310</v>
      </c>
      <c r="B148" s="30">
        <v>-7</v>
      </c>
      <c r="C148" s="30">
        <v>-7</v>
      </c>
      <c r="D148" s="30">
        <v>-7</v>
      </c>
      <c r="E148" s="30">
        <v>-7</v>
      </c>
      <c r="F148" s="30">
        <v>-7</v>
      </c>
      <c r="G148" s="30">
        <v>-7</v>
      </c>
      <c r="H148" s="30">
        <v>-7</v>
      </c>
      <c r="I148" s="30">
        <v>-7</v>
      </c>
      <c r="J148" s="30">
        <v>-7</v>
      </c>
      <c r="K148" s="30">
        <v>-7</v>
      </c>
      <c r="L148" s="30">
        <v>0</v>
      </c>
      <c r="M148" s="30">
        <v>-7</v>
      </c>
      <c r="N148" s="30">
        <v>-7</v>
      </c>
      <c r="O148" s="50"/>
      <c r="P148">
        <v>50</v>
      </c>
      <c r="Y148">
        <v>1</v>
      </c>
      <c r="AA148">
        <v>2</v>
      </c>
    </row>
    <row r="149" spans="1:29" x14ac:dyDescent="0.75">
      <c r="A149" s="35" t="s">
        <v>309</v>
      </c>
      <c r="B149" s="30">
        <v>-7</v>
      </c>
      <c r="C149" s="30">
        <v>-7</v>
      </c>
      <c r="D149" s="30">
        <v>-7</v>
      </c>
      <c r="E149" s="30">
        <v>-7</v>
      </c>
      <c r="F149" s="30">
        <v>-7</v>
      </c>
      <c r="G149" s="30">
        <v>-7</v>
      </c>
      <c r="H149" s="30">
        <v>-7</v>
      </c>
      <c r="I149" s="30">
        <v>-7</v>
      </c>
      <c r="J149" s="30">
        <v>-7</v>
      </c>
      <c r="K149" s="30">
        <v>-7</v>
      </c>
      <c r="L149" s="30">
        <v>0</v>
      </c>
      <c r="M149" s="30">
        <v>-7</v>
      </c>
      <c r="N149" s="30">
        <v>-7</v>
      </c>
      <c r="O149" s="50"/>
      <c r="P149">
        <v>40</v>
      </c>
      <c r="Y149">
        <v>1</v>
      </c>
      <c r="AA149">
        <v>2</v>
      </c>
    </row>
    <row r="150" spans="1:29" x14ac:dyDescent="0.75">
      <c r="A150" s="35" t="s">
        <v>308</v>
      </c>
      <c r="B150" s="30">
        <v>-7</v>
      </c>
      <c r="C150" s="30">
        <v>-7</v>
      </c>
      <c r="D150" s="30">
        <v>-7</v>
      </c>
      <c r="E150" s="30">
        <v>-7</v>
      </c>
      <c r="F150" s="30">
        <v>-7</v>
      </c>
      <c r="G150" s="30">
        <v>-7</v>
      </c>
      <c r="H150" s="30">
        <v>-7</v>
      </c>
      <c r="I150" s="30">
        <v>-7</v>
      </c>
      <c r="J150" s="30">
        <v>-7</v>
      </c>
      <c r="K150" s="30">
        <v>-7</v>
      </c>
      <c r="L150" s="30">
        <v>0</v>
      </c>
      <c r="M150" s="30">
        <v>-7</v>
      </c>
      <c r="N150" s="30">
        <v>-7</v>
      </c>
      <c r="O150" s="50"/>
      <c r="P150">
        <v>30</v>
      </c>
      <c r="Y150">
        <v>1</v>
      </c>
      <c r="AA150">
        <v>2</v>
      </c>
    </row>
    <row r="151" spans="1:29" x14ac:dyDescent="0.75">
      <c r="A151" s="35" t="s">
        <v>307</v>
      </c>
      <c r="B151" s="30">
        <v>-7</v>
      </c>
      <c r="C151" s="30">
        <v>-7</v>
      </c>
      <c r="D151" s="30">
        <v>-7</v>
      </c>
      <c r="E151" s="30">
        <v>-7</v>
      </c>
      <c r="F151" s="30">
        <v>-7</v>
      </c>
      <c r="G151" s="30">
        <v>-7</v>
      </c>
      <c r="H151" s="30">
        <v>-7</v>
      </c>
      <c r="I151" s="30">
        <v>-7</v>
      </c>
      <c r="J151" s="30">
        <v>-7</v>
      </c>
      <c r="K151" s="30">
        <v>-7</v>
      </c>
      <c r="L151" s="30">
        <v>0</v>
      </c>
      <c r="M151" s="30">
        <v>-7</v>
      </c>
      <c r="N151" s="30">
        <v>-7</v>
      </c>
      <c r="O151" s="50"/>
      <c r="P151">
        <v>24</v>
      </c>
      <c r="Y151">
        <v>1</v>
      </c>
      <c r="AA151">
        <v>2</v>
      </c>
    </row>
    <row r="152" spans="1:29" x14ac:dyDescent="0.75">
      <c r="A152" s="35" t="s">
        <v>306</v>
      </c>
      <c r="B152" s="30">
        <v>-7</v>
      </c>
      <c r="C152" s="30">
        <v>-7</v>
      </c>
      <c r="D152" s="30">
        <v>-7</v>
      </c>
      <c r="E152" s="30">
        <v>-7</v>
      </c>
      <c r="F152" s="30">
        <v>-7</v>
      </c>
      <c r="G152" s="30">
        <v>-7</v>
      </c>
      <c r="H152" s="30">
        <v>-7</v>
      </c>
      <c r="I152" s="30">
        <v>-7</v>
      </c>
      <c r="J152" s="30">
        <v>-7</v>
      </c>
      <c r="K152" s="30">
        <v>-7</v>
      </c>
      <c r="L152" s="30">
        <v>0</v>
      </c>
      <c r="M152" s="30">
        <v>-7</v>
      </c>
      <c r="N152" s="30">
        <v>-7</v>
      </c>
      <c r="O152" s="50"/>
      <c r="P152">
        <v>18</v>
      </c>
      <c r="Y152">
        <v>1</v>
      </c>
      <c r="AA152">
        <v>2</v>
      </c>
    </row>
    <row r="153" spans="1:29" x14ac:dyDescent="0.75">
      <c r="A153" s="35" t="s">
        <v>305</v>
      </c>
      <c r="B153" s="30">
        <v>-7</v>
      </c>
      <c r="C153" s="30">
        <v>-7</v>
      </c>
      <c r="D153" s="30">
        <v>-7</v>
      </c>
      <c r="E153" s="30">
        <v>-7</v>
      </c>
      <c r="F153" s="30">
        <v>-7</v>
      </c>
      <c r="G153" s="30">
        <v>-7</v>
      </c>
      <c r="H153" s="30">
        <v>-7</v>
      </c>
      <c r="I153" s="30">
        <v>-7</v>
      </c>
      <c r="J153" s="30">
        <v>-7</v>
      </c>
      <c r="K153" s="30">
        <v>-7</v>
      </c>
      <c r="L153" s="30">
        <v>0</v>
      </c>
      <c r="M153" s="30">
        <v>-7</v>
      </c>
      <c r="N153" s="30">
        <v>-7</v>
      </c>
      <c r="O153" s="50"/>
      <c r="P153">
        <v>14</v>
      </c>
      <c r="Y153">
        <v>1</v>
      </c>
      <c r="AA153">
        <v>2</v>
      </c>
    </row>
    <row r="154" spans="1:29" x14ac:dyDescent="0.75">
      <c r="A154" s="35" t="s">
        <v>304</v>
      </c>
      <c r="B154" s="30">
        <v>-7</v>
      </c>
      <c r="C154" s="30">
        <v>-7</v>
      </c>
      <c r="D154" s="30">
        <v>-7</v>
      </c>
      <c r="E154" s="30">
        <v>-7</v>
      </c>
      <c r="F154" s="30">
        <v>-7</v>
      </c>
      <c r="G154" s="30">
        <v>-7</v>
      </c>
      <c r="H154" s="30">
        <v>-7</v>
      </c>
      <c r="I154" s="30">
        <v>-7</v>
      </c>
      <c r="J154" s="30">
        <v>-7</v>
      </c>
      <c r="K154" s="30">
        <v>-7</v>
      </c>
      <c r="L154" s="30">
        <v>-7</v>
      </c>
      <c r="M154" s="30">
        <v>0</v>
      </c>
      <c r="N154" s="30">
        <v>-7</v>
      </c>
      <c r="O154" s="50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75">
      <c r="A155" s="35" t="s">
        <v>303</v>
      </c>
      <c r="B155" s="30">
        <v>-7</v>
      </c>
      <c r="C155" s="30">
        <v>-7</v>
      </c>
      <c r="D155" s="30">
        <v>-7</v>
      </c>
      <c r="E155" s="30">
        <v>-7</v>
      </c>
      <c r="F155" s="30">
        <v>-7</v>
      </c>
      <c r="G155" s="30">
        <v>-7</v>
      </c>
      <c r="H155" s="30">
        <v>-7</v>
      </c>
      <c r="I155" s="30">
        <v>-7</v>
      </c>
      <c r="J155" s="30">
        <v>-7</v>
      </c>
      <c r="K155" s="30">
        <v>-7</v>
      </c>
      <c r="L155" s="30">
        <v>-7</v>
      </c>
      <c r="M155" s="30">
        <v>0</v>
      </c>
      <c r="N155" s="30">
        <v>-7</v>
      </c>
      <c r="O155" s="50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75">
      <c r="A156" s="35" t="s">
        <v>302</v>
      </c>
      <c r="B156" s="30">
        <v>-7</v>
      </c>
      <c r="C156" s="30">
        <v>-7</v>
      </c>
      <c r="D156" s="30">
        <v>-7</v>
      </c>
      <c r="E156" s="30">
        <v>-7</v>
      </c>
      <c r="F156" s="30">
        <v>-7</v>
      </c>
      <c r="G156" s="30">
        <v>-7</v>
      </c>
      <c r="H156" s="30">
        <v>-7</v>
      </c>
      <c r="I156" s="30">
        <v>-7</v>
      </c>
      <c r="J156" s="30">
        <v>-7</v>
      </c>
      <c r="K156" s="30">
        <v>-7</v>
      </c>
      <c r="L156" s="30">
        <v>-7</v>
      </c>
      <c r="M156" s="30">
        <v>5</v>
      </c>
      <c r="N156" s="30">
        <v>-7</v>
      </c>
      <c r="O156" s="50"/>
      <c r="P156">
        <v>14</v>
      </c>
      <c r="U156">
        <v>1</v>
      </c>
      <c r="Y156">
        <v>1</v>
      </c>
      <c r="AA156">
        <v>1</v>
      </c>
    </row>
    <row r="157" spans="1:29" x14ac:dyDescent="0.75">
      <c r="A157" s="35" t="s">
        <v>301</v>
      </c>
      <c r="B157" s="30">
        <v>-7</v>
      </c>
      <c r="C157" s="30">
        <v>-7</v>
      </c>
      <c r="D157" s="30">
        <v>-7</v>
      </c>
      <c r="E157" s="30">
        <v>-7</v>
      </c>
      <c r="F157" s="30">
        <v>-7</v>
      </c>
      <c r="G157" s="30">
        <v>-7</v>
      </c>
      <c r="H157" s="30">
        <v>-7</v>
      </c>
      <c r="I157" s="30">
        <v>-7</v>
      </c>
      <c r="J157" s="30">
        <v>-7</v>
      </c>
      <c r="K157" s="30">
        <v>-7</v>
      </c>
      <c r="L157" s="30">
        <v>-7</v>
      </c>
      <c r="M157" s="30">
        <v>2</v>
      </c>
      <c r="N157" s="30">
        <v>-7</v>
      </c>
      <c r="O157" s="50"/>
      <c r="P157">
        <v>20</v>
      </c>
      <c r="U157">
        <v>1</v>
      </c>
      <c r="Y157">
        <v>1</v>
      </c>
      <c r="AA157">
        <v>1</v>
      </c>
    </row>
    <row r="158" spans="1:29" x14ac:dyDescent="0.75">
      <c r="A158" s="35" t="s">
        <v>300</v>
      </c>
      <c r="B158" s="30">
        <v>-7</v>
      </c>
      <c r="C158" s="30">
        <v>-7</v>
      </c>
      <c r="D158" s="30">
        <v>-7</v>
      </c>
      <c r="E158" s="30">
        <v>-7</v>
      </c>
      <c r="F158" s="30">
        <v>-7</v>
      </c>
      <c r="G158" s="30">
        <v>-7</v>
      </c>
      <c r="H158" s="30">
        <v>-7</v>
      </c>
      <c r="I158" s="30">
        <v>-7</v>
      </c>
      <c r="J158" s="30">
        <v>-7</v>
      </c>
      <c r="K158" s="30">
        <v>-7</v>
      </c>
      <c r="L158" s="30">
        <v>-7</v>
      </c>
      <c r="M158" s="30">
        <v>0</v>
      </c>
      <c r="N158" s="30">
        <v>-7</v>
      </c>
      <c r="O158" s="50"/>
      <c r="P158">
        <v>31</v>
      </c>
      <c r="U158">
        <v>1</v>
      </c>
      <c r="Y158">
        <v>2</v>
      </c>
      <c r="AA158">
        <v>1</v>
      </c>
    </row>
    <row r="159" spans="1:29" x14ac:dyDescent="0.75">
      <c r="A159" s="35" t="s">
        <v>299</v>
      </c>
      <c r="B159" s="30">
        <v>-7</v>
      </c>
      <c r="C159" s="30">
        <v>-7</v>
      </c>
      <c r="D159" s="30">
        <v>-7</v>
      </c>
      <c r="E159" s="30">
        <v>-7</v>
      </c>
      <c r="F159" s="30">
        <v>-7</v>
      </c>
      <c r="G159" s="30">
        <v>-7</v>
      </c>
      <c r="H159" s="30">
        <v>-7</v>
      </c>
      <c r="I159" s="30">
        <v>-7</v>
      </c>
      <c r="J159" s="30">
        <v>-7</v>
      </c>
      <c r="K159" s="30">
        <v>-7</v>
      </c>
      <c r="L159" s="30">
        <v>-7</v>
      </c>
      <c r="M159" s="30">
        <v>5</v>
      </c>
      <c r="N159" s="30">
        <v>-7</v>
      </c>
      <c r="O159" s="50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75">
      <c r="A160" s="35" t="s">
        <v>298</v>
      </c>
      <c r="B160" s="30">
        <v>-7</v>
      </c>
      <c r="C160" s="30">
        <v>-7</v>
      </c>
      <c r="D160" s="30">
        <v>-7</v>
      </c>
      <c r="E160" s="30">
        <v>-7</v>
      </c>
      <c r="F160" s="30">
        <v>-7</v>
      </c>
      <c r="G160" s="30">
        <v>-7</v>
      </c>
      <c r="H160" s="30">
        <v>-7</v>
      </c>
      <c r="I160" s="30">
        <v>-7</v>
      </c>
      <c r="J160" s="30">
        <v>-7</v>
      </c>
      <c r="K160" s="30">
        <v>-7</v>
      </c>
      <c r="L160" s="30">
        <v>-7</v>
      </c>
      <c r="M160" s="30">
        <v>-7</v>
      </c>
      <c r="N160" s="30">
        <v>-7</v>
      </c>
      <c r="O160" s="50"/>
      <c r="Y160">
        <v>1</v>
      </c>
      <c r="AA160">
        <v>1</v>
      </c>
      <c r="AB160">
        <v>30</v>
      </c>
    </row>
    <row r="161" spans="1:29" x14ac:dyDescent="0.75">
      <c r="A161" s="35" t="s">
        <v>297</v>
      </c>
      <c r="B161" s="30">
        <v>-7</v>
      </c>
      <c r="C161" s="30">
        <v>-7</v>
      </c>
      <c r="D161" s="30">
        <v>-7</v>
      </c>
      <c r="E161" s="30">
        <v>-7</v>
      </c>
      <c r="F161" s="30">
        <v>-7</v>
      </c>
      <c r="G161" s="30">
        <v>-7</v>
      </c>
      <c r="H161" s="30">
        <v>-7</v>
      </c>
      <c r="I161" s="30">
        <v>-7</v>
      </c>
      <c r="J161" s="30">
        <v>-7</v>
      </c>
      <c r="K161" s="30">
        <v>-7</v>
      </c>
      <c r="L161" s="30">
        <v>-7</v>
      </c>
      <c r="M161" s="30">
        <v>-7</v>
      </c>
      <c r="N161" s="30">
        <v>-7</v>
      </c>
      <c r="O161" s="50"/>
      <c r="AC161">
        <v>20</v>
      </c>
    </row>
    <row r="162" spans="1:29" x14ac:dyDescent="0.75">
      <c r="A162" s="35" t="s">
        <v>296</v>
      </c>
      <c r="B162" s="30">
        <v>-7</v>
      </c>
      <c r="C162" s="30">
        <v>-7</v>
      </c>
      <c r="D162" s="30">
        <v>-7</v>
      </c>
      <c r="E162" s="30">
        <v>-7</v>
      </c>
      <c r="F162" s="30">
        <v>-7</v>
      </c>
      <c r="G162" s="30">
        <v>-7</v>
      </c>
      <c r="H162" s="30">
        <v>-7</v>
      </c>
      <c r="I162" s="30">
        <v>-7</v>
      </c>
      <c r="J162" s="30">
        <v>-7</v>
      </c>
      <c r="K162" s="30">
        <v>-7</v>
      </c>
      <c r="L162" s="30">
        <v>-7</v>
      </c>
      <c r="M162" s="30">
        <v>-7</v>
      </c>
      <c r="N162" s="30">
        <v>-7</v>
      </c>
      <c r="O162" s="50"/>
      <c r="AC162">
        <v>10</v>
      </c>
    </row>
    <row r="163" spans="1:29" x14ac:dyDescent="0.75">
      <c r="A163" s="35" t="s">
        <v>295</v>
      </c>
      <c r="B163" s="30">
        <v>-7</v>
      </c>
      <c r="C163" s="30">
        <v>-7</v>
      </c>
      <c r="D163" s="30">
        <v>-7</v>
      </c>
      <c r="E163" s="30">
        <v>-7</v>
      </c>
      <c r="F163" s="30">
        <v>-7</v>
      </c>
      <c r="G163" s="30">
        <v>-7</v>
      </c>
      <c r="H163" s="30">
        <v>-7</v>
      </c>
      <c r="I163" s="30">
        <v>-7</v>
      </c>
      <c r="J163" s="30">
        <v>-7</v>
      </c>
      <c r="K163" s="30">
        <v>-7</v>
      </c>
      <c r="L163" s="30">
        <v>-7</v>
      </c>
      <c r="M163" s="30">
        <v>-7</v>
      </c>
      <c r="N163" s="30">
        <v>-7</v>
      </c>
      <c r="O163" s="50"/>
      <c r="Y163">
        <v>1</v>
      </c>
      <c r="AA163">
        <v>1</v>
      </c>
      <c r="AC163">
        <v>80</v>
      </c>
    </row>
    <row r="164" spans="1:29" x14ac:dyDescent="0.75">
      <c r="A164" s="35" t="s">
        <v>294</v>
      </c>
      <c r="B164" s="30">
        <v>-7</v>
      </c>
      <c r="C164" s="30">
        <v>-7</v>
      </c>
      <c r="D164" s="30">
        <v>-7</v>
      </c>
      <c r="E164" s="30">
        <v>-7</v>
      </c>
      <c r="F164" s="30">
        <v>-7</v>
      </c>
      <c r="G164" s="30">
        <v>-7</v>
      </c>
      <c r="H164" s="30">
        <v>-7</v>
      </c>
      <c r="I164" s="30">
        <v>-7</v>
      </c>
      <c r="J164" s="30">
        <v>-7</v>
      </c>
      <c r="K164" s="30">
        <v>-7</v>
      </c>
      <c r="L164" s="30">
        <v>0</v>
      </c>
      <c r="M164" s="30">
        <v>-3</v>
      </c>
      <c r="N164" s="30">
        <v>-7</v>
      </c>
      <c r="O164" s="50"/>
      <c r="P164">
        <v>25</v>
      </c>
    </row>
    <row r="165" spans="1:29" x14ac:dyDescent="0.75">
      <c r="A165" s="35" t="s">
        <v>293</v>
      </c>
      <c r="B165" s="30">
        <v>-7</v>
      </c>
      <c r="C165" s="30">
        <v>-7</v>
      </c>
      <c r="D165" s="30">
        <v>-7</v>
      </c>
      <c r="E165" s="30">
        <v>-7</v>
      </c>
      <c r="F165" s="30">
        <v>-7</v>
      </c>
      <c r="G165" s="30">
        <v>-7</v>
      </c>
      <c r="H165" s="30">
        <v>-7</v>
      </c>
      <c r="I165" s="30">
        <v>-7</v>
      </c>
      <c r="J165" s="30">
        <v>-7</v>
      </c>
      <c r="K165" s="30">
        <v>-7</v>
      </c>
      <c r="L165" s="30">
        <v>5</v>
      </c>
      <c r="M165" s="30">
        <v>0</v>
      </c>
      <c r="N165" s="30">
        <v>-7</v>
      </c>
      <c r="O165" s="50"/>
      <c r="P165">
        <v>7</v>
      </c>
    </row>
    <row r="166" spans="1:29" x14ac:dyDescent="0.75">
      <c r="A166" s="35" t="s">
        <v>292</v>
      </c>
      <c r="B166" s="30">
        <v>-7</v>
      </c>
      <c r="C166" s="30">
        <v>-7</v>
      </c>
      <c r="D166" s="30">
        <v>-7</v>
      </c>
      <c r="E166" s="30">
        <v>-7</v>
      </c>
      <c r="F166" s="30">
        <v>-7</v>
      </c>
      <c r="G166" s="30">
        <v>-7</v>
      </c>
      <c r="H166" s="30">
        <v>-7</v>
      </c>
      <c r="I166" s="30">
        <v>-7</v>
      </c>
      <c r="J166" s="30">
        <v>-7</v>
      </c>
      <c r="K166" s="30">
        <v>-7</v>
      </c>
      <c r="L166" s="30">
        <v>-7</v>
      </c>
      <c r="M166" s="30">
        <v>-7</v>
      </c>
      <c r="N166" s="30">
        <v>-7</v>
      </c>
      <c r="O166" s="50"/>
    </row>
    <row r="167" spans="1:29" x14ac:dyDescent="0.75">
      <c r="A167" s="35" t="s">
        <v>291</v>
      </c>
      <c r="B167" s="30">
        <v>-7</v>
      </c>
      <c r="C167" s="30">
        <v>-7</v>
      </c>
      <c r="D167" s="30">
        <v>-7</v>
      </c>
      <c r="E167" s="30">
        <v>-7</v>
      </c>
      <c r="F167" s="30">
        <v>-7</v>
      </c>
      <c r="G167" s="30">
        <v>-7</v>
      </c>
      <c r="H167" s="30">
        <v>-7</v>
      </c>
      <c r="I167" s="30">
        <v>-7</v>
      </c>
      <c r="J167" s="30">
        <v>-7</v>
      </c>
      <c r="K167" s="30">
        <v>-7</v>
      </c>
      <c r="L167" s="30">
        <v>-7</v>
      </c>
      <c r="M167" s="30">
        <v>-7</v>
      </c>
      <c r="N167" s="30">
        <v>-7</v>
      </c>
      <c r="O167" s="50"/>
    </row>
    <row r="168" spans="1:29" x14ac:dyDescent="0.75">
      <c r="A168" s="35" t="s">
        <v>290</v>
      </c>
      <c r="B168" s="30">
        <v>-7</v>
      </c>
      <c r="C168" s="30">
        <v>-7</v>
      </c>
      <c r="D168" s="30">
        <v>-7</v>
      </c>
      <c r="E168" s="30">
        <v>-7</v>
      </c>
      <c r="F168" s="30">
        <v>-7</v>
      </c>
      <c r="G168" s="30">
        <v>-7</v>
      </c>
      <c r="H168" s="30">
        <v>-7</v>
      </c>
      <c r="I168" s="30">
        <v>-7</v>
      </c>
      <c r="J168" s="30">
        <v>-7</v>
      </c>
      <c r="K168" s="30">
        <v>-7</v>
      </c>
      <c r="L168" s="30">
        <v>0</v>
      </c>
      <c r="M168" s="30">
        <v>-7</v>
      </c>
      <c r="N168" s="30">
        <v>-7</v>
      </c>
      <c r="O168" s="50"/>
      <c r="P168">
        <v>32</v>
      </c>
    </row>
    <row r="169" spans="1:29" x14ac:dyDescent="0.75">
      <c r="A169" s="35" t="s">
        <v>289</v>
      </c>
      <c r="B169" s="30">
        <v>-7</v>
      </c>
      <c r="C169" s="30">
        <v>-7</v>
      </c>
      <c r="D169" s="30">
        <v>-7</v>
      </c>
      <c r="E169" s="30">
        <v>-7</v>
      </c>
      <c r="F169" s="30">
        <v>-7</v>
      </c>
      <c r="G169" s="30">
        <v>-7</v>
      </c>
      <c r="H169" s="30">
        <v>-7</v>
      </c>
      <c r="I169" s="30">
        <v>-7</v>
      </c>
      <c r="J169" s="30">
        <v>-7</v>
      </c>
      <c r="K169" s="30">
        <v>-7</v>
      </c>
      <c r="L169" s="30">
        <v>-7</v>
      </c>
      <c r="M169" s="30">
        <v>-7</v>
      </c>
      <c r="N169" s="30">
        <v>-7</v>
      </c>
      <c r="O169" s="50"/>
      <c r="AC169">
        <v>40</v>
      </c>
    </row>
    <row r="170" spans="1:29" x14ac:dyDescent="0.75">
      <c r="A170" s="35" t="s">
        <v>288</v>
      </c>
      <c r="B170" s="30">
        <v>-7</v>
      </c>
      <c r="C170" s="30">
        <v>-7</v>
      </c>
      <c r="D170" s="30">
        <v>-7</v>
      </c>
      <c r="E170" s="30">
        <v>-7</v>
      </c>
      <c r="F170" s="30">
        <v>-7</v>
      </c>
      <c r="G170" s="30">
        <v>-7</v>
      </c>
      <c r="H170" s="30">
        <v>-7</v>
      </c>
      <c r="I170" s="30">
        <v>-7</v>
      </c>
      <c r="J170" s="30">
        <v>-7</v>
      </c>
      <c r="K170" s="30">
        <v>-7</v>
      </c>
      <c r="L170" s="30">
        <v>-7</v>
      </c>
      <c r="M170" s="30">
        <v>-7</v>
      </c>
      <c r="N170" s="30">
        <v>-7</v>
      </c>
      <c r="O170" s="50"/>
    </row>
    <row r="171" spans="1:29" x14ac:dyDescent="0.75">
      <c r="A171" s="35" t="s">
        <v>287</v>
      </c>
      <c r="B171" s="30">
        <v>-7</v>
      </c>
      <c r="C171" s="30">
        <v>-7</v>
      </c>
      <c r="D171" s="30">
        <v>-7</v>
      </c>
      <c r="E171" s="30">
        <v>-7</v>
      </c>
      <c r="F171" s="30">
        <v>-7</v>
      </c>
      <c r="G171" s="30">
        <v>-7</v>
      </c>
      <c r="H171" s="30">
        <v>-7</v>
      </c>
      <c r="I171" s="30">
        <v>-7</v>
      </c>
      <c r="J171" s="30">
        <v>-7</v>
      </c>
      <c r="K171" s="30">
        <v>-7</v>
      </c>
      <c r="L171" s="30">
        <v>-7</v>
      </c>
      <c r="M171" s="30">
        <v>-7</v>
      </c>
      <c r="N171" s="30">
        <v>-7</v>
      </c>
      <c r="O171" s="50"/>
    </row>
    <row r="172" spans="1:29" x14ac:dyDescent="0.75">
      <c r="A172" s="35" t="s">
        <v>286</v>
      </c>
      <c r="B172" s="30">
        <v>-7</v>
      </c>
      <c r="C172" s="30">
        <v>-7</v>
      </c>
      <c r="D172" s="30">
        <v>-7</v>
      </c>
      <c r="E172" s="30">
        <v>-7</v>
      </c>
      <c r="F172" s="30">
        <v>-7</v>
      </c>
      <c r="G172" s="30">
        <v>-7</v>
      </c>
      <c r="H172" s="30">
        <v>-7</v>
      </c>
      <c r="I172" s="30">
        <v>-7</v>
      </c>
      <c r="J172" s="30">
        <v>-7</v>
      </c>
      <c r="K172" s="30">
        <v>5</v>
      </c>
      <c r="L172" s="30">
        <v>-7</v>
      </c>
      <c r="M172" s="30">
        <v>-7</v>
      </c>
      <c r="N172" s="30">
        <v>-7</v>
      </c>
      <c r="O172" s="50"/>
      <c r="AC172">
        <v>68</v>
      </c>
    </row>
    <row r="173" spans="1:29" x14ac:dyDescent="0.75">
      <c r="A173" s="35" t="s">
        <v>285</v>
      </c>
      <c r="B173" s="30">
        <v>-7</v>
      </c>
      <c r="C173" s="30">
        <v>-7</v>
      </c>
      <c r="D173" s="30">
        <v>-7</v>
      </c>
      <c r="E173" s="30">
        <v>-7</v>
      </c>
      <c r="F173" s="30">
        <v>-7</v>
      </c>
      <c r="G173" s="30">
        <v>-7</v>
      </c>
      <c r="H173" s="30">
        <v>-7</v>
      </c>
      <c r="I173" s="30">
        <v>-7</v>
      </c>
      <c r="J173" s="30">
        <v>-7</v>
      </c>
      <c r="K173" s="30">
        <v>-7</v>
      </c>
      <c r="L173" s="30">
        <v>-7</v>
      </c>
      <c r="M173" s="30">
        <v>-7</v>
      </c>
      <c r="N173" s="30">
        <v>-7</v>
      </c>
      <c r="O173" s="50"/>
    </row>
    <row r="174" spans="1:29" x14ac:dyDescent="0.75">
      <c r="A174" s="35" t="s">
        <v>284</v>
      </c>
      <c r="B174" s="30">
        <v>-7</v>
      </c>
      <c r="C174" s="30">
        <v>-7</v>
      </c>
      <c r="D174" s="30">
        <v>-7</v>
      </c>
      <c r="E174" s="30">
        <v>-7</v>
      </c>
      <c r="F174" s="30">
        <v>-7</v>
      </c>
      <c r="G174" s="30">
        <v>-7</v>
      </c>
      <c r="H174" s="30">
        <v>-7</v>
      </c>
      <c r="I174" s="30">
        <v>-7</v>
      </c>
      <c r="J174" s="30">
        <v>-7</v>
      </c>
      <c r="K174" s="30">
        <v>3</v>
      </c>
      <c r="L174" s="30">
        <v>-7</v>
      </c>
      <c r="M174" s="30">
        <v>-7</v>
      </c>
      <c r="N174" s="30">
        <v>-7</v>
      </c>
      <c r="O174" s="50"/>
      <c r="AC174">
        <v>84</v>
      </c>
    </row>
    <row r="175" spans="1:29" x14ac:dyDescent="0.75">
      <c r="A175" s="35" t="s">
        <v>283</v>
      </c>
      <c r="B175" s="30">
        <v>-7</v>
      </c>
      <c r="C175" s="30">
        <v>-7</v>
      </c>
      <c r="D175" s="30">
        <v>-7</v>
      </c>
      <c r="E175" s="30">
        <v>-7</v>
      </c>
      <c r="F175" s="30">
        <v>-7</v>
      </c>
      <c r="G175" s="30">
        <v>-7</v>
      </c>
      <c r="H175" s="30">
        <v>-7</v>
      </c>
      <c r="I175" s="30">
        <v>-7</v>
      </c>
      <c r="J175" s="30">
        <v>-7</v>
      </c>
      <c r="K175" s="30">
        <v>-7</v>
      </c>
      <c r="L175" s="30">
        <v>-7</v>
      </c>
      <c r="M175" s="30">
        <v>-7</v>
      </c>
      <c r="N175" s="30">
        <v>-7</v>
      </c>
      <c r="O175" s="50"/>
    </row>
    <row r="176" spans="1:29" x14ac:dyDescent="0.75">
      <c r="A176" s="35" t="s">
        <v>282</v>
      </c>
      <c r="B176" s="30">
        <v>-7</v>
      </c>
      <c r="C176" s="30">
        <v>-7</v>
      </c>
      <c r="D176" s="30">
        <v>-7</v>
      </c>
      <c r="E176" s="30">
        <v>-7</v>
      </c>
      <c r="F176" s="30">
        <v>-7</v>
      </c>
      <c r="G176" s="30">
        <v>-7</v>
      </c>
      <c r="H176" s="30">
        <v>-7</v>
      </c>
      <c r="I176" s="30">
        <v>-7</v>
      </c>
      <c r="J176" s="30">
        <v>-7</v>
      </c>
      <c r="K176" s="30">
        <v>-7</v>
      </c>
      <c r="L176" s="30">
        <v>-7</v>
      </c>
      <c r="M176" s="30">
        <v>-7</v>
      </c>
      <c r="N176" s="30">
        <v>-7</v>
      </c>
      <c r="O176" s="50"/>
    </row>
    <row r="177" spans="1:29" x14ac:dyDescent="0.75">
      <c r="A177" s="35" t="s">
        <v>281</v>
      </c>
      <c r="B177" s="30">
        <v>-7</v>
      </c>
      <c r="C177" s="30">
        <v>-7</v>
      </c>
      <c r="D177" s="30">
        <v>-7</v>
      </c>
      <c r="E177" s="30">
        <v>-7</v>
      </c>
      <c r="F177" s="30">
        <v>-7</v>
      </c>
      <c r="G177" s="30">
        <v>-7</v>
      </c>
      <c r="H177" s="30">
        <v>-7</v>
      </c>
      <c r="I177" s="30">
        <v>-7</v>
      </c>
      <c r="J177" s="30">
        <v>-7</v>
      </c>
      <c r="K177" s="30">
        <v>-7</v>
      </c>
      <c r="L177" s="30">
        <v>-7</v>
      </c>
      <c r="M177" s="30">
        <v>-1</v>
      </c>
      <c r="N177" s="30">
        <v>-7</v>
      </c>
      <c r="O177" s="50"/>
      <c r="P177">
        <v>45</v>
      </c>
    </row>
    <row r="178" spans="1:29" x14ac:dyDescent="0.75">
      <c r="A178" s="35" t="s">
        <v>280</v>
      </c>
      <c r="B178" s="30">
        <v>-7</v>
      </c>
      <c r="C178" s="30">
        <v>-7</v>
      </c>
      <c r="D178" s="30">
        <v>-7</v>
      </c>
      <c r="E178" s="30">
        <v>-7</v>
      </c>
      <c r="F178" s="30">
        <v>-7</v>
      </c>
      <c r="G178" s="30">
        <v>-7</v>
      </c>
      <c r="H178" s="30">
        <v>-7</v>
      </c>
      <c r="I178" s="30">
        <v>-7</v>
      </c>
      <c r="J178" s="30">
        <v>-7</v>
      </c>
      <c r="K178" s="30">
        <v>-7</v>
      </c>
      <c r="L178" s="30">
        <v>-7</v>
      </c>
      <c r="M178" s="30">
        <v>0</v>
      </c>
      <c r="N178" s="30">
        <v>-7</v>
      </c>
      <c r="O178" s="50"/>
      <c r="P178">
        <v>70</v>
      </c>
      <c r="U178">
        <v>1</v>
      </c>
      <c r="Y178">
        <v>1</v>
      </c>
      <c r="AA178">
        <v>2</v>
      </c>
    </row>
    <row r="179" spans="1:29" x14ac:dyDescent="0.75">
      <c r="A179" s="35" t="s">
        <v>279</v>
      </c>
      <c r="B179" s="30">
        <v>-7</v>
      </c>
      <c r="C179" s="30">
        <v>-7</v>
      </c>
      <c r="D179" s="30">
        <v>-7</v>
      </c>
      <c r="E179" s="30">
        <v>-2</v>
      </c>
      <c r="F179" s="30">
        <v>-7</v>
      </c>
      <c r="G179" s="30">
        <v>-7</v>
      </c>
      <c r="H179" s="30">
        <v>-7</v>
      </c>
      <c r="I179" s="30">
        <v>-7</v>
      </c>
      <c r="J179" s="30">
        <v>-7</v>
      </c>
      <c r="K179" s="30">
        <v>-7</v>
      </c>
      <c r="L179" s="30">
        <v>-7</v>
      </c>
      <c r="M179" s="30">
        <v>-7</v>
      </c>
      <c r="N179" s="30">
        <v>-7</v>
      </c>
      <c r="O179" s="50"/>
      <c r="R179">
        <v>2</v>
      </c>
      <c r="X179">
        <v>1</v>
      </c>
      <c r="Y179">
        <v>1</v>
      </c>
      <c r="AC179">
        <v>80</v>
      </c>
    </row>
    <row r="180" spans="1:29" x14ac:dyDescent="0.75">
      <c r="A180" s="35" t="s">
        <v>278</v>
      </c>
      <c r="B180" s="30">
        <v>-7</v>
      </c>
      <c r="C180" s="30">
        <v>-7</v>
      </c>
      <c r="D180" s="30">
        <v>-7</v>
      </c>
      <c r="E180" s="30">
        <v>0</v>
      </c>
      <c r="F180" s="30">
        <v>-7</v>
      </c>
      <c r="G180" s="30">
        <v>-7</v>
      </c>
      <c r="H180" s="30">
        <v>-7</v>
      </c>
      <c r="I180" s="30">
        <v>-3</v>
      </c>
      <c r="J180" s="30">
        <v>-7</v>
      </c>
      <c r="K180" s="30">
        <v>-7</v>
      </c>
      <c r="L180" s="30">
        <v>-7</v>
      </c>
      <c r="M180" s="30">
        <v>-7</v>
      </c>
      <c r="N180" s="30">
        <v>-7</v>
      </c>
      <c r="O180" s="50"/>
      <c r="P180">
        <v>5</v>
      </c>
    </row>
    <row r="181" spans="1:29" x14ac:dyDescent="0.75">
      <c r="A181" s="35" t="s">
        <v>277</v>
      </c>
      <c r="B181" s="30">
        <v>-7</v>
      </c>
      <c r="C181" s="30">
        <v>-7</v>
      </c>
      <c r="D181" s="30">
        <v>-7</v>
      </c>
      <c r="E181" s="30">
        <v>-2</v>
      </c>
      <c r="F181" s="30">
        <v>-7</v>
      </c>
      <c r="G181" s="30">
        <v>-7</v>
      </c>
      <c r="H181" s="30">
        <v>-7</v>
      </c>
      <c r="I181" s="30">
        <v>-7</v>
      </c>
      <c r="J181" s="30">
        <v>-7</v>
      </c>
      <c r="K181" s="30">
        <v>-7</v>
      </c>
      <c r="L181" s="30">
        <v>-7</v>
      </c>
      <c r="M181" s="30">
        <v>-7</v>
      </c>
      <c r="N181" s="30">
        <v>-7</v>
      </c>
      <c r="O181" s="50"/>
      <c r="P181">
        <v>17</v>
      </c>
    </row>
    <row r="182" spans="1:29" x14ac:dyDescent="0.75">
      <c r="A182" s="35" t="s">
        <v>276</v>
      </c>
      <c r="B182" s="30">
        <v>-7</v>
      </c>
      <c r="C182" s="30">
        <v>-7</v>
      </c>
      <c r="D182" s="30">
        <v>-7</v>
      </c>
      <c r="E182" s="30">
        <v>-1</v>
      </c>
      <c r="F182" s="30">
        <v>-7</v>
      </c>
      <c r="G182" s="30">
        <v>-7</v>
      </c>
      <c r="H182" s="30">
        <v>-7</v>
      </c>
      <c r="I182" s="30">
        <v>-3</v>
      </c>
      <c r="J182" s="30">
        <v>-7</v>
      </c>
      <c r="K182" s="30">
        <v>-7</v>
      </c>
      <c r="L182" s="30">
        <v>-7</v>
      </c>
      <c r="M182" s="30">
        <v>-7</v>
      </c>
      <c r="N182" s="30">
        <v>-7</v>
      </c>
      <c r="O182" s="50"/>
      <c r="R182">
        <v>2</v>
      </c>
      <c r="X182">
        <v>1</v>
      </c>
      <c r="Y182">
        <v>1</v>
      </c>
      <c r="AC182">
        <v>50</v>
      </c>
    </row>
    <row r="183" spans="1:29" x14ac:dyDescent="0.75">
      <c r="A183" s="35" t="s">
        <v>275</v>
      </c>
      <c r="B183" s="30">
        <v>-7</v>
      </c>
      <c r="C183" s="30">
        <v>-7</v>
      </c>
      <c r="D183" s="30">
        <v>-7</v>
      </c>
      <c r="E183" s="30">
        <v>0</v>
      </c>
      <c r="F183" s="30">
        <v>-7</v>
      </c>
      <c r="G183" s="30">
        <v>-7</v>
      </c>
      <c r="H183" s="30">
        <v>-7</v>
      </c>
      <c r="I183" s="30">
        <v>-3</v>
      </c>
      <c r="J183" s="30">
        <v>-7</v>
      </c>
      <c r="K183" s="30">
        <v>-7</v>
      </c>
      <c r="L183" s="30">
        <v>-7</v>
      </c>
      <c r="M183" s="30">
        <v>-7</v>
      </c>
      <c r="N183" s="30">
        <v>-7</v>
      </c>
      <c r="O183" s="50"/>
      <c r="AC183">
        <v>18</v>
      </c>
    </row>
    <row r="184" spans="1:29" x14ac:dyDescent="0.75">
      <c r="A184" s="35" t="s">
        <v>274</v>
      </c>
      <c r="B184" s="30">
        <v>-7</v>
      </c>
      <c r="C184" s="30">
        <v>-7</v>
      </c>
      <c r="D184" s="30">
        <v>-7</v>
      </c>
      <c r="E184" s="30">
        <v>-3</v>
      </c>
      <c r="F184" s="30">
        <v>-7</v>
      </c>
      <c r="G184" s="30">
        <v>-7</v>
      </c>
      <c r="H184" s="30">
        <v>-7</v>
      </c>
      <c r="I184" s="30">
        <v>0</v>
      </c>
      <c r="J184" s="30">
        <v>-7</v>
      </c>
      <c r="K184" s="30">
        <v>-7</v>
      </c>
      <c r="L184" s="30">
        <v>-7</v>
      </c>
      <c r="M184" s="30">
        <v>-7</v>
      </c>
      <c r="N184" s="30">
        <v>-7</v>
      </c>
      <c r="O184" s="50"/>
      <c r="AC184">
        <v>70</v>
      </c>
    </row>
    <row r="185" spans="1:29" x14ac:dyDescent="0.75">
      <c r="A185" s="35" t="s">
        <v>273</v>
      </c>
      <c r="B185" s="30">
        <v>-7</v>
      </c>
      <c r="C185" s="30">
        <v>-7</v>
      </c>
      <c r="D185" s="30">
        <v>-7</v>
      </c>
      <c r="E185" s="30">
        <v>-3</v>
      </c>
      <c r="F185" s="30">
        <v>-7</v>
      </c>
      <c r="G185" s="30">
        <v>-7</v>
      </c>
      <c r="H185" s="30">
        <v>-7</v>
      </c>
      <c r="I185" s="30">
        <v>0</v>
      </c>
      <c r="J185" s="30">
        <v>-7</v>
      </c>
      <c r="K185" s="30">
        <v>-7</v>
      </c>
      <c r="L185" s="30">
        <v>-7</v>
      </c>
      <c r="M185" s="30">
        <v>-7</v>
      </c>
      <c r="N185" s="30">
        <v>-7</v>
      </c>
      <c r="O185" s="50"/>
      <c r="Y185">
        <v>2</v>
      </c>
      <c r="AC185">
        <v>25</v>
      </c>
    </row>
    <row r="186" spans="1:29" x14ac:dyDescent="0.75">
      <c r="A186" s="35" t="s">
        <v>272</v>
      </c>
      <c r="B186" s="30">
        <v>-7</v>
      </c>
      <c r="C186" s="30">
        <v>-7</v>
      </c>
      <c r="D186" s="30">
        <v>-7</v>
      </c>
      <c r="E186" s="30">
        <v>0</v>
      </c>
      <c r="F186" s="30">
        <v>-7</v>
      </c>
      <c r="G186" s="30">
        <v>-7</v>
      </c>
      <c r="H186" s="30">
        <v>-7</v>
      </c>
      <c r="I186" s="30">
        <v>-7</v>
      </c>
      <c r="J186" s="30">
        <v>-7</v>
      </c>
      <c r="K186" s="30">
        <v>-7</v>
      </c>
      <c r="L186" s="30">
        <v>-7</v>
      </c>
      <c r="M186" s="30">
        <v>-7</v>
      </c>
      <c r="N186" s="30">
        <v>-7</v>
      </c>
      <c r="O186" s="50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75">
      <c r="A187" s="35" t="s">
        <v>271</v>
      </c>
      <c r="B187" s="30">
        <v>-7</v>
      </c>
      <c r="C187" s="30">
        <v>-7</v>
      </c>
      <c r="D187" s="30">
        <v>-7</v>
      </c>
      <c r="E187" s="30">
        <v>-3</v>
      </c>
      <c r="F187" s="30">
        <v>-7</v>
      </c>
      <c r="G187" s="30">
        <v>-7</v>
      </c>
      <c r="H187" s="30">
        <v>-7</v>
      </c>
      <c r="I187" s="30">
        <v>-7</v>
      </c>
      <c r="J187" s="30">
        <v>-7</v>
      </c>
      <c r="K187" s="30">
        <v>-7</v>
      </c>
      <c r="L187" s="30">
        <v>-7</v>
      </c>
      <c r="M187" s="30">
        <v>-7</v>
      </c>
      <c r="N187" s="30">
        <v>-7</v>
      </c>
      <c r="O187" s="50"/>
      <c r="Y187">
        <v>1</v>
      </c>
      <c r="AA187">
        <v>2</v>
      </c>
      <c r="AC187">
        <v>58</v>
      </c>
    </row>
    <row r="188" spans="1:29" x14ac:dyDescent="0.75">
      <c r="A188" s="35" t="s">
        <v>270</v>
      </c>
      <c r="B188" s="30">
        <v>-7</v>
      </c>
      <c r="C188" s="30">
        <v>-7</v>
      </c>
      <c r="D188" s="30">
        <v>-7</v>
      </c>
      <c r="E188" s="30">
        <v>-7</v>
      </c>
      <c r="F188" s="30">
        <v>-7</v>
      </c>
      <c r="G188" s="30">
        <v>-7</v>
      </c>
      <c r="H188" s="30">
        <v>-7</v>
      </c>
      <c r="I188" s="30">
        <v>-7</v>
      </c>
      <c r="J188" s="30">
        <v>-7</v>
      </c>
      <c r="K188" s="30">
        <v>-7</v>
      </c>
      <c r="L188" s="30">
        <v>0</v>
      </c>
      <c r="M188" s="30">
        <v>-7</v>
      </c>
      <c r="N188" s="30">
        <v>-7</v>
      </c>
      <c r="O188" s="50"/>
      <c r="P188">
        <v>130</v>
      </c>
      <c r="Y188">
        <v>2</v>
      </c>
      <c r="AA188">
        <v>1</v>
      </c>
    </row>
    <row r="189" spans="1:29" x14ac:dyDescent="0.75">
      <c r="A189" s="35" t="s">
        <v>269</v>
      </c>
      <c r="B189" s="30">
        <v>-7</v>
      </c>
      <c r="C189" s="30">
        <v>-7</v>
      </c>
      <c r="D189" s="30">
        <v>0</v>
      </c>
      <c r="E189" s="30">
        <v>-7</v>
      </c>
      <c r="F189" s="30">
        <v>-7</v>
      </c>
      <c r="G189" s="30">
        <v>-7</v>
      </c>
      <c r="H189" s="30">
        <v>-3</v>
      </c>
      <c r="I189" s="30">
        <v>-7</v>
      </c>
      <c r="J189" s="30">
        <v>-7</v>
      </c>
      <c r="K189" s="30">
        <v>-7</v>
      </c>
      <c r="L189" s="30">
        <v>-7</v>
      </c>
      <c r="M189" s="30">
        <v>-7</v>
      </c>
      <c r="N189" s="30">
        <v>-7</v>
      </c>
      <c r="O189" s="50"/>
      <c r="AC189">
        <v>20</v>
      </c>
    </row>
    <row r="190" spans="1:29" x14ac:dyDescent="0.75">
      <c r="A190" s="35" t="s">
        <v>268</v>
      </c>
      <c r="B190" s="30">
        <v>-7</v>
      </c>
      <c r="C190" s="30">
        <v>-7</v>
      </c>
      <c r="D190" s="30">
        <v>-7</v>
      </c>
      <c r="E190" s="30">
        <v>-7</v>
      </c>
      <c r="F190" s="30">
        <v>-7</v>
      </c>
      <c r="G190" s="30">
        <v>-7</v>
      </c>
      <c r="H190" s="30">
        <v>-7</v>
      </c>
      <c r="I190" s="30">
        <v>-7</v>
      </c>
      <c r="J190" s="30">
        <v>-7</v>
      </c>
      <c r="K190" s="30">
        <v>-7</v>
      </c>
      <c r="L190" s="30">
        <v>-7</v>
      </c>
      <c r="M190" s="30">
        <v>-7</v>
      </c>
      <c r="N190" s="30">
        <v>-7</v>
      </c>
      <c r="O190" s="50"/>
    </row>
    <row r="191" spans="1:29" x14ac:dyDescent="0.75">
      <c r="A191" s="35" t="s">
        <v>267</v>
      </c>
      <c r="B191" s="30">
        <v>-7</v>
      </c>
      <c r="C191" s="30">
        <v>-7</v>
      </c>
      <c r="D191" s="30">
        <v>-7</v>
      </c>
      <c r="E191" s="30">
        <v>-7</v>
      </c>
      <c r="F191" s="30">
        <v>-7</v>
      </c>
      <c r="G191" s="30">
        <v>-7</v>
      </c>
      <c r="H191" s="30">
        <v>-7</v>
      </c>
      <c r="I191" s="30">
        <v>-7</v>
      </c>
      <c r="J191" s="30">
        <v>-7</v>
      </c>
      <c r="K191" s="30">
        <v>2</v>
      </c>
      <c r="L191" s="30">
        <v>-7</v>
      </c>
      <c r="M191" s="30">
        <v>-7</v>
      </c>
      <c r="N191" s="30">
        <v>-7</v>
      </c>
      <c r="O191" s="50"/>
      <c r="P191">
        <v>60</v>
      </c>
      <c r="AC191">
        <v>100</v>
      </c>
    </row>
    <row r="192" spans="1:29" x14ac:dyDescent="0.75">
      <c r="A192" s="35" t="s">
        <v>266</v>
      </c>
      <c r="B192" s="30">
        <v>-7</v>
      </c>
      <c r="C192" s="30">
        <v>-7</v>
      </c>
      <c r="D192" s="30">
        <v>0</v>
      </c>
      <c r="E192" s="30">
        <v>-7</v>
      </c>
      <c r="F192" s="30">
        <v>-7</v>
      </c>
      <c r="G192" s="30">
        <v>-7</v>
      </c>
      <c r="H192" s="30">
        <v>2</v>
      </c>
      <c r="I192" s="30">
        <v>-7</v>
      </c>
      <c r="J192" s="30">
        <v>-7</v>
      </c>
      <c r="K192" s="30">
        <v>-7</v>
      </c>
      <c r="L192" s="30">
        <v>-7</v>
      </c>
      <c r="M192" s="30">
        <v>-7</v>
      </c>
      <c r="N192" s="30">
        <v>-7</v>
      </c>
      <c r="O192" s="50"/>
      <c r="P192">
        <v>90</v>
      </c>
    </row>
    <row r="193" spans="1:29" x14ac:dyDescent="0.75">
      <c r="A193" s="35" t="s">
        <v>265</v>
      </c>
      <c r="B193" s="30">
        <v>-7</v>
      </c>
      <c r="C193" s="30">
        <v>-7</v>
      </c>
      <c r="D193" s="30">
        <v>-7</v>
      </c>
      <c r="E193" s="30">
        <v>-7</v>
      </c>
      <c r="F193" s="30">
        <v>-7</v>
      </c>
      <c r="G193" s="30">
        <v>-7</v>
      </c>
      <c r="H193" s="30">
        <v>-7</v>
      </c>
      <c r="I193" s="30">
        <v>-7</v>
      </c>
      <c r="J193" s="30">
        <v>-7</v>
      </c>
      <c r="K193" s="30">
        <v>2</v>
      </c>
      <c r="L193" s="30">
        <v>-7</v>
      </c>
      <c r="M193" s="30">
        <v>-7</v>
      </c>
      <c r="N193" s="30">
        <v>-7</v>
      </c>
      <c r="O193" s="50"/>
      <c r="P193">
        <v>40</v>
      </c>
    </row>
    <row r="194" spans="1:29" x14ac:dyDescent="0.75">
      <c r="A194" s="35" t="s">
        <v>264</v>
      </c>
      <c r="B194" s="30">
        <v>-7</v>
      </c>
      <c r="C194" s="30">
        <v>-7</v>
      </c>
      <c r="D194" s="30">
        <v>0</v>
      </c>
      <c r="E194" s="30">
        <v>-7</v>
      </c>
      <c r="F194" s="30">
        <v>-7</v>
      </c>
      <c r="G194" s="30">
        <v>-7</v>
      </c>
      <c r="H194" s="30">
        <v>-7</v>
      </c>
      <c r="I194" s="30">
        <v>-7</v>
      </c>
      <c r="J194" s="30">
        <v>-7</v>
      </c>
      <c r="K194" s="30">
        <v>-7</v>
      </c>
      <c r="L194" s="30">
        <v>-7</v>
      </c>
      <c r="M194" s="30">
        <v>-7</v>
      </c>
      <c r="N194" s="30">
        <v>-7</v>
      </c>
      <c r="O194" s="50"/>
      <c r="P194">
        <v>80</v>
      </c>
      <c r="AC194">
        <v>100</v>
      </c>
    </row>
    <row r="195" spans="1:29" x14ac:dyDescent="0.75">
      <c r="A195" s="35" t="s">
        <v>263</v>
      </c>
      <c r="B195" s="30">
        <v>-7</v>
      </c>
      <c r="C195" s="30">
        <v>-7</v>
      </c>
      <c r="D195" s="30">
        <v>-7</v>
      </c>
      <c r="E195" s="30">
        <v>-7</v>
      </c>
      <c r="F195" s="30">
        <v>-7</v>
      </c>
      <c r="G195" s="30">
        <v>-7</v>
      </c>
      <c r="H195" s="30">
        <v>-7</v>
      </c>
      <c r="I195" s="30">
        <v>-7</v>
      </c>
      <c r="J195" s="30">
        <v>-7</v>
      </c>
      <c r="K195" s="30">
        <v>2</v>
      </c>
      <c r="L195" s="30">
        <v>-7</v>
      </c>
      <c r="M195" s="30">
        <v>-7</v>
      </c>
      <c r="N195" s="30">
        <v>-7</v>
      </c>
      <c r="O195" s="50"/>
      <c r="P195">
        <v>50</v>
      </c>
      <c r="AC195">
        <v>100</v>
      </c>
    </row>
    <row r="196" spans="1:29" x14ac:dyDescent="0.75">
      <c r="A196" s="35" t="s">
        <v>262</v>
      </c>
      <c r="B196" s="30">
        <v>-7</v>
      </c>
      <c r="C196" s="30">
        <v>-7</v>
      </c>
      <c r="D196" s="30">
        <v>-7</v>
      </c>
      <c r="E196" s="30">
        <v>-7</v>
      </c>
      <c r="F196" s="30">
        <v>-7</v>
      </c>
      <c r="G196" s="30">
        <v>-7</v>
      </c>
      <c r="H196" s="30">
        <v>-7</v>
      </c>
      <c r="I196" s="30">
        <v>-7</v>
      </c>
      <c r="J196" s="30">
        <v>-7</v>
      </c>
      <c r="K196" s="30">
        <v>2</v>
      </c>
      <c r="L196" s="30">
        <v>-7</v>
      </c>
      <c r="M196" s="30">
        <v>-7</v>
      </c>
      <c r="N196" s="30">
        <v>-7</v>
      </c>
      <c r="O196" s="50"/>
      <c r="P196">
        <v>75</v>
      </c>
      <c r="AC196">
        <v>100</v>
      </c>
    </row>
    <row r="197" spans="1:29" x14ac:dyDescent="0.75">
      <c r="A197" s="35" t="s">
        <v>261</v>
      </c>
      <c r="B197" s="30">
        <v>-7</v>
      </c>
      <c r="C197" s="30">
        <v>-7</v>
      </c>
      <c r="D197" s="30">
        <v>-7</v>
      </c>
      <c r="E197" s="30">
        <v>-7</v>
      </c>
      <c r="F197" s="30">
        <v>-7</v>
      </c>
      <c r="G197" s="30">
        <v>-7</v>
      </c>
      <c r="H197" s="30">
        <v>-7</v>
      </c>
      <c r="I197" s="30">
        <v>-7</v>
      </c>
      <c r="J197" s="30">
        <v>-7</v>
      </c>
      <c r="K197" s="30">
        <v>2</v>
      </c>
      <c r="L197" s="30">
        <v>-7</v>
      </c>
      <c r="M197" s="30">
        <v>-7</v>
      </c>
      <c r="N197" s="30">
        <v>-7</v>
      </c>
      <c r="O197" s="50"/>
      <c r="P197">
        <v>150</v>
      </c>
      <c r="AC197">
        <v>100</v>
      </c>
    </row>
    <row r="198" spans="1:29" x14ac:dyDescent="0.75">
      <c r="A198" s="35" t="s">
        <v>260</v>
      </c>
      <c r="B198" s="30">
        <v>-7</v>
      </c>
      <c r="C198" s="30">
        <v>-7</v>
      </c>
      <c r="D198" s="30">
        <v>-7</v>
      </c>
      <c r="E198" s="30">
        <v>-7</v>
      </c>
      <c r="F198" s="30">
        <v>-7</v>
      </c>
      <c r="G198" s="30">
        <v>-7</v>
      </c>
      <c r="H198" s="30">
        <v>-7</v>
      </c>
      <c r="I198" s="30">
        <v>-7</v>
      </c>
      <c r="J198" s="30">
        <v>-7</v>
      </c>
      <c r="K198" s="30">
        <v>-7</v>
      </c>
      <c r="L198" s="30">
        <v>-7</v>
      </c>
      <c r="M198" s="30">
        <v>0</v>
      </c>
      <c r="N198" s="30">
        <v>-7</v>
      </c>
      <c r="O198" s="50"/>
      <c r="P198">
        <v>120</v>
      </c>
      <c r="Y198">
        <v>2</v>
      </c>
      <c r="AA198">
        <v>1</v>
      </c>
    </row>
    <row r="199" spans="1:29" x14ac:dyDescent="0.75">
      <c r="A199" s="35" t="s">
        <v>259</v>
      </c>
      <c r="B199" s="30">
        <v>-7</v>
      </c>
      <c r="C199" s="30">
        <v>-7</v>
      </c>
      <c r="D199" s="30">
        <v>-7</v>
      </c>
      <c r="E199" s="30">
        <v>-7</v>
      </c>
      <c r="F199" s="30">
        <v>-7</v>
      </c>
      <c r="G199" s="30">
        <v>-7</v>
      </c>
      <c r="H199" s="30">
        <v>-7</v>
      </c>
      <c r="I199" s="30">
        <v>-7</v>
      </c>
      <c r="J199" s="30">
        <v>-7</v>
      </c>
      <c r="K199" s="30">
        <v>-7</v>
      </c>
      <c r="L199" s="30">
        <v>-7</v>
      </c>
      <c r="M199" s="30">
        <v>0</v>
      </c>
      <c r="N199" s="30">
        <v>-7</v>
      </c>
      <c r="O199" s="50"/>
      <c r="P199">
        <v>150</v>
      </c>
      <c r="Y199">
        <v>2</v>
      </c>
      <c r="AA199">
        <v>1</v>
      </c>
    </row>
    <row r="200" spans="1:29" x14ac:dyDescent="0.75">
      <c r="A200" s="35" t="s">
        <v>258</v>
      </c>
      <c r="B200" s="30">
        <v>-7</v>
      </c>
      <c r="C200" s="30">
        <v>-7</v>
      </c>
      <c r="D200" s="30">
        <v>-7</v>
      </c>
      <c r="E200" s="30">
        <v>-7</v>
      </c>
      <c r="F200" s="30">
        <v>-7</v>
      </c>
      <c r="G200" s="30">
        <v>-7</v>
      </c>
      <c r="H200" s="30">
        <v>-7</v>
      </c>
      <c r="I200" s="30">
        <v>0</v>
      </c>
      <c r="J200" s="30">
        <v>-7</v>
      </c>
      <c r="K200" s="30">
        <v>-7</v>
      </c>
      <c r="L200" s="30">
        <v>-7</v>
      </c>
      <c r="M200" s="30">
        <v>-7</v>
      </c>
      <c r="N200" s="30">
        <v>-7</v>
      </c>
      <c r="O200" s="50"/>
      <c r="AC200">
        <v>90</v>
      </c>
    </row>
    <row r="201" spans="1:29" x14ac:dyDescent="0.75">
      <c r="A201" s="35" t="s">
        <v>257</v>
      </c>
      <c r="B201" s="30">
        <v>-7</v>
      </c>
      <c r="C201" s="30">
        <v>0</v>
      </c>
      <c r="D201" s="30">
        <v>-7</v>
      </c>
      <c r="E201" s="30">
        <v>-1</v>
      </c>
      <c r="F201" s="30">
        <v>-7</v>
      </c>
      <c r="G201" s="30">
        <v>-7</v>
      </c>
      <c r="H201" s="30">
        <v>-7</v>
      </c>
      <c r="I201" s="30">
        <v>3</v>
      </c>
      <c r="J201" s="30">
        <v>-7</v>
      </c>
      <c r="K201" s="30">
        <v>-7</v>
      </c>
      <c r="L201" s="30">
        <v>-7</v>
      </c>
      <c r="M201" s="30">
        <v>-7</v>
      </c>
      <c r="N201" s="30">
        <v>-7</v>
      </c>
      <c r="O201" s="50"/>
      <c r="U201">
        <v>1</v>
      </c>
      <c r="AC201">
        <v>56</v>
      </c>
    </row>
    <row r="202" spans="1:29" x14ac:dyDescent="0.75">
      <c r="A202" s="35" t="s">
        <v>256</v>
      </c>
      <c r="B202" s="30">
        <v>-7</v>
      </c>
      <c r="C202" s="30">
        <v>-7</v>
      </c>
      <c r="D202" s="30">
        <v>-7</v>
      </c>
      <c r="E202" s="30">
        <v>-7</v>
      </c>
      <c r="F202" s="30">
        <v>-7</v>
      </c>
      <c r="G202" s="30">
        <v>-7</v>
      </c>
      <c r="H202" s="30">
        <v>-7</v>
      </c>
      <c r="I202" s="30">
        <v>-7</v>
      </c>
      <c r="J202" s="30">
        <v>-7</v>
      </c>
      <c r="K202" s="30">
        <v>-7</v>
      </c>
      <c r="L202" s="30">
        <v>-7</v>
      </c>
      <c r="M202" s="30">
        <v>0</v>
      </c>
      <c r="N202" s="30">
        <v>-7</v>
      </c>
      <c r="O202" s="50"/>
      <c r="P202">
        <v>100</v>
      </c>
      <c r="Y202">
        <v>2</v>
      </c>
    </row>
    <row r="203" spans="1:29" x14ac:dyDescent="0.75">
      <c r="A203" s="35" t="s">
        <v>255</v>
      </c>
      <c r="B203" s="30">
        <v>-7</v>
      </c>
      <c r="C203" s="30">
        <v>-7</v>
      </c>
      <c r="D203" s="30">
        <v>-7</v>
      </c>
      <c r="E203" s="30">
        <v>-7</v>
      </c>
      <c r="F203" s="30">
        <v>-7</v>
      </c>
      <c r="G203" s="30">
        <v>-7</v>
      </c>
      <c r="H203" s="30">
        <v>-7</v>
      </c>
      <c r="I203" s="30">
        <v>-3</v>
      </c>
      <c r="J203" s="30">
        <v>-7</v>
      </c>
      <c r="K203" s="30">
        <v>-7</v>
      </c>
      <c r="L203" s="30">
        <v>-7</v>
      </c>
      <c r="M203" s="30">
        <v>-7</v>
      </c>
      <c r="N203" s="30">
        <v>-7</v>
      </c>
      <c r="O203" s="50"/>
      <c r="P203">
        <v>52</v>
      </c>
      <c r="R203">
        <v>1</v>
      </c>
      <c r="U203">
        <v>1</v>
      </c>
      <c r="AC203">
        <v>100</v>
      </c>
    </row>
    <row r="204" spans="1:29" x14ac:dyDescent="0.75">
      <c r="A204" s="35" t="s">
        <v>254</v>
      </c>
      <c r="B204" s="30">
        <v>-7</v>
      </c>
      <c r="C204" s="30">
        <v>-7</v>
      </c>
      <c r="D204" s="30">
        <v>-7</v>
      </c>
      <c r="E204" s="30">
        <v>-7</v>
      </c>
      <c r="F204" s="30">
        <v>-7</v>
      </c>
      <c r="G204" s="30">
        <v>-7</v>
      </c>
      <c r="H204" s="30">
        <v>-7</v>
      </c>
      <c r="I204" s="30">
        <v>-3</v>
      </c>
      <c r="J204" s="30">
        <v>-7</v>
      </c>
      <c r="K204" s="30">
        <v>-7</v>
      </c>
      <c r="L204" s="30">
        <v>-7</v>
      </c>
      <c r="M204" s="30">
        <v>-7</v>
      </c>
      <c r="N204" s="30">
        <v>-7</v>
      </c>
      <c r="O204" s="50"/>
      <c r="P204">
        <v>31</v>
      </c>
      <c r="Z204">
        <v>1</v>
      </c>
      <c r="AA204">
        <v>2</v>
      </c>
    </row>
    <row r="205" spans="1:29" x14ac:dyDescent="0.75">
      <c r="A205" s="35" t="s">
        <v>253</v>
      </c>
      <c r="B205" s="30">
        <v>-7</v>
      </c>
      <c r="C205" s="30">
        <v>-7</v>
      </c>
      <c r="D205" s="30">
        <v>-7</v>
      </c>
      <c r="E205" s="30">
        <v>-7</v>
      </c>
      <c r="F205" s="30">
        <v>-7</v>
      </c>
      <c r="G205" s="30">
        <v>-7</v>
      </c>
      <c r="H205" s="30">
        <v>-7</v>
      </c>
      <c r="I205" s="30">
        <v>2</v>
      </c>
      <c r="J205" s="30">
        <v>-7</v>
      </c>
      <c r="K205" s="30">
        <v>-7</v>
      </c>
      <c r="L205" s="30">
        <v>-7</v>
      </c>
      <c r="M205" s="30">
        <v>-7</v>
      </c>
      <c r="N205" s="30">
        <v>-7</v>
      </c>
      <c r="O205" s="50"/>
      <c r="P205">
        <v>21</v>
      </c>
      <c r="R205">
        <v>2</v>
      </c>
      <c r="T205">
        <v>1</v>
      </c>
      <c r="U205">
        <v>1</v>
      </c>
    </row>
    <row r="206" spans="1:29" x14ac:dyDescent="0.75">
      <c r="A206" s="35" t="s">
        <v>252</v>
      </c>
      <c r="B206" s="30">
        <v>-7</v>
      </c>
      <c r="C206" s="30">
        <v>-7</v>
      </c>
      <c r="D206" s="30">
        <v>-7</v>
      </c>
      <c r="E206" s="30">
        <v>-7</v>
      </c>
      <c r="F206" s="30">
        <v>-7</v>
      </c>
      <c r="G206" s="30">
        <v>-7</v>
      </c>
      <c r="H206" s="30">
        <v>-7</v>
      </c>
      <c r="I206" s="30">
        <v>5</v>
      </c>
      <c r="J206" s="30">
        <v>-7</v>
      </c>
      <c r="K206" s="30">
        <v>-7</v>
      </c>
      <c r="L206" s="30">
        <v>-7</v>
      </c>
      <c r="M206" s="30">
        <v>-7</v>
      </c>
      <c r="N206" s="30">
        <v>-7</v>
      </c>
      <c r="O206" s="50"/>
      <c r="P206">
        <v>9</v>
      </c>
      <c r="R206">
        <v>1</v>
      </c>
      <c r="U206">
        <v>1</v>
      </c>
    </row>
    <row r="207" spans="1:29" x14ac:dyDescent="0.75">
      <c r="A207" s="35" t="s">
        <v>251</v>
      </c>
      <c r="B207" s="30">
        <v>-7</v>
      </c>
      <c r="C207" s="30">
        <v>-7</v>
      </c>
      <c r="D207" s="30">
        <v>-7</v>
      </c>
      <c r="E207" s="30">
        <v>-7</v>
      </c>
      <c r="F207" s="30">
        <v>-7</v>
      </c>
      <c r="G207" s="30">
        <v>-7</v>
      </c>
      <c r="H207" s="30">
        <v>-7</v>
      </c>
      <c r="I207" s="30">
        <v>2</v>
      </c>
      <c r="J207" s="30">
        <v>-7</v>
      </c>
      <c r="K207" s="30">
        <v>-7</v>
      </c>
      <c r="L207" s="30">
        <v>-7</v>
      </c>
      <c r="M207" s="30">
        <v>-7</v>
      </c>
      <c r="N207" s="30">
        <v>-7</v>
      </c>
      <c r="O207" s="50"/>
      <c r="P207">
        <v>2</v>
      </c>
      <c r="R207">
        <v>2</v>
      </c>
      <c r="Y207">
        <v>1</v>
      </c>
    </row>
    <row r="208" spans="1:29" x14ac:dyDescent="0.75">
      <c r="A208" s="35" t="s">
        <v>250</v>
      </c>
      <c r="B208" s="30">
        <v>-7</v>
      </c>
      <c r="C208" s="30">
        <v>-7</v>
      </c>
      <c r="D208" s="30">
        <v>-7</v>
      </c>
      <c r="E208" s="30">
        <v>-7</v>
      </c>
      <c r="F208" s="30">
        <v>-7</v>
      </c>
      <c r="G208" s="30">
        <v>-7</v>
      </c>
      <c r="H208" s="30">
        <v>-7</v>
      </c>
      <c r="I208" s="30">
        <v>-1</v>
      </c>
      <c r="J208" s="30">
        <v>-7</v>
      </c>
      <c r="K208" s="30">
        <v>-7</v>
      </c>
      <c r="L208" s="30">
        <v>-7</v>
      </c>
      <c r="M208" s="30">
        <v>-7</v>
      </c>
      <c r="N208" s="30">
        <v>-7</v>
      </c>
      <c r="O208" s="50"/>
      <c r="P208">
        <v>10</v>
      </c>
      <c r="R208">
        <v>2</v>
      </c>
      <c r="Y208">
        <v>1</v>
      </c>
    </row>
    <row r="209" spans="1:27" x14ac:dyDescent="0.75">
      <c r="A209" s="35" t="s">
        <v>249</v>
      </c>
      <c r="B209" s="30">
        <v>-7</v>
      </c>
      <c r="C209" s="30">
        <v>-7</v>
      </c>
      <c r="D209" s="30">
        <v>-7</v>
      </c>
      <c r="E209" s="30">
        <v>-7</v>
      </c>
      <c r="F209" s="30">
        <v>-7</v>
      </c>
      <c r="G209" s="30">
        <v>-7</v>
      </c>
      <c r="H209" s="30">
        <v>-7</v>
      </c>
      <c r="I209" s="30">
        <v>0</v>
      </c>
      <c r="J209" s="30">
        <v>-7</v>
      </c>
      <c r="K209" s="30">
        <v>-7</v>
      </c>
      <c r="L209" s="30">
        <v>-7</v>
      </c>
      <c r="M209" s="30">
        <v>-7</v>
      </c>
      <c r="N209" s="30">
        <v>-7</v>
      </c>
      <c r="O209" s="50"/>
      <c r="P209">
        <v>30</v>
      </c>
      <c r="R209">
        <v>2</v>
      </c>
      <c r="Y209">
        <v>1</v>
      </c>
    </row>
    <row r="210" spans="1:27" x14ac:dyDescent="0.75">
      <c r="A210" s="35" t="s">
        <v>248</v>
      </c>
      <c r="B210" s="30">
        <v>-7</v>
      </c>
      <c r="C210" s="30">
        <v>-7</v>
      </c>
      <c r="D210" s="30">
        <v>-7</v>
      </c>
      <c r="E210" s="30">
        <v>-7</v>
      </c>
      <c r="F210" s="30">
        <v>-7</v>
      </c>
      <c r="G210" s="30">
        <v>-7</v>
      </c>
      <c r="H210" s="30">
        <v>-7</v>
      </c>
      <c r="I210" s="30">
        <v>-1</v>
      </c>
      <c r="J210" s="30">
        <v>-7</v>
      </c>
      <c r="K210" s="30">
        <v>-7</v>
      </c>
      <c r="L210" s="30">
        <v>-7</v>
      </c>
      <c r="M210" s="30">
        <v>-7</v>
      </c>
      <c r="N210" s="30">
        <v>-7</v>
      </c>
      <c r="O210" s="50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75">
      <c r="A211" s="35" t="s">
        <v>247</v>
      </c>
      <c r="B211" s="30">
        <v>-7</v>
      </c>
      <c r="C211" s="30">
        <v>-7</v>
      </c>
      <c r="D211" s="30">
        <v>-7</v>
      </c>
      <c r="E211" s="30">
        <v>-7</v>
      </c>
      <c r="F211" s="30">
        <v>-7</v>
      </c>
      <c r="G211" s="30">
        <v>-7</v>
      </c>
      <c r="H211" s="30">
        <v>-7</v>
      </c>
      <c r="I211" s="30">
        <v>-1</v>
      </c>
      <c r="J211" s="30">
        <v>-7</v>
      </c>
      <c r="K211" s="30">
        <v>-7</v>
      </c>
      <c r="L211" s="30">
        <v>-7</v>
      </c>
      <c r="M211" s="30">
        <v>-7</v>
      </c>
      <c r="N211" s="30">
        <v>-7</v>
      </c>
      <c r="O211" s="50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75">
      <c r="A212" s="35" t="s">
        <v>246</v>
      </c>
      <c r="B212" s="30">
        <v>-7</v>
      </c>
      <c r="C212" s="30">
        <v>-7</v>
      </c>
      <c r="D212" s="30">
        <v>-7</v>
      </c>
      <c r="E212" s="30">
        <v>-7</v>
      </c>
      <c r="F212" s="30">
        <v>-7</v>
      </c>
      <c r="G212" s="30">
        <v>-7</v>
      </c>
      <c r="H212" s="30">
        <v>-7</v>
      </c>
      <c r="I212" s="30">
        <v>1</v>
      </c>
      <c r="J212" s="30">
        <v>-7</v>
      </c>
      <c r="K212" s="30">
        <v>-7</v>
      </c>
      <c r="L212" s="30">
        <v>-7</v>
      </c>
      <c r="M212" s="30">
        <v>-7</v>
      </c>
      <c r="N212" s="30">
        <v>-7</v>
      </c>
      <c r="O212" s="50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75">
      <c r="A213" s="35" t="s">
        <v>245</v>
      </c>
      <c r="B213" s="30">
        <v>-7</v>
      </c>
      <c r="C213" s="30">
        <v>-7</v>
      </c>
      <c r="D213" s="30">
        <v>-7</v>
      </c>
      <c r="E213" s="30">
        <v>-7</v>
      </c>
      <c r="F213" s="30">
        <v>-7</v>
      </c>
      <c r="G213" s="30">
        <v>-7</v>
      </c>
      <c r="H213" s="30">
        <v>-7</v>
      </c>
      <c r="I213" s="30">
        <v>-2</v>
      </c>
      <c r="J213" s="30">
        <v>-7</v>
      </c>
      <c r="K213" s="30">
        <v>-7</v>
      </c>
      <c r="L213" s="30">
        <v>-7</v>
      </c>
      <c r="M213" s="30">
        <v>-7</v>
      </c>
      <c r="N213" s="30">
        <v>-7</v>
      </c>
      <c r="O213" s="50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75">
      <c r="A214" s="35" t="s">
        <v>244</v>
      </c>
      <c r="B214" s="30">
        <v>-7</v>
      </c>
      <c r="C214" s="30">
        <v>-7</v>
      </c>
      <c r="D214" s="30">
        <v>-7</v>
      </c>
      <c r="E214" s="30">
        <v>-7</v>
      </c>
      <c r="F214" s="30">
        <v>-7</v>
      </c>
      <c r="G214" s="30">
        <v>-7</v>
      </c>
      <c r="H214" s="30">
        <v>-7</v>
      </c>
      <c r="I214" s="30">
        <v>-3</v>
      </c>
      <c r="J214" s="30">
        <v>-7</v>
      </c>
      <c r="K214" s="30">
        <v>-7</v>
      </c>
      <c r="L214" s="30">
        <v>-7</v>
      </c>
      <c r="M214" s="30">
        <v>-7</v>
      </c>
      <c r="N214" s="30">
        <v>-7</v>
      </c>
      <c r="O214" s="50"/>
      <c r="P214">
        <v>60</v>
      </c>
      <c r="R214">
        <v>2</v>
      </c>
      <c r="U214">
        <v>1</v>
      </c>
      <c r="Y214">
        <v>1</v>
      </c>
    </row>
    <row r="215" spans="1:27" x14ac:dyDescent="0.75">
      <c r="A215" s="35" t="s">
        <v>243</v>
      </c>
      <c r="B215" s="30">
        <v>-7</v>
      </c>
      <c r="C215" s="30">
        <v>-7</v>
      </c>
      <c r="D215" s="30">
        <v>-7</v>
      </c>
      <c r="E215" s="30">
        <v>-7</v>
      </c>
      <c r="F215" s="30">
        <v>-7</v>
      </c>
      <c r="G215" s="30">
        <v>-7</v>
      </c>
      <c r="H215" s="30">
        <v>-7</v>
      </c>
      <c r="I215" s="30">
        <v>-1</v>
      </c>
      <c r="J215" s="30">
        <v>-7</v>
      </c>
      <c r="K215" s="30">
        <v>-7</v>
      </c>
      <c r="L215" s="30">
        <v>-7</v>
      </c>
      <c r="M215" s="30">
        <v>-7</v>
      </c>
      <c r="N215" s="30">
        <v>-7</v>
      </c>
      <c r="O215" s="50"/>
      <c r="P215">
        <v>17</v>
      </c>
      <c r="R215">
        <v>1</v>
      </c>
      <c r="U215">
        <v>2</v>
      </c>
      <c r="Y215">
        <v>1</v>
      </c>
    </row>
    <row r="216" spans="1:27" x14ac:dyDescent="0.75">
      <c r="A216" s="35" t="s">
        <v>242</v>
      </c>
      <c r="B216" s="30">
        <v>-7</v>
      </c>
      <c r="C216" s="30">
        <v>-7</v>
      </c>
      <c r="D216" s="30">
        <v>-7</v>
      </c>
      <c r="E216" s="30">
        <v>-7</v>
      </c>
      <c r="F216" s="30">
        <v>-7</v>
      </c>
      <c r="G216" s="30">
        <v>-7</v>
      </c>
      <c r="H216" s="30">
        <v>-7</v>
      </c>
      <c r="I216" s="30">
        <v>-7</v>
      </c>
      <c r="J216" s="30">
        <v>-7</v>
      </c>
      <c r="K216" s="30">
        <v>-7</v>
      </c>
      <c r="L216" s="30">
        <v>-7</v>
      </c>
      <c r="M216" s="30">
        <v>-3</v>
      </c>
      <c r="N216" s="30">
        <v>-7</v>
      </c>
      <c r="O216" s="50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75">
      <c r="A217" s="35" t="s">
        <v>241</v>
      </c>
      <c r="B217" s="30">
        <v>-7</v>
      </c>
      <c r="C217" s="30">
        <v>-7</v>
      </c>
      <c r="D217" s="30">
        <v>-7</v>
      </c>
      <c r="E217" s="30">
        <v>-7</v>
      </c>
      <c r="F217" s="30">
        <v>-7</v>
      </c>
      <c r="G217" s="30">
        <v>-7</v>
      </c>
      <c r="H217" s="30">
        <v>-7</v>
      </c>
      <c r="I217" s="30">
        <v>-7</v>
      </c>
      <c r="J217" s="30">
        <v>-7</v>
      </c>
      <c r="K217" s="30">
        <v>-7</v>
      </c>
      <c r="L217" s="30">
        <v>2</v>
      </c>
      <c r="M217" s="30">
        <v>-7</v>
      </c>
      <c r="N217" s="30">
        <v>-7</v>
      </c>
      <c r="O217" s="50"/>
      <c r="P217">
        <v>12</v>
      </c>
    </row>
    <row r="218" spans="1:27" x14ac:dyDescent="0.75">
      <c r="A218" s="35" t="s">
        <v>240</v>
      </c>
      <c r="B218" s="30">
        <v>-7</v>
      </c>
      <c r="C218" s="30">
        <v>-7</v>
      </c>
      <c r="D218" s="30">
        <v>-7</v>
      </c>
      <c r="E218" s="30">
        <v>-7</v>
      </c>
      <c r="F218" s="30">
        <v>-7</v>
      </c>
      <c r="G218" s="30">
        <v>-7</v>
      </c>
      <c r="H218" s="30">
        <v>-7</v>
      </c>
      <c r="I218" s="30">
        <v>-7</v>
      </c>
      <c r="J218" s="30">
        <v>-7</v>
      </c>
      <c r="K218" s="30">
        <v>-7</v>
      </c>
      <c r="L218" s="30">
        <v>-7</v>
      </c>
      <c r="M218" s="30">
        <v>-7</v>
      </c>
      <c r="N218" s="30">
        <v>-7</v>
      </c>
      <c r="O218" s="50"/>
      <c r="P218">
        <v>150</v>
      </c>
      <c r="Q218">
        <v>1</v>
      </c>
      <c r="Y218">
        <v>1</v>
      </c>
      <c r="AA218">
        <v>2</v>
      </c>
    </row>
    <row r="219" spans="1:27" x14ac:dyDescent="0.75">
      <c r="A219" s="35" t="s">
        <v>239</v>
      </c>
      <c r="B219" s="30">
        <v>-7</v>
      </c>
      <c r="C219" s="30">
        <v>-7</v>
      </c>
      <c r="D219" s="30">
        <v>-7</v>
      </c>
      <c r="E219" s="30">
        <v>-7</v>
      </c>
      <c r="F219" s="30">
        <v>-7</v>
      </c>
      <c r="G219" s="30">
        <v>-7</v>
      </c>
      <c r="H219" s="30">
        <v>-7</v>
      </c>
      <c r="I219" s="30">
        <v>-7</v>
      </c>
      <c r="J219" s="30">
        <v>-7</v>
      </c>
      <c r="K219" s="30">
        <v>-7</v>
      </c>
      <c r="L219" s="30">
        <v>-7</v>
      </c>
      <c r="M219" s="30">
        <v>0</v>
      </c>
      <c r="N219" s="30">
        <v>-7</v>
      </c>
      <c r="O219" s="50"/>
      <c r="P219">
        <v>34</v>
      </c>
      <c r="U219">
        <v>1</v>
      </c>
      <c r="Y219">
        <v>1</v>
      </c>
      <c r="AA219">
        <v>2</v>
      </c>
    </row>
    <row r="220" spans="1:27" x14ac:dyDescent="0.75">
      <c r="A220" s="35" t="s">
        <v>238</v>
      </c>
      <c r="B220" s="30">
        <v>-7</v>
      </c>
      <c r="C220" s="30">
        <v>-7</v>
      </c>
      <c r="D220" s="30">
        <v>-7</v>
      </c>
      <c r="E220" s="30">
        <v>-7</v>
      </c>
      <c r="F220" s="30">
        <v>-7</v>
      </c>
      <c r="G220" s="30">
        <v>-7</v>
      </c>
      <c r="H220" s="30">
        <v>-7</v>
      </c>
      <c r="I220" s="30">
        <v>-7</v>
      </c>
      <c r="J220" s="30">
        <v>-7</v>
      </c>
      <c r="K220" s="30">
        <v>-7</v>
      </c>
      <c r="L220" s="30">
        <v>-7</v>
      </c>
      <c r="M220" s="30">
        <v>-7</v>
      </c>
      <c r="N220" s="30">
        <v>-7</v>
      </c>
      <c r="O220" s="50"/>
      <c r="P220">
        <v>160</v>
      </c>
      <c r="S220">
        <v>1</v>
      </c>
      <c r="Y220">
        <v>1</v>
      </c>
      <c r="AA220">
        <v>2</v>
      </c>
    </row>
    <row r="221" spans="1:27" x14ac:dyDescent="0.75">
      <c r="A221" s="35" t="s">
        <v>237</v>
      </c>
      <c r="B221" s="30">
        <v>-7</v>
      </c>
      <c r="C221" s="30">
        <v>-7</v>
      </c>
      <c r="D221" s="30">
        <v>-7</v>
      </c>
      <c r="E221" s="30">
        <v>-7</v>
      </c>
      <c r="F221" s="30">
        <v>-7</v>
      </c>
      <c r="G221" s="30">
        <v>-7</v>
      </c>
      <c r="H221" s="30">
        <v>-7</v>
      </c>
      <c r="I221" s="30">
        <v>-7</v>
      </c>
      <c r="J221" s="30">
        <v>-7</v>
      </c>
      <c r="K221" s="30">
        <v>-7</v>
      </c>
      <c r="L221" s="30">
        <v>-7</v>
      </c>
      <c r="M221" s="30">
        <v>-7</v>
      </c>
      <c r="N221" s="30">
        <v>-7</v>
      </c>
      <c r="O221" s="50"/>
      <c r="P221">
        <v>180</v>
      </c>
      <c r="AA221">
        <v>1</v>
      </c>
    </row>
    <row r="222" spans="1:27" x14ac:dyDescent="0.75">
      <c r="A222" s="35" t="s">
        <v>236</v>
      </c>
      <c r="B222" s="30">
        <v>-7</v>
      </c>
      <c r="C222" s="30">
        <v>-7</v>
      </c>
      <c r="D222" s="30">
        <v>-7</v>
      </c>
      <c r="E222" s="30">
        <v>-7</v>
      </c>
      <c r="F222" s="30">
        <v>-7</v>
      </c>
      <c r="G222" s="30">
        <v>-7</v>
      </c>
      <c r="H222" s="30">
        <v>-7</v>
      </c>
      <c r="I222" s="30">
        <v>-7</v>
      </c>
      <c r="J222" s="30">
        <v>-7</v>
      </c>
      <c r="K222" s="30">
        <v>-7</v>
      </c>
      <c r="L222" s="30">
        <v>-7</v>
      </c>
      <c r="M222" s="30">
        <v>-7</v>
      </c>
      <c r="N222" s="30">
        <v>-7</v>
      </c>
      <c r="O222" s="50"/>
      <c r="P222">
        <v>115</v>
      </c>
      <c r="R222">
        <v>1</v>
      </c>
    </row>
    <row r="223" spans="1:27" x14ac:dyDescent="0.75">
      <c r="A223" s="35" t="s">
        <v>235</v>
      </c>
      <c r="B223" s="30">
        <v>-7</v>
      </c>
      <c r="C223" s="30">
        <v>-7</v>
      </c>
      <c r="D223" s="30">
        <v>-7</v>
      </c>
      <c r="E223" s="30">
        <v>-7</v>
      </c>
      <c r="F223" s="30">
        <v>-7</v>
      </c>
      <c r="G223" s="30">
        <v>-7</v>
      </c>
      <c r="H223" s="30">
        <v>-7</v>
      </c>
      <c r="I223" s="30">
        <v>-7</v>
      </c>
      <c r="J223" s="30">
        <v>-7</v>
      </c>
      <c r="K223" s="30">
        <v>-7</v>
      </c>
      <c r="L223" s="30">
        <v>-7</v>
      </c>
      <c r="M223" s="30">
        <v>-7</v>
      </c>
      <c r="N223" s="30">
        <v>-7</v>
      </c>
      <c r="O223" s="50"/>
      <c r="P223">
        <v>100</v>
      </c>
      <c r="T223">
        <v>1</v>
      </c>
    </row>
    <row r="224" spans="1:27" x14ac:dyDescent="0.75">
      <c r="A224" s="35" t="s">
        <v>234</v>
      </c>
      <c r="B224" s="30">
        <v>-7</v>
      </c>
      <c r="C224" s="30">
        <v>-7</v>
      </c>
      <c r="D224" s="30">
        <v>-7</v>
      </c>
      <c r="E224" s="30">
        <v>-7</v>
      </c>
      <c r="F224" s="30">
        <v>-7</v>
      </c>
      <c r="G224" s="30">
        <v>-7</v>
      </c>
      <c r="H224" s="30">
        <v>-7</v>
      </c>
      <c r="I224" s="30">
        <v>-7</v>
      </c>
      <c r="J224" s="30">
        <v>-7</v>
      </c>
      <c r="K224" s="30">
        <v>-7</v>
      </c>
      <c r="L224" s="30">
        <v>-7</v>
      </c>
      <c r="M224" s="30">
        <v>-7</v>
      </c>
      <c r="N224" s="30">
        <v>-7</v>
      </c>
      <c r="O224" s="50"/>
      <c r="P224">
        <v>60</v>
      </c>
    </row>
    <row r="225" spans="1:29" x14ac:dyDescent="0.75">
      <c r="A225" s="35" t="s">
        <v>233</v>
      </c>
      <c r="B225" s="30">
        <v>-7</v>
      </c>
      <c r="C225" s="30">
        <v>-7</v>
      </c>
      <c r="D225" s="30">
        <v>-4</v>
      </c>
      <c r="E225" s="30">
        <v>-7</v>
      </c>
      <c r="F225" s="30">
        <v>-7</v>
      </c>
      <c r="G225" s="30">
        <v>-7</v>
      </c>
      <c r="H225" s="30">
        <v>-7</v>
      </c>
      <c r="I225" s="30">
        <v>-7</v>
      </c>
      <c r="J225" s="30">
        <v>-7</v>
      </c>
      <c r="K225" s="30">
        <v>-7</v>
      </c>
      <c r="L225" s="30">
        <v>-7</v>
      </c>
      <c r="M225" s="30">
        <v>-7</v>
      </c>
      <c r="N225" s="30">
        <v>-7</v>
      </c>
      <c r="O225" s="50"/>
      <c r="P225">
        <v>100</v>
      </c>
    </row>
    <row r="226" spans="1:29" x14ac:dyDescent="0.75">
      <c r="A226" s="35" t="s">
        <v>232</v>
      </c>
      <c r="B226" s="30">
        <v>-7</v>
      </c>
      <c r="C226" s="30">
        <v>-7</v>
      </c>
      <c r="D226" s="30">
        <v>-7</v>
      </c>
      <c r="E226" s="30">
        <v>-7</v>
      </c>
      <c r="F226" s="30">
        <v>-7</v>
      </c>
      <c r="G226" s="30">
        <v>-7</v>
      </c>
      <c r="H226" s="30">
        <v>-7</v>
      </c>
      <c r="I226" s="30">
        <v>-7</v>
      </c>
      <c r="J226" s="30">
        <v>-7</v>
      </c>
      <c r="K226" s="30">
        <v>-7</v>
      </c>
      <c r="L226" s="30">
        <v>-7</v>
      </c>
      <c r="M226" s="30">
        <v>-7</v>
      </c>
      <c r="N226" s="30">
        <v>-7</v>
      </c>
      <c r="O226" s="50"/>
      <c r="P226">
        <v>120</v>
      </c>
    </row>
    <row r="227" spans="1:29" x14ac:dyDescent="0.75">
      <c r="A227" s="35" t="s">
        <v>231</v>
      </c>
      <c r="B227" s="30">
        <v>-7</v>
      </c>
      <c r="C227" s="30">
        <v>-7</v>
      </c>
      <c r="D227" s="30">
        <v>-7</v>
      </c>
      <c r="E227" s="30">
        <v>-7</v>
      </c>
      <c r="F227" s="30">
        <v>-7</v>
      </c>
      <c r="G227" s="30">
        <v>-7</v>
      </c>
      <c r="H227" s="30">
        <v>-7</v>
      </c>
      <c r="I227" s="30">
        <v>-7</v>
      </c>
      <c r="J227" s="30">
        <v>-7</v>
      </c>
      <c r="K227" s="30">
        <v>-7</v>
      </c>
      <c r="L227" s="30">
        <v>-7</v>
      </c>
      <c r="M227" s="30">
        <v>-7</v>
      </c>
      <c r="N227" s="30">
        <v>-7</v>
      </c>
      <c r="O227" s="50"/>
      <c r="P227">
        <v>160</v>
      </c>
    </row>
    <row r="228" spans="1:29" x14ac:dyDescent="0.75">
      <c r="A228" s="35" t="s">
        <v>230</v>
      </c>
      <c r="B228" s="30">
        <v>-7</v>
      </c>
      <c r="C228" s="30">
        <v>0</v>
      </c>
      <c r="D228" s="30">
        <v>-7</v>
      </c>
      <c r="E228" s="30">
        <v>-7</v>
      </c>
      <c r="F228" s="30">
        <v>-7</v>
      </c>
      <c r="G228" s="30">
        <v>-7</v>
      </c>
      <c r="H228" s="30">
        <v>-7</v>
      </c>
      <c r="I228" s="30">
        <v>-7</v>
      </c>
      <c r="J228" s="30">
        <v>-7</v>
      </c>
      <c r="K228" s="30">
        <v>-2</v>
      </c>
      <c r="L228" s="30">
        <v>-7</v>
      </c>
      <c r="M228" s="30">
        <v>-7</v>
      </c>
      <c r="N228" s="30">
        <v>-7</v>
      </c>
      <c r="O228" s="50"/>
      <c r="P228">
        <v>80</v>
      </c>
    </row>
    <row r="229" spans="1:29" x14ac:dyDescent="0.75">
      <c r="A229" s="35" t="s">
        <v>229</v>
      </c>
      <c r="B229" s="30">
        <v>-7</v>
      </c>
      <c r="C229" s="30">
        <v>-4</v>
      </c>
      <c r="D229" s="30">
        <v>-7</v>
      </c>
      <c r="E229" s="30">
        <v>-7</v>
      </c>
      <c r="F229" s="30">
        <v>-7</v>
      </c>
      <c r="G229" s="30">
        <v>-7</v>
      </c>
      <c r="H229" s="30">
        <v>-7</v>
      </c>
      <c r="I229" s="30">
        <v>-7</v>
      </c>
      <c r="J229" s="30">
        <v>-7</v>
      </c>
      <c r="K229" s="30">
        <v>-7</v>
      </c>
      <c r="L229" s="30">
        <v>-7</v>
      </c>
      <c r="M229" s="30">
        <v>-7</v>
      </c>
      <c r="N229" s="30">
        <v>-7</v>
      </c>
      <c r="O229" s="50"/>
      <c r="P229">
        <v>120</v>
      </c>
    </row>
    <row r="230" spans="1:29" x14ac:dyDescent="0.75">
      <c r="A230" s="35" t="s">
        <v>228</v>
      </c>
      <c r="B230" s="30">
        <v>-7</v>
      </c>
      <c r="C230" s="30">
        <v>-7</v>
      </c>
      <c r="D230" s="30">
        <v>-7</v>
      </c>
      <c r="E230" s="30">
        <v>-7</v>
      </c>
      <c r="F230" s="30">
        <v>-7</v>
      </c>
      <c r="G230" s="30">
        <v>-7</v>
      </c>
      <c r="H230" s="30">
        <v>-7</v>
      </c>
      <c r="I230" s="30">
        <v>-7</v>
      </c>
      <c r="J230" s="30">
        <v>-7</v>
      </c>
      <c r="K230" s="30">
        <v>-7</v>
      </c>
      <c r="L230" s="30">
        <v>-7</v>
      </c>
      <c r="M230" s="30">
        <v>-7</v>
      </c>
      <c r="N230" s="30">
        <v>-7</v>
      </c>
      <c r="O230" s="50"/>
      <c r="P230">
        <v>160</v>
      </c>
    </row>
    <row r="231" spans="1:29" x14ac:dyDescent="0.75">
      <c r="A231" s="35" t="s">
        <v>227</v>
      </c>
      <c r="B231" s="30">
        <v>-7</v>
      </c>
      <c r="C231" s="30">
        <v>0</v>
      </c>
      <c r="D231" s="30">
        <v>-7</v>
      </c>
      <c r="E231" s="30">
        <v>-7</v>
      </c>
      <c r="F231" s="30">
        <v>-7</v>
      </c>
      <c r="G231" s="30">
        <v>-7</v>
      </c>
      <c r="H231" s="30">
        <v>-7</v>
      </c>
      <c r="I231" s="30">
        <v>-7</v>
      </c>
      <c r="J231" s="30">
        <v>-7</v>
      </c>
      <c r="K231" s="30">
        <v>-7</v>
      </c>
      <c r="L231" s="30">
        <v>-7</v>
      </c>
      <c r="M231" s="30">
        <v>-7</v>
      </c>
      <c r="N231" s="30">
        <v>-7</v>
      </c>
      <c r="O231" s="50"/>
      <c r="P231">
        <v>35</v>
      </c>
    </row>
    <row r="232" spans="1:29" x14ac:dyDescent="0.75">
      <c r="A232" s="35" t="s">
        <v>226</v>
      </c>
      <c r="B232" s="30">
        <v>-7</v>
      </c>
      <c r="C232" s="30">
        <v>0</v>
      </c>
      <c r="D232" s="30">
        <v>-7</v>
      </c>
      <c r="E232" s="30">
        <v>-7</v>
      </c>
      <c r="F232" s="30">
        <v>-7</v>
      </c>
      <c r="G232" s="30">
        <v>-7</v>
      </c>
      <c r="H232" s="30">
        <v>-7</v>
      </c>
      <c r="I232" s="30">
        <v>-7</v>
      </c>
      <c r="J232" s="30">
        <v>-7</v>
      </c>
      <c r="K232" s="30">
        <v>-7</v>
      </c>
      <c r="L232" s="30">
        <v>-7</v>
      </c>
      <c r="M232" s="30">
        <v>-7</v>
      </c>
      <c r="N232" s="30">
        <v>-7</v>
      </c>
      <c r="O232" s="50"/>
      <c r="P232">
        <v>80</v>
      </c>
      <c r="Y232">
        <v>2</v>
      </c>
      <c r="AA232">
        <v>1</v>
      </c>
    </row>
    <row r="233" spans="1:29" x14ac:dyDescent="0.75">
      <c r="A233" s="35" t="s">
        <v>225</v>
      </c>
      <c r="B233" s="30">
        <v>-7</v>
      </c>
      <c r="C233" s="30">
        <v>0</v>
      </c>
      <c r="D233" s="30">
        <v>-7</v>
      </c>
      <c r="E233" s="30">
        <v>-7</v>
      </c>
      <c r="F233" s="30">
        <v>-7</v>
      </c>
      <c r="G233" s="30">
        <v>-7</v>
      </c>
      <c r="H233" s="30">
        <v>-7</v>
      </c>
      <c r="I233" s="30">
        <v>-7</v>
      </c>
      <c r="J233" s="30">
        <v>-7</v>
      </c>
      <c r="K233" s="30">
        <v>-7</v>
      </c>
      <c r="L233" s="30">
        <v>-7</v>
      </c>
      <c r="M233" s="30">
        <v>-7</v>
      </c>
      <c r="N233" s="30">
        <v>-7</v>
      </c>
      <c r="O233" s="50"/>
      <c r="P233">
        <v>11</v>
      </c>
      <c r="Q233">
        <v>1</v>
      </c>
      <c r="Y233">
        <v>1</v>
      </c>
      <c r="AA233">
        <v>3</v>
      </c>
    </row>
    <row r="234" spans="1:29" x14ac:dyDescent="0.75">
      <c r="A234" s="35" t="s">
        <v>224</v>
      </c>
      <c r="B234" s="30">
        <v>-7</v>
      </c>
      <c r="C234" s="30">
        <v>0</v>
      </c>
      <c r="D234" s="30">
        <v>-7</v>
      </c>
      <c r="E234" s="30">
        <v>-7</v>
      </c>
      <c r="F234" s="30">
        <v>-7</v>
      </c>
      <c r="G234" s="30">
        <v>-7</v>
      </c>
      <c r="H234" s="30">
        <v>-7</v>
      </c>
      <c r="I234" s="30">
        <v>-7</v>
      </c>
      <c r="J234" s="30">
        <v>-7</v>
      </c>
      <c r="K234" s="30">
        <v>-7</v>
      </c>
      <c r="L234" s="30">
        <v>-7</v>
      </c>
      <c r="M234" s="30">
        <v>-7</v>
      </c>
      <c r="N234" s="30">
        <v>-7</v>
      </c>
      <c r="O234" s="50"/>
      <c r="P234">
        <v>32</v>
      </c>
      <c r="Q234">
        <v>1</v>
      </c>
      <c r="Y234">
        <v>1</v>
      </c>
      <c r="AA234">
        <v>3</v>
      </c>
    </row>
    <row r="235" spans="1:29" x14ac:dyDescent="0.75">
      <c r="A235" s="35" t="s">
        <v>223</v>
      </c>
      <c r="B235" s="30">
        <v>-7</v>
      </c>
      <c r="C235" s="30">
        <v>-3</v>
      </c>
      <c r="D235" s="30">
        <v>-7</v>
      </c>
      <c r="E235" s="30">
        <v>-7</v>
      </c>
      <c r="F235" s="30">
        <v>-7</v>
      </c>
      <c r="G235" s="30">
        <v>-7</v>
      </c>
      <c r="H235" s="30">
        <v>-7</v>
      </c>
      <c r="I235" s="30">
        <v>-7</v>
      </c>
      <c r="J235" s="30">
        <v>-7</v>
      </c>
      <c r="K235" s="30">
        <v>-7</v>
      </c>
      <c r="L235" s="30">
        <v>-7</v>
      </c>
      <c r="M235" s="30">
        <v>-7</v>
      </c>
      <c r="N235" s="30">
        <v>-7</v>
      </c>
      <c r="O235" s="50"/>
      <c r="P235">
        <v>80</v>
      </c>
      <c r="Q235">
        <v>1</v>
      </c>
      <c r="Y235">
        <v>1</v>
      </c>
      <c r="AA235">
        <v>3</v>
      </c>
    </row>
    <row r="236" spans="1:29" x14ac:dyDescent="0.75">
      <c r="A236" s="35" t="s">
        <v>222</v>
      </c>
      <c r="B236" s="30">
        <v>-7</v>
      </c>
      <c r="C236" s="30">
        <v>-4</v>
      </c>
      <c r="D236" s="30">
        <v>-7</v>
      </c>
      <c r="E236" s="30">
        <v>-7</v>
      </c>
      <c r="F236" s="30">
        <v>-7</v>
      </c>
      <c r="G236" s="30">
        <v>-7</v>
      </c>
      <c r="H236" s="30">
        <v>-7</v>
      </c>
      <c r="I236" s="30">
        <v>-7</v>
      </c>
      <c r="J236" s="30">
        <v>-7</v>
      </c>
      <c r="K236" s="30">
        <v>-7</v>
      </c>
      <c r="L236" s="30">
        <v>-7</v>
      </c>
      <c r="M236" s="30">
        <v>-7</v>
      </c>
      <c r="N236" s="30">
        <v>-7</v>
      </c>
      <c r="O236" s="50"/>
      <c r="P236">
        <v>100</v>
      </c>
      <c r="Q236">
        <v>1</v>
      </c>
      <c r="Y236">
        <v>1</v>
      </c>
      <c r="AA236">
        <v>3</v>
      </c>
    </row>
    <row r="237" spans="1:29" x14ac:dyDescent="0.75">
      <c r="A237" s="35" t="s">
        <v>221</v>
      </c>
      <c r="B237" s="30">
        <v>-7</v>
      </c>
      <c r="C237" s="30">
        <v>0</v>
      </c>
      <c r="D237" s="30">
        <v>-7</v>
      </c>
      <c r="E237" s="30">
        <v>-7</v>
      </c>
      <c r="F237" s="30">
        <v>-7</v>
      </c>
      <c r="G237" s="30">
        <v>-7</v>
      </c>
      <c r="H237" s="30">
        <v>-7</v>
      </c>
      <c r="I237" s="30">
        <v>-7</v>
      </c>
      <c r="J237" s="30">
        <v>-7</v>
      </c>
      <c r="K237" s="30">
        <v>-7</v>
      </c>
      <c r="L237" s="30">
        <v>-7</v>
      </c>
      <c r="M237" s="30">
        <v>-7</v>
      </c>
      <c r="N237" s="30">
        <v>-7</v>
      </c>
      <c r="O237" s="50"/>
      <c r="P237">
        <v>18</v>
      </c>
      <c r="Y237">
        <v>1</v>
      </c>
      <c r="AA237">
        <v>1</v>
      </c>
    </row>
    <row r="238" spans="1:29" x14ac:dyDescent="0.75">
      <c r="A238" s="35" t="s">
        <v>220</v>
      </c>
      <c r="B238" s="30">
        <v>-7</v>
      </c>
      <c r="C238" s="30">
        <v>-7</v>
      </c>
      <c r="D238" s="30">
        <v>-7</v>
      </c>
      <c r="E238" s="30">
        <v>-7</v>
      </c>
      <c r="F238" s="30">
        <v>-7</v>
      </c>
      <c r="G238" s="30">
        <v>-7</v>
      </c>
      <c r="H238" s="30">
        <v>-7</v>
      </c>
      <c r="I238" s="30">
        <v>-7</v>
      </c>
      <c r="J238" s="30">
        <v>-7</v>
      </c>
      <c r="K238" s="30">
        <v>-7</v>
      </c>
      <c r="L238" s="30">
        <v>0</v>
      </c>
      <c r="M238" s="30">
        <v>-3</v>
      </c>
      <c r="N238" s="30">
        <v>-7</v>
      </c>
      <c r="O238" s="50"/>
      <c r="P238">
        <v>25</v>
      </c>
    </row>
    <row r="239" spans="1:29" x14ac:dyDescent="0.75">
      <c r="A239" s="35" t="s">
        <v>219</v>
      </c>
      <c r="B239" s="30">
        <v>-7</v>
      </c>
      <c r="C239" s="30">
        <v>0</v>
      </c>
      <c r="D239" s="30">
        <v>-7</v>
      </c>
      <c r="E239" s="30">
        <v>-7</v>
      </c>
      <c r="F239" s="30">
        <v>-7</v>
      </c>
      <c r="G239" s="30">
        <v>-7</v>
      </c>
      <c r="H239" s="30">
        <v>-7</v>
      </c>
      <c r="I239" s="30">
        <v>-7</v>
      </c>
      <c r="J239" s="30">
        <v>-7</v>
      </c>
      <c r="K239" s="30">
        <v>4</v>
      </c>
      <c r="L239" s="30">
        <v>-7</v>
      </c>
      <c r="M239" s="30">
        <v>-7</v>
      </c>
      <c r="N239" s="30">
        <v>-7</v>
      </c>
      <c r="O239" s="50"/>
      <c r="AA239">
        <v>1</v>
      </c>
      <c r="AC239">
        <v>20</v>
      </c>
    </row>
    <row r="243" spans="3:13" x14ac:dyDescent="0.75">
      <c r="D243" s="61" t="s">
        <v>573</v>
      </c>
      <c r="E243" s="61" t="s">
        <v>574</v>
      </c>
      <c r="F243" s="61" t="s">
        <v>577</v>
      </c>
      <c r="G243" s="61" t="s">
        <v>575</v>
      </c>
      <c r="H243" s="61" t="s">
        <v>576</v>
      </c>
      <c r="I243" s="61" t="s">
        <v>578</v>
      </c>
      <c r="J243" s="61" t="s">
        <v>579</v>
      </c>
      <c r="K243" s="61" t="s">
        <v>580</v>
      </c>
      <c r="L243" s="61" t="s">
        <v>581</v>
      </c>
      <c r="M243" s="61" t="s">
        <v>582</v>
      </c>
    </row>
    <row r="244" spans="3:13" x14ac:dyDescent="0.75">
      <c r="C244" t="s">
        <v>510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 s="47">
        <v>0</v>
      </c>
    </row>
    <row r="245" spans="3:13" x14ac:dyDescent="0.75">
      <c r="C245" t="s">
        <v>571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 s="47">
        <v>1</v>
      </c>
    </row>
    <row r="246" spans="3:13" x14ac:dyDescent="0.75">
      <c r="C246" t="s">
        <v>572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 s="47">
        <v>1</v>
      </c>
    </row>
    <row r="247" spans="3:13" x14ac:dyDescent="0.75">
      <c r="C247" t="s">
        <v>513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 s="47">
        <v>2</v>
      </c>
    </row>
    <row r="248" spans="3:13" x14ac:dyDescent="0.75">
      <c r="C248" t="s">
        <v>514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 s="47">
        <v>3</v>
      </c>
    </row>
  </sheetData>
  <autoFilter ref="A2:AI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J104"/>
  <sheetViews>
    <sheetView tabSelected="1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O21" sqref="O21"/>
    </sheetView>
  </sheetViews>
  <sheetFormatPr defaultRowHeight="14.75" x14ac:dyDescent="0.75"/>
  <cols>
    <col min="1" max="1" width="18.953125" customWidth="1"/>
    <col min="2" max="29" width="8.7265625" customWidth="1"/>
  </cols>
  <sheetData>
    <row r="1" spans="1:36" x14ac:dyDescent="0.75">
      <c r="A1" s="35" t="s">
        <v>501</v>
      </c>
      <c r="P1" t="s">
        <v>500</v>
      </c>
    </row>
    <row r="2" spans="1:36" s="33" customFormat="1" x14ac:dyDescent="0.75">
      <c r="A2" s="37"/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G2" s="33" t="s">
        <v>116</v>
      </c>
      <c r="H2" s="33" t="s">
        <v>117</v>
      </c>
      <c r="I2" s="33" t="s">
        <v>118</v>
      </c>
      <c r="J2" s="33" t="s">
        <v>119</v>
      </c>
      <c r="K2" s="33" t="s">
        <v>120</v>
      </c>
      <c r="L2" s="33" t="s">
        <v>121</v>
      </c>
      <c r="M2" s="33" t="s">
        <v>122</v>
      </c>
      <c r="N2" s="33" t="s">
        <v>123</v>
      </c>
      <c r="O2" s="39" t="s">
        <v>508</v>
      </c>
      <c r="P2" s="33" t="s">
        <v>124</v>
      </c>
      <c r="Q2" s="33" t="s">
        <v>125</v>
      </c>
      <c r="R2" s="33" t="s">
        <v>132</v>
      </c>
      <c r="S2" s="33" t="s">
        <v>126</v>
      </c>
      <c r="T2" s="33" t="s">
        <v>135</v>
      </c>
      <c r="U2" s="33" t="s">
        <v>127</v>
      </c>
      <c r="V2" s="33" t="s">
        <v>128</v>
      </c>
      <c r="W2" s="33" t="s">
        <v>129</v>
      </c>
      <c r="X2" s="33" t="s">
        <v>133</v>
      </c>
      <c r="Y2" s="33" t="s">
        <v>130</v>
      </c>
      <c r="Z2" s="33" t="s">
        <v>131</v>
      </c>
      <c r="AA2" s="33" t="s">
        <v>134</v>
      </c>
      <c r="AB2" s="33" t="s">
        <v>136</v>
      </c>
      <c r="AC2" s="33" t="s">
        <v>137</v>
      </c>
      <c r="AD2" s="33" t="s">
        <v>138</v>
      </c>
      <c r="AE2" s="33" t="s">
        <v>139</v>
      </c>
      <c r="AF2" s="33" t="s">
        <v>140</v>
      </c>
      <c r="AG2" s="33" t="s">
        <v>141</v>
      </c>
      <c r="AH2" s="33" t="s">
        <v>142</v>
      </c>
      <c r="AI2" s="33" t="s">
        <v>143</v>
      </c>
      <c r="AJ2" s="33" t="s">
        <v>499</v>
      </c>
    </row>
    <row r="3" spans="1:36" x14ac:dyDescent="0.75">
      <c r="A3" s="49" t="s">
        <v>450</v>
      </c>
      <c r="B3" s="48">
        <v>-7</v>
      </c>
      <c r="C3" s="48">
        <v>-7</v>
      </c>
      <c r="D3" s="48">
        <v>-7</v>
      </c>
      <c r="E3" s="48">
        <v>-7</v>
      </c>
      <c r="F3" s="48">
        <v>-7</v>
      </c>
      <c r="G3" s="48">
        <v>-7</v>
      </c>
      <c r="H3" s="48">
        <v>-7</v>
      </c>
      <c r="I3" s="48">
        <v>-7</v>
      </c>
      <c r="J3" s="48">
        <v>-7</v>
      </c>
      <c r="K3" s="48">
        <v>-7</v>
      </c>
      <c r="L3" s="48">
        <v>-7</v>
      </c>
      <c r="M3" s="48">
        <v>-7</v>
      </c>
      <c r="N3" s="48">
        <v>-7</v>
      </c>
      <c r="O3" s="48">
        <v>0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75">
      <c r="A4" s="49" t="s">
        <v>498</v>
      </c>
      <c r="B4" s="48">
        <v>-7</v>
      </c>
      <c r="C4" s="48">
        <v>-7</v>
      </c>
      <c r="D4" s="48">
        <v>-7</v>
      </c>
      <c r="E4" s="48">
        <v>-7</v>
      </c>
      <c r="F4" s="48">
        <v>-7</v>
      </c>
      <c r="G4" s="48">
        <v>-7</v>
      </c>
      <c r="H4" s="48">
        <v>-7</v>
      </c>
      <c r="I4" s="48">
        <v>-7</v>
      </c>
      <c r="J4" s="48">
        <v>-7</v>
      </c>
      <c r="K4" s="48">
        <v>-7</v>
      </c>
      <c r="L4" s="48">
        <v>-7</v>
      </c>
      <c r="M4" s="48">
        <v>-7</v>
      </c>
      <c r="N4" s="48">
        <v>-7</v>
      </c>
      <c r="O4" s="48">
        <v>0</v>
      </c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75">
      <c r="A5" s="49" t="s">
        <v>497</v>
      </c>
      <c r="B5" s="48">
        <v>-7</v>
      </c>
      <c r="C5" s="48">
        <v>-7</v>
      </c>
      <c r="D5" s="48">
        <v>-7</v>
      </c>
      <c r="E5" s="48">
        <v>-7</v>
      </c>
      <c r="F5" s="48">
        <v>-7</v>
      </c>
      <c r="G5" s="48">
        <v>-7</v>
      </c>
      <c r="H5" s="48">
        <v>-7</v>
      </c>
      <c r="I5" s="48">
        <v>-7</v>
      </c>
      <c r="J5" s="48">
        <v>-7</v>
      </c>
      <c r="K5" s="48">
        <v>-7</v>
      </c>
      <c r="L5" s="48">
        <v>-7</v>
      </c>
      <c r="M5" s="48">
        <v>-7</v>
      </c>
      <c r="N5" s="48">
        <v>-7</v>
      </c>
      <c r="O5" s="48">
        <v>0</v>
      </c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75">
      <c r="A6" s="49" t="s">
        <v>496</v>
      </c>
      <c r="B6" s="48">
        <v>-7</v>
      </c>
      <c r="C6" s="48">
        <v>-7</v>
      </c>
      <c r="D6" s="48">
        <v>-7</v>
      </c>
      <c r="E6" s="48">
        <v>-7</v>
      </c>
      <c r="F6" s="48">
        <v>-7</v>
      </c>
      <c r="G6" s="48">
        <v>-7</v>
      </c>
      <c r="H6" s="48">
        <v>-7</v>
      </c>
      <c r="I6" s="48">
        <v>-7</v>
      </c>
      <c r="J6" s="48">
        <v>-7</v>
      </c>
      <c r="K6" s="48">
        <v>-7</v>
      </c>
      <c r="L6" s="48">
        <v>-7</v>
      </c>
      <c r="M6" s="48">
        <v>-7</v>
      </c>
      <c r="N6" s="48">
        <v>-7</v>
      </c>
      <c r="O6" s="48">
        <v>0</v>
      </c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75">
      <c r="A7" s="49" t="s">
        <v>495</v>
      </c>
      <c r="B7" s="48">
        <v>-7</v>
      </c>
      <c r="C7" s="48">
        <v>-7</v>
      </c>
      <c r="D7" s="48">
        <v>-7</v>
      </c>
      <c r="E7" s="48">
        <v>-7</v>
      </c>
      <c r="F7" s="48">
        <v>-7</v>
      </c>
      <c r="G7" s="48">
        <v>-7</v>
      </c>
      <c r="H7" s="48">
        <v>-7</v>
      </c>
      <c r="I7" s="48">
        <v>-7</v>
      </c>
      <c r="J7" s="48">
        <v>-7</v>
      </c>
      <c r="K7" s="48">
        <v>-7</v>
      </c>
      <c r="L7" s="48">
        <v>-7</v>
      </c>
      <c r="M7" s="48">
        <v>-7</v>
      </c>
      <c r="N7" s="48">
        <v>-7</v>
      </c>
      <c r="O7" s="48">
        <v>0</v>
      </c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75">
      <c r="A8" s="49" t="s">
        <v>494</v>
      </c>
      <c r="B8" s="48">
        <v>-7</v>
      </c>
      <c r="C8" s="48">
        <v>-7</v>
      </c>
      <c r="D8" s="48">
        <v>-7</v>
      </c>
      <c r="E8" s="48">
        <v>-7</v>
      </c>
      <c r="F8" s="48">
        <v>-7</v>
      </c>
      <c r="G8" s="48">
        <v>-7</v>
      </c>
      <c r="H8" s="48">
        <v>-7</v>
      </c>
      <c r="I8" s="48">
        <v>-7</v>
      </c>
      <c r="J8" s="48">
        <v>-7</v>
      </c>
      <c r="K8" s="48">
        <v>-7</v>
      </c>
      <c r="L8" s="48">
        <v>-7</v>
      </c>
      <c r="M8" s="48">
        <v>-7</v>
      </c>
      <c r="N8" s="48">
        <v>-7</v>
      </c>
      <c r="O8" s="48">
        <v>0</v>
      </c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75">
      <c r="A9" s="49" t="s">
        <v>493</v>
      </c>
      <c r="B9" s="48">
        <v>-7</v>
      </c>
      <c r="C9" s="48">
        <v>-7</v>
      </c>
      <c r="D9" s="48">
        <v>-7</v>
      </c>
      <c r="E9" s="48">
        <v>-7</v>
      </c>
      <c r="F9" s="48">
        <v>-7</v>
      </c>
      <c r="G9" s="48">
        <v>-7</v>
      </c>
      <c r="H9" s="48">
        <v>-7</v>
      </c>
      <c r="I9" s="48">
        <v>-7</v>
      </c>
      <c r="J9" s="48">
        <v>-7</v>
      </c>
      <c r="K9" s="48">
        <v>-7</v>
      </c>
      <c r="L9" s="48">
        <v>-7</v>
      </c>
      <c r="M9" s="48">
        <v>-7</v>
      </c>
      <c r="N9" s="48">
        <v>-7</v>
      </c>
      <c r="O9" s="48">
        <v>0</v>
      </c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75">
      <c r="A10" s="49" t="s">
        <v>492</v>
      </c>
      <c r="B10" s="48">
        <v>2</v>
      </c>
      <c r="C10" s="48">
        <v>2</v>
      </c>
      <c r="D10" s="48">
        <v>-7</v>
      </c>
      <c r="E10" s="48">
        <v>-2</v>
      </c>
      <c r="F10" s="48">
        <v>-7</v>
      </c>
      <c r="G10" s="48">
        <v>-7</v>
      </c>
      <c r="H10" s="48">
        <v>-7</v>
      </c>
      <c r="I10" s="48">
        <v>-7</v>
      </c>
      <c r="J10" s="48">
        <v>-7</v>
      </c>
      <c r="K10" s="48">
        <v>-7</v>
      </c>
      <c r="L10" s="48">
        <v>-7</v>
      </c>
      <c r="M10" s="48">
        <v>-7</v>
      </c>
      <c r="N10" s="48">
        <v>3</v>
      </c>
      <c r="O10" s="48">
        <v>1</v>
      </c>
      <c r="P10" s="47">
        <v>22</v>
      </c>
      <c r="Q10" s="47"/>
      <c r="R10" s="48"/>
      <c r="S10" s="48">
        <v>-1</v>
      </c>
      <c r="T10" s="47"/>
      <c r="U10" s="47">
        <v>3</v>
      </c>
      <c r="V10" s="47">
        <v>-4</v>
      </c>
      <c r="W10" s="47">
        <v>-5</v>
      </c>
      <c r="X10" s="47">
        <v>-6</v>
      </c>
      <c r="Y10" s="47">
        <v>-1</v>
      </c>
      <c r="Z10" s="47">
        <v>1</v>
      </c>
      <c r="AA10" s="47">
        <v>2</v>
      </c>
      <c r="AB10" s="47"/>
      <c r="AC10" s="47"/>
      <c r="AD10" s="47">
        <v>30</v>
      </c>
      <c r="AE10" s="47"/>
      <c r="AF10" s="47"/>
      <c r="AG10" s="47"/>
      <c r="AH10" s="47"/>
      <c r="AI10" s="47"/>
      <c r="AJ10" s="47" t="s">
        <v>486</v>
      </c>
    </row>
    <row r="11" spans="1:36" x14ac:dyDescent="0.75">
      <c r="A11" s="49" t="s">
        <v>490</v>
      </c>
      <c r="B11" s="48">
        <v>2</v>
      </c>
      <c r="C11" s="48">
        <v>2</v>
      </c>
      <c r="D11" s="48">
        <v>0</v>
      </c>
      <c r="E11" s="48">
        <v>-7</v>
      </c>
      <c r="F11" s="48">
        <v>-7</v>
      </c>
      <c r="G11" s="48">
        <v>-7</v>
      </c>
      <c r="H11" s="48">
        <v>-7</v>
      </c>
      <c r="I11" s="48">
        <v>-7</v>
      </c>
      <c r="J11" s="48">
        <v>-7</v>
      </c>
      <c r="K11" s="48">
        <v>-7</v>
      </c>
      <c r="L11" s="48">
        <v>-7</v>
      </c>
      <c r="M11" s="48">
        <v>-7</v>
      </c>
      <c r="N11" s="48">
        <v>2</v>
      </c>
      <c r="O11" s="48">
        <v>1</v>
      </c>
      <c r="P11" s="47">
        <v>25</v>
      </c>
      <c r="Q11" s="47"/>
      <c r="R11" s="47"/>
      <c r="S11" s="48">
        <v>-1</v>
      </c>
      <c r="T11" s="47"/>
      <c r="U11" s="47">
        <v>3</v>
      </c>
      <c r="V11" s="47">
        <v>-4</v>
      </c>
      <c r="W11" s="47">
        <v>-5</v>
      </c>
      <c r="X11" s="47">
        <v>-6</v>
      </c>
      <c r="Y11" s="47"/>
      <c r="Z11" s="47">
        <v>1</v>
      </c>
      <c r="AA11" s="47">
        <v>-1</v>
      </c>
      <c r="AB11" s="47"/>
      <c r="AC11" s="47"/>
      <c r="AD11" s="47">
        <v>26</v>
      </c>
      <c r="AE11" s="47"/>
      <c r="AF11" s="47"/>
      <c r="AG11" s="47"/>
      <c r="AH11" s="47"/>
      <c r="AI11" s="47"/>
      <c r="AJ11" s="47" t="s">
        <v>486</v>
      </c>
    </row>
    <row r="12" spans="1:36" x14ac:dyDescent="0.75">
      <c r="A12" s="49" t="s">
        <v>487</v>
      </c>
      <c r="B12" s="48">
        <v>2</v>
      </c>
      <c r="C12" s="48">
        <v>2</v>
      </c>
      <c r="D12" s="48">
        <v>3</v>
      </c>
      <c r="E12" s="48">
        <v>-7</v>
      </c>
      <c r="F12" s="48">
        <v>-7</v>
      </c>
      <c r="G12" s="48">
        <v>-7</v>
      </c>
      <c r="H12" s="48">
        <v>-7</v>
      </c>
      <c r="I12" s="48">
        <v>-7</v>
      </c>
      <c r="J12" s="48">
        <v>-7</v>
      </c>
      <c r="K12" s="48">
        <v>-7</v>
      </c>
      <c r="L12" s="48">
        <v>-7</v>
      </c>
      <c r="M12" s="48">
        <v>-7</v>
      </c>
      <c r="N12" s="48">
        <v>3</v>
      </c>
      <c r="O12" s="48">
        <v>1</v>
      </c>
      <c r="P12" s="47">
        <v>25</v>
      </c>
      <c r="Q12" s="47"/>
      <c r="R12" s="47"/>
      <c r="S12" s="48">
        <v>1</v>
      </c>
      <c r="T12" s="47"/>
      <c r="U12" s="47">
        <v>-3</v>
      </c>
      <c r="V12" s="47">
        <v>-4</v>
      </c>
      <c r="W12" s="47">
        <v>-5</v>
      </c>
      <c r="X12" s="47">
        <v>-6</v>
      </c>
      <c r="Y12" s="47">
        <v>-1</v>
      </c>
      <c r="Z12" s="47">
        <v>2</v>
      </c>
      <c r="AA12" s="47">
        <v>-1</v>
      </c>
      <c r="AB12" s="47"/>
      <c r="AC12" s="47"/>
      <c r="AD12" s="47">
        <v>30</v>
      </c>
      <c r="AE12" s="47"/>
      <c r="AF12" s="47"/>
      <c r="AG12" s="47"/>
      <c r="AH12" s="47"/>
      <c r="AI12" s="47"/>
      <c r="AJ12" s="47" t="s">
        <v>486</v>
      </c>
    </row>
    <row r="13" spans="1:36" x14ac:dyDescent="0.75">
      <c r="A13" s="49" t="s">
        <v>478</v>
      </c>
      <c r="B13" s="48">
        <v>2</v>
      </c>
      <c r="C13" s="48">
        <v>2</v>
      </c>
      <c r="D13" s="48">
        <v>2</v>
      </c>
      <c r="E13" s="48">
        <v>-7</v>
      </c>
      <c r="F13" s="48">
        <v>-7</v>
      </c>
      <c r="G13" s="48">
        <v>-7</v>
      </c>
      <c r="H13" s="48">
        <v>-1</v>
      </c>
      <c r="I13" s="48">
        <v>-7</v>
      </c>
      <c r="J13" s="48">
        <v>-7</v>
      </c>
      <c r="K13" s="48">
        <v>-7</v>
      </c>
      <c r="L13" s="48">
        <v>-7</v>
      </c>
      <c r="M13" s="48">
        <v>-7</v>
      </c>
      <c r="N13" s="48">
        <v>2</v>
      </c>
      <c r="O13" s="48">
        <v>1</v>
      </c>
      <c r="P13" s="47">
        <v>18</v>
      </c>
      <c r="Q13" s="47"/>
      <c r="R13" s="47"/>
      <c r="S13" s="48">
        <v>-1</v>
      </c>
      <c r="T13" s="47"/>
      <c r="U13" s="47">
        <v>2</v>
      </c>
      <c r="V13" s="47">
        <v>-4</v>
      </c>
      <c r="W13" s="47">
        <v>-5</v>
      </c>
      <c r="X13" s="47">
        <v>-6</v>
      </c>
      <c r="Y13" s="47"/>
      <c r="Z13" s="47">
        <v>2</v>
      </c>
      <c r="AA13" s="47">
        <v>3</v>
      </c>
      <c r="AB13" s="47"/>
      <c r="AC13" s="47"/>
      <c r="AD13" s="47">
        <v>37</v>
      </c>
      <c r="AE13" s="47"/>
      <c r="AF13" s="47"/>
      <c r="AG13" s="47"/>
      <c r="AH13" s="47"/>
      <c r="AI13" s="47"/>
      <c r="AJ13" s="47" t="s">
        <v>472</v>
      </c>
    </row>
    <row r="14" spans="1:36" x14ac:dyDescent="0.75">
      <c r="A14" s="49" t="s">
        <v>476</v>
      </c>
      <c r="B14" s="48">
        <v>2</v>
      </c>
      <c r="C14" s="48">
        <v>1</v>
      </c>
      <c r="D14" s="48">
        <v>-2</v>
      </c>
      <c r="E14" s="48">
        <v>-7</v>
      </c>
      <c r="F14" s="48">
        <v>-7</v>
      </c>
      <c r="G14" s="48">
        <v>-7</v>
      </c>
      <c r="H14" s="48">
        <v>-1</v>
      </c>
      <c r="I14" s="48">
        <v>-7</v>
      </c>
      <c r="J14" s="48">
        <v>-7</v>
      </c>
      <c r="K14" s="48">
        <v>-7</v>
      </c>
      <c r="L14" s="48">
        <v>-7</v>
      </c>
      <c r="M14" s="48">
        <v>-7</v>
      </c>
      <c r="N14" s="48">
        <v>0</v>
      </c>
      <c r="O14" s="48">
        <v>1</v>
      </c>
      <c r="P14" s="47">
        <v>16</v>
      </c>
      <c r="Q14" s="47"/>
      <c r="R14" s="47"/>
      <c r="S14" s="48">
        <v>-1</v>
      </c>
      <c r="T14" s="47"/>
      <c r="U14" s="47">
        <v>2</v>
      </c>
      <c r="V14" s="47">
        <v>-4</v>
      </c>
      <c r="W14" s="47">
        <v>-5</v>
      </c>
      <c r="X14" s="47">
        <v>-6</v>
      </c>
      <c r="Y14" s="47"/>
      <c r="Z14" s="47">
        <v>2</v>
      </c>
      <c r="AA14" s="47">
        <v>3</v>
      </c>
      <c r="AB14" s="47"/>
      <c r="AC14" s="47"/>
      <c r="AD14" s="47">
        <v>35</v>
      </c>
      <c r="AE14" s="47"/>
      <c r="AF14" s="47"/>
      <c r="AG14" s="47"/>
      <c r="AH14" s="47"/>
      <c r="AI14" s="47"/>
      <c r="AJ14" s="47" t="s">
        <v>472</v>
      </c>
    </row>
    <row r="15" spans="1:36" x14ac:dyDescent="0.75">
      <c r="A15" s="49" t="s">
        <v>473</v>
      </c>
      <c r="B15" s="48">
        <v>2</v>
      </c>
      <c r="C15" s="48">
        <v>0</v>
      </c>
      <c r="D15" s="48">
        <v>1</v>
      </c>
      <c r="E15" s="48">
        <v>-7</v>
      </c>
      <c r="F15" s="48">
        <v>-7</v>
      </c>
      <c r="G15" s="48">
        <v>-7</v>
      </c>
      <c r="H15" s="48">
        <v>-7</v>
      </c>
      <c r="I15" s="48">
        <v>-7</v>
      </c>
      <c r="J15" s="48">
        <v>-7</v>
      </c>
      <c r="K15" s="48">
        <v>-7</v>
      </c>
      <c r="L15" s="48">
        <v>-7</v>
      </c>
      <c r="M15" s="48">
        <v>-7</v>
      </c>
      <c r="N15" s="48">
        <v>1</v>
      </c>
      <c r="O15" s="48">
        <v>1</v>
      </c>
      <c r="P15" s="47">
        <v>15</v>
      </c>
      <c r="Q15" s="47"/>
      <c r="R15" s="47"/>
      <c r="S15" s="48">
        <v>-1</v>
      </c>
      <c r="T15" s="47"/>
      <c r="U15" s="47">
        <v>2</v>
      </c>
      <c r="V15" s="47">
        <v>-4</v>
      </c>
      <c r="W15" s="47">
        <v>-5</v>
      </c>
      <c r="X15" s="47">
        <v>-6</v>
      </c>
      <c r="Y15" s="47"/>
      <c r="Z15" s="47"/>
      <c r="AA15" s="47">
        <v>-2</v>
      </c>
      <c r="AB15" s="47"/>
      <c r="AC15" s="47"/>
      <c r="AD15" s="47">
        <v>32</v>
      </c>
      <c r="AE15" s="47"/>
      <c r="AF15" s="47"/>
      <c r="AG15" s="47"/>
      <c r="AH15" s="47"/>
      <c r="AI15" s="47"/>
      <c r="AJ15" s="47" t="s">
        <v>472</v>
      </c>
    </row>
    <row r="16" spans="1:36" x14ac:dyDescent="0.75">
      <c r="A16" s="49" t="s">
        <v>466</v>
      </c>
      <c r="B16" s="48">
        <v>-1</v>
      </c>
      <c r="C16" s="48">
        <v>-2</v>
      </c>
      <c r="D16" s="48">
        <v>-7</v>
      </c>
      <c r="E16" s="48">
        <v>-7</v>
      </c>
      <c r="F16" s="48">
        <v>-7</v>
      </c>
      <c r="G16" s="48">
        <v>-7</v>
      </c>
      <c r="H16" s="48">
        <v>-7</v>
      </c>
      <c r="I16" s="48">
        <v>-7</v>
      </c>
      <c r="J16" s="48">
        <v>-7</v>
      </c>
      <c r="K16" s="48">
        <v>-2</v>
      </c>
      <c r="L16" s="48">
        <v>-7</v>
      </c>
      <c r="M16" s="48">
        <v>-7</v>
      </c>
      <c r="N16" s="48">
        <v>0</v>
      </c>
      <c r="O16" s="48">
        <v>1</v>
      </c>
      <c r="P16" s="47">
        <v>20</v>
      </c>
      <c r="Q16" s="47"/>
      <c r="R16" s="47"/>
      <c r="S16" s="48">
        <v>-1</v>
      </c>
      <c r="T16" s="47"/>
      <c r="U16" s="47">
        <v>-3</v>
      </c>
      <c r="V16" s="47">
        <v>-4</v>
      </c>
      <c r="W16" s="47">
        <v>-5</v>
      </c>
      <c r="X16" s="47">
        <v>-6</v>
      </c>
      <c r="Y16" s="47"/>
      <c r="Z16" s="47">
        <v>2</v>
      </c>
      <c r="AA16" s="47">
        <v>-2</v>
      </c>
      <c r="AB16" s="47"/>
      <c r="AC16" s="47"/>
      <c r="AD16" s="47">
        <v>20</v>
      </c>
      <c r="AE16" s="47"/>
      <c r="AF16" s="47"/>
      <c r="AG16" s="47"/>
      <c r="AH16" s="47"/>
      <c r="AI16" s="47"/>
      <c r="AJ16" s="47" t="s">
        <v>529</v>
      </c>
    </row>
    <row r="17" spans="1:36" x14ac:dyDescent="0.75">
      <c r="A17" s="49" t="s">
        <v>465</v>
      </c>
      <c r="B17" s="48">
        <v>-1</v>
      </c>
      <c r="C17" s="48">
        <v>-7</v>
      </c>
      <c r="D17" s="48">
        <v>-7</v>
      </c>
      <c r="E17" s="48">
        <v>-7</v>
      </c>
      <c r="F17" s="48">
        <v>-7</v>
      </c>
      <c r="G17" s="48">
        <v>-7</v>
      </c>
      <c r="H17" s="48">
        <v>-7</v>
      </c>
      <c r="I17" s="48">
        <v>-7</v>
      </c>
      <c r="J17" s="48">
        <v>-7</v>
      </c>
      <c r="K17" s="48">
        <v>-7</v>
      </c>
      <c r="L17" s="48">
        <v>-7</v>
      </c>
      <c r="M17" s="48">
        <v>-7</v>
      </c>
      <c r="N17" s="48">
        <v>-1</v>
      </c>
      <c r="O17" s="48">
        <v>1</v>
      </c>
      <c r="P17" s="47">
        <v>16</v>
      </c>
      <c r="Q17" s="47"/>
      <c r="R17" s="47"/>
      <c r="S17" s="48">
        <v>-2</v>
      </c>
      <c r="T17" s="47"/>
      <c r="U17" s="47">
        <v>-3</v>
      </c>
      <c r="V17" s="47">
        <v>-4</v>
      </c>
      <c r="W17" s="47">
        <v>-5</v>
      </c>
      <c r="X17" s="47">
        <v>-6</v>
      </c>
      <c r="Y17" s="47"/>
      <c r="Z17" s="47"/>
      <c r="AA17" s="47"/>
      <c r="AB17" s="47"/>
      <c r="AC17" s="47"/>
      <c r="AD17" s="47">
        <v>20</v>
      </c>
      <c r="AE17" s="47"/>
      <c r="AF17" s="47"/>
      <c r="AG17" s="47"/>
      <c r="AH17" s="47"/>
      <c r="AI17" s="47"/>
      <c r="AJ17" s="47" t="s">
        <v>529</v>
      </c>
    </row>
    <row r="18" spans="1:36" x14ac:dyDescent="0.75">
      <c r="A18" s="49" t="s">
        <v>458</v>
      </c>
      <c r="B18" s="48">
        <v>2</v>
      </c>
      <c r="C18" s="48">
        <v>2</v>
      </c>
      <c r="D18" s="48">
        <v>3</v>
      </c>
      <c r="E18" s="48">
        <v>-7</v>
      </c>
      <c r="F18" s="48">
        <v>-7</v>
      </c>
      <c r="G18" s="48">
        <v>-7</v>
      </c>
      <c r="H18" s="48">
        <v>-7</v>
      </c>
      <c r="I18" s="48">
        <v>-7</v>
      </c>
      <c r="J18" s="48">
        <v>-7</v>
      </c>
      <c r="K18" s="48">
        <v>-7</v>
      </c>
      <c r="L18" s="48">
        <v>-7</v>
      </c>
      <c r="M18" s="48">
        <v>-7</v>
      </c>
      <c r="N18" s="48">
        <v>3</v>
      </c>
      <c r="O18" s="48">
        <v>1</v>
      </c>
      <c r="P18" s="47">
        <v>25</v>
      </c>
      <c r="Q18" s="47"/>
      <c r="R18" s="47"/>
      <c r="S18" s="48">
        <v>1</v>
      </c>
      <c r="T18" s="47"/>
      <c r="U18" s="47">
        <v>-3</v>
      </c>
      <c r="V18" s="47">
        <v>-4</v>
      </c>
      <c r="W18" s="47">
        <v>-5</v>
      </c>
      <c r="X18" s="47">
        <v>-6</v>
      </c>
      <c r="Y18" s="47"/>
      <c r="Z18" s="47"/>
      <c r="AA18" s="47"/>
      <c r="AB18" s="47"/>
      <c r="AC18" s="47"/>
      <c r="AD18" s="47">
        <v>30</v>
      </c>
      <c r="AE18" s="47"/>
      <c r="AF18" s="47"/>
      <c r="AG18" s="47"/>
      <c r="AH18" s="47"/>
      <c r="AI18" s="47"/>
      <c r="AJ18" s="47" t="s">
        <v>529</v>
      </c>
    </row>
    <row r="19" spans="1:36" x14ac:dyDescent="0.75">
      <c r="A19" s="49" t="s">
        <v>457</v>
      </c>
      <c r="B19" s="48">
        <v>0</v>
      </c>
      <c r="C19" s="48">
        <v>0</v>
      </c>
      <c r="D19" s="48">
        <v>-2</v>
      </c>
      <c r="E19" s="48">
        <v>-7</v>
      </c>
      <c r="F19" s="48">
        <v>-7</v>
      </c>
      <c r="G19" s="48">
        <v>-7</v>
      </c>
      <c r="H19" s="48">
        <v>-7</v>
      </c>
      <c r="I19" s="48">
        <v>-7</v>
      </c>
      <c r="J19" s="48">
        <v>-7</v>
      </c>
      <c r="K19" s="48">
        <v>-7</v>
      </c>
      <c r="L19" s="48">
        <v>-7</v>
      </c>
      <c r="M19" s="48">
        <v>-7</v>
      </c>
      <c r="N19" s="48">
        <v>2</v>
      </c>
      <c r="O19" s="48">
        <v>1</v>
      </c>
      <c r="P19" s="47">
        <v>24</v>
      </c>
      <c r="Q19" s="48">
        <v>-1</v>
      </c>
      <c r="R19" s="48">
        <v>-1</v>
      </c>
      <c r="S19" s="48">
        <v>-3</v>
      </c>
      <c r="T19" s="48">
        <v>-1</v>
      </c>
      <c r="U19" s="47">
        <v>-2</v>
      </c>
      <c r="V19" s="47">
        <v>-5</v>
      </c>
      <c r="W19" s="47">
        <v>-7</v>
      </c>
      <c r="X19" s="47">
        <v>-7</v>
      </c>
      <c r="Y19" s="47">
        <v>-1</v>
      </c>
      <c r="Z19" s="47">
        <v>1</v>
      </c>
      <c r="AA19" s="47">
        <v>2</v>
      </c>
      <c r="AB19" s="47"/>
      <c r="AC19" s="47"/>
      <c r="AD19" s="47">
        <v>70</v>
      </c>
      <c r="AE19" s="47"/>
      <c r="AF19" s="47"/>
      <c r="AG19" s="47"/>
      <c r="AH19" s="47"/>
      <c r="AI19" s="47"/>
      <c r="AJ19" s="47" t="s">
        <v>472</v>
      </c>
    </row>
    <row r="20" spans="1:36" x14ac:dyDescent="0.75">
      <c r="A20" s="49" t="s">
        <v>471</v>
      </c>
      <c r="B20" s="48">
        <v>2</v>
      </c>
      <c r="C20" s="48">
        <v>-2</v>
      </c>
      <c r="D20" s="48">
        <v>-3</v>
      </c>
      <c r="E20" s="48">
        <v>3</v>
      </c>
      <c r="F20" s="48">
        <v>0</v>
      </c>
      <c r="G20" s="48">
        <v>2</v>
      </c>
      <c r="H20" s="48">
        <v>0</v>
      </c>
      <c r="I20" s="48">
        <v>0</v>
      </c>
      <c r="J20" s="48">
        <v>-7</v>
      </c>
      <c r="K20" s="48">
        <v>0</v>
      </c>
      <c r="L20" s="48">
        <v>0</v>
      </c>
      <c r="M20" s="48">
        <v>0</v>
      </c>
      <c r="N20" s="48">
        <v>1</v>
      </c>
      <c r="O20" s="48">
        <v>1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 t="s">
        <v>545</v>
      </c>
    </row>
    <row r="21" spans="1:36" x14ac:dyDescent="0.75">
      <c r="A21" s="49" t="s">
        <v>470</v>
      </c>
      <c r="B21" s="48">
        <v>2</v>
      </c>
      <c r="C21" s="48">
        <v>2</v>
      </c>
      <c r="D21" s="48">
        <v>0</v>
      </c>
      <c r="E21" s="48">
        <v>1</v>
      </c>
      <c r="F21" s="48">
        <v>-7</v>
      </c>
      <c r="G21" s="48">
        <v>-3</v>
      </c>
      <c r="H21" s="48">
        <v>-7</v>
      </c>
      <c r="I21" s="48">
        <v>-7</v>
      </c>
      <c r="J21" s="48">
        <v>-7</v>
      </c>
      <c r="K21" s="48">
        <v>-7</v>
      </c>
      <c r="L21" s="48">
        <v>-7</v>
      </c>
      <c r="M21" s="48">
        <v>-7</v>
      </c>
      <c r="N21" s="48">
        <v>2</v>
      </c>
      <c r="O21" s="48">
        <v>1</v>
      </c>
      <c r="P21" s="47">
        <v>10</v>
      </c>
      <c r="Q21" s="47"/>
      <c r="R21" s="47"/>
      <c r="S21" s="48">
        <v>1</v>
      </c>
      <c r="T21" s="47"/>
      <c r="U21" s="47">
        <v>-1</v>
      </c>
      <c r="V21" s="47">
        <v>-2</v>
      </c>
      <c r="W21" s="47">
        <v>-3</v>
      </c>
      <c r="X21" s="47">
        <v>-4</v>
      </c>
      <c r="Y21" s="47"/>
      <c r="Z21" s="47">
        <v>-1</v>
      </c>
      <c r="AA21" s="47">
        <v>-2</v>
      </c>
      <c r="AB21" s="47"/>
      <c r="AC21" s="47"/>
      <c r="AD21" s="47"/>
      <c r="AE21" s="47"/>
      <c r="AF21" s="47"/>
      <c r="AG21" s="47"/>
      <c r="AH21" s="47"/>
      <c r="AI21" s="47"/>
      <c r="AJ21" s="47" t="s">
        <v>529</v>
      </c>
    </row>
    <row r="22" spans="1:36" x14ac:dyDescent="0.75">
      <c r="A22" s="49" t="s">
        <v>469</v>
      </c>
      <c r="B22" s="48">
        <v>2</v>
      </c>
      <c r="C22" s="48">
        <v>0</v>
      </c>
      <c r="D22" s="48">
        <v>-1</v>
      </c>
      <c r="E22" s="48">
        <v>-7</v>
      </c>
      <c r="F22" s="48">
        <v>-7</v>
      </c>
      <c r="G22" s="48">
        <v>-7</v>
      </c>
      <c r="H22" s="48">
        <v>-7</v>
      </c>
      <c r="I22" s="48">
        <v>-7</v>
      </c>
      <c r="J22" s="48">
        <v>-7</v>
      </c>
      <c r="K22" s="48">
        <v>-7</v>
      </c>
      <c r="L22" s="48">
        <v>-7</v>
      </c>
      <c r="M22" s="48">
        <v>-7</v>
      </c>
      <c r="N22" s="48">
        <v>0</v>
      </c>
      <c r="O22" s="48">
        <v>1</v>
      </c>
      <c r="P22" s="47">
        <v>20</v>
      </c>
      <c r="Q22" s="47"/>
      <c r="R22" s="47"/>
      <c r="S22" s="48">
        <v>1</v>
      </c>
      <c r="T22" s="47"/>
      <c r="U22" s="47">
        <v>-1</v>
      </c>
      <c r="V22" s="47">
        <v>-3</v>
      </c>
      <c r="W22" s="47">
        <v>-4</v>
      </c>
      <c r="X22" s="47">
        <v>-5</v>
      </c>
      <c r="Y22" s="47"/>
      <c r="Z22" s="47">
        <v>1</v>
      </c>
      <c r="AA22" s="47">
        <v>-1</v>
      </c>
      <c r="AB22" s="47"/>
      <c r="AC22" s="47"/>
      <c r="AD22" s="47">
        <v>25</v>
      </c>
      <c r="AE22" s="47"/>
      <c r="AF22" s="47"/>
      <c r="AG22" s="47"/>
      <c r="AH22" s="47"/>
      <c r="AI22" s="47"/>
      <c r="AJ22" s="47" t="s">
        <v>529</v>
      </c>
    </row>
    <row r="23" spans="1:36" x14ac:dyDescent="0.75">
      <c r="A23" s="49" t="s">
        <v>468</v>
      </c>
      <c r="B23" s="48">
        <v>2</v>
      </c>
      <c r="C23" s="48">
        <v>0</v>
      </c>
      <c r="D23" s="48">
        <v>-1</v>
      </c>
      <c r="E23" s="48">
        <v>-7</v>
      </c>
      <c r="F23" s="48">
        <v>-7</v>
      </c>
      <c r="G23" s="48">
        <v>-7</v>
      </c>
      <c r="H23" s="48">
        <v>-7</v>
      </c>
      <c r="I23" s="48">
        <v>-7</v>
      </c>
      <c r="J23" s="48">
        <v>-7</v>
      </c>
      <c r="K23" s="48">
        <v>-7</v>
      </c>
      <c r="L23" s="48">
        <v>-7</v>
      </c>
      <c r="M23" s="48">
        <v>-7</v>
      </c>
      <c r="N23" s="48">
        <v>0</v>
      </c>
      <c r="O23" s="48">
        <v>1</v>
      </c>
      <c r="P23" s="47">
        <v>20</v>
      </c>
      <c r="Q23" s="47"/>
      <c r="R23" s="47"/>
      <c r="S23" s="48">
        <v>1</v>
      </c>
      <c r="T23" s="47"/>
      <c r="U23" s="47">
        <v>-1</v>
      </c>
      <c r="V23" s="47">
        <v>-3</v>
      </c>
      <c r="W23" s="47">
        <v>-4</v>
      </c>
      <c r="X23" s="47">
        <v>-5</v>
      </c>
      <c r="Y23" s="47"/>
      <c r="Z23" s="47">
        <v>1</v>
      </c>
      <c r="AA23" s="47">
        <v>-1</v>
      </c>
      <c r="AB23" s="47"/>
      <c r="AC23" s="47"/>
      <c r="AD23" s="47">
        <v>25</v>
      </c>
      <c r="AE23" s="47"/>
      <c r="AF23" s="47"/>
      <c r="AG23" s="47"/>
      <c r="AH23" s="47"/>
      <c r="AI23" s="47"/>
      <c r="AJ23" s="47" t="s">
        <v>529</v>
      </c>
    </row>
    <row r="24" spans="1:36" x14ac:dyDescent="0.75">
      <c r="A24" s="49" t="s">
        <v>467</v>
      </c>
      <c r="B24" s="48">
        <v>-1</v>
      </c>
      <c r="C24" s="48">
        <v>-7</v>
      </c>
      <c r="D24" s="48">
        <v>-7</v>
      </c>
      <c r="E24" s="48">
        <v>1</v>
      </c>
      <c r="F24" s="48">
        <v>-7</v>
      </c>
      <c r="G24" s="48">
        <v>-7</v>
      </c>
      <c r="H24" s="48">
        <v>-7</v>
      </c>
      <c r="I24" s="48">
        <v>3</v>
      </c>
      <c r="J24" s="48">
        <v>-7</v>
      </c>
      <c r="K24" s="48">
        <v>0</v>
      </c>
      <c r="L24" s="48">
        <v>-7</v>
      </c>
      <c r="M24" s="48">
        <v>-7</v>
      </c>
      <c r="N24" s="48">
        <v>-7</v>
      </c>
      <c r="O24" s="48">
        <v>4</v>
      </c>
      <c r="P24" s="47">
        <v>10</v>
      </c>
      <c r="Q24" s="47"/>
      <c r="R24" s="48">
        <v>1</v>
      </c>
      <c r="S24" s="48">
        <v>2</v>
      </c>
      <c r="T24" s="47">
        <v>1</v>
      </c>
      <c r="U24" s="47"/>
      <c r="V24" s="47">
        <v>1</v>
      </c>
      <c r="W24" s="47">
        <v>1</v>
      </c>
      <c r="X24" s="47">
        <v>2</v>
      </c>
      <c r="Y24" s="47">
        <v>-1</v>
      </c>
      <c r="Z24" s="47">
        <v>-2</v>
      </c>
      <c r="AA24" s="47">
        <v>-3</v>
      </c>
      <c r="AB24" s="47"/>
      <c r="AC24" s="47"/>
      <c r="AD24" s="47"/>
      <c r="AE24" s="47">
        <v>40</v>
      </c>
      <c r="AF24" s="47"/>
      <c r="AG24" s="47"/>
      <c r="AH24" s="47"/>
      <c r="AI24" s="47"/>
      <c r="AJ24" s="47" t="s">
        <v>530</v>
      </c>
    </row>
    <row r="25" spans="1:36" x14ac:dyDescent="0.75">
      <c r="A25" s="49" t="s">
        <v>459</v>
      </c>
      <c r="B25" s="48">
        <v>-1</v>
      </c>
      <c r="C25" s="48">
        <v>2</v>
      </c>
      <c r="D25" s="48">
        <v>3</v>
      </c>
      <c r="E25" s="48">
        <v>-7</v>
      </c>
      <c r="F25" s="48">
        <v>-7</v>
      </c>
      <c r="G25" s="48">
        <v>-7</v>
      </c>
      <c r="H25" s="48">
        <v>-7</v>
      </c>
      <c r="I25" s="48">
        <v>-7</v>
      </c>
      <c r="J25" s="48">
        <v>-7</v>
      </c>
      <c r="K25" s="48">
        <v>-7</v>
      </c>
      <c r="L25" s="48">
        <v>-7</v>
      </c>
      <c r="M25" s="48">
        <v>-7</v>
      </c>
      <c r="N25" s="48">
        <v>0</v>
      </c>
      <c r="O25" s="48">
        <v>1</v>
      </c>
      <c r="P25" s="47">
        <v>21</v>
      </c>
      <c r="Q25" s="47"/>
      <c r="R25" s="47"/>
      <c r="S25" s="48">
        <v>-1</v>
      </c>
      <c r="T25" s="47">
        <v>-1</v>
      </c>
      <c r="U25" s="47">
        <v>-2</v>
      </c>
      <c r="V25" s="47">
        <v>-4</v>
      </c>
      <c r="W25" s="47">
        <v>-5</v>
      </c>
      <c r="X25" s="47">
        <v>-6</v>
      </c>
      <c r="Y25" s="47"/>
      <c r="Z25" s="47">
        <v>1</v>
      </c>
      <c r="AA25" s="47">
        <v>-3</v>
      </c>
      <c r="AB25" s="47"/>
      <c r="AC25" s="47"/>
      <c r="AD25" s="47"/>
      <c r="AE25" s="47"/>
      <c r="AF25" s="47"/>
      <c r="AG25" s="47"/>
      <c r="AH25" s="47"/>
      <c r="AI25" s="47"/>
      <c r="AJ25" s="47"/>
    </row>
    <row r="26" spans="1:36" x14ac:dyDescent="0.75">
      <c r="A26" s="49" t="s">
        <v>454</v>
      </c>
      <c r="B26" s="48">
        <v>1</v>
      </c>
      <c r="C26" s="48">
        <v>0</v>
      </c>
      <c r="D26" s="48">
        <v>-7</v>
      </c>
      <c r="E26" s="48">
        <v>-7</v>
      </c>
      <c r="F26" s="48">
        <v>-7</v>
      </c>
      <c r="G26" s="48">
        <v>-7</v>
      </c>
      <c r="H26" s="48">
        <v>-7</v>
      </c>
      <c r="I26" s="48">
        <v>-7</v>
      </c>
      <c r="J26" s="48">
        <v>-7</v>
      </c>
      <c r="K26" s="48">
        <v>-7</v>
      </c>
      <c r="L26" s="48">
        <v>-7</v>
      </c>
      <c r="M26" s="48">
        <v>-7</v>
      </c>
      <c r="N26" s="48">
        <v>0</v>
      </c>
      <c r="O26" s="48">
        <v>3</v>
      </c>
      <c r="P26" s="47"/>
      <c r="Q26" s="47"/>
      <c r="R26" s="48">
        <v>1</v>
      </c>
      <c r="S26" s="48">
        <v>1</v>
      </c>
      <c r="T26" s="47">
        <v>1</v>
      </c>
      <c r="U26" s="47">
        <v>0</v>
      </c>
      <c r="V26" s="47">
        <v>-2</v>
      </c>
      <c r="W26" s="47">
        <v>-3</v>
      </c>
      <c r="X26" s="47">
        <v>-4</v>
      </c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1:36" x14ac:dyDescent="0.75">
      <c r="A27" s="49" t="s">
        <v>491</v>
      </c>
      <c r="B27" s="48">
        <v>2</v>
      </c>
      <c r="C27" s="48">
        <v>1</v>
      </c>
      <c r="D27" s="48">
        <v>0</v>
      </c>
      <c r="E27" s="48">
        <v>0</v>
      </c>
      <c r="F27" s="48">
        <v>-7</v>
      </c>
      <c r="G27" s="48">
        <v>-1</v>
      </c>
      <c r="H27" s="48">
        <v>-7</v>
      </c>
      <c r="I27" s="48">
        <v>-7</v>
      </c>
      <c r="J27" s="48">
        <v>-7</v>
      </c>
      <c r="K27" s="48">
        <v>-7</v>
      </c>
      <c r="L27" s="48">
        <v>-7</v>
      </c>
      <c r="M27" s="48">
        <v>-7</v>
      </c>
      <c r="N27" s="48">
        <v>3</v>
      </c>
      <c r="O27" s="48">
        <v>3</v>
      </c>
      <c r="P27" s="47"/>
      <c r="Q27" s="47"/>
      <c r="R27" s="47"/>
      <c r="S27" s="48">
        <v>-1</v>
      </c>
      <c r="T27" s="47"/>
      <c r="U27" s="47">
        <v>3</v>
      </c>
      <c r="V27" s="47">
        <v>0</v>
      </c>
      <c r="W27" s="47">
        <v>-1</v>
      </c>
      <c r="X27" s="47">
        <v>-2</v>
      </c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1:36" x14ac:dyDescent="0.75">
      <c r="A28" s="49" t="s">
        <v>455</v>
      </c>
      <c r="B28" s="48">
        <v>2</v>
      </c>
      <c r="C28" s="48">
        <v>1</v>
      </c>
      <c r="D28" s="48">
        <v>0</v>
      </c>
      <c r="E28" s="48">
        <v>-7</v>
      </c>
      <c r="F28" s="48">
        <v>-7</v>
      </c>
      <c r="G28" s="48">
        <v>-7</v>
      </c>
      <c r="H28" s="48">
        <v>-7</v>
      </c>
      <c r="I28" s="48">
        <v>-7</v>
      </c>
      <c r="J28" s="48">
        <v>-7</v>
      </c>
      <c r="K28" s="48">
        <v>-7</v>
      </c>
      <c r="L28" s="48">
        <v>-7</v>
      </c>
      <c r="M28" s="48">
        <v>-7</v>
      </c>
      <c r="N28" s="48">
        <v>-7</v>
      </c>
      <c r="O28" s="48">
        <v>3</v>
      </c>
      <c r="P28" s="47">
        <v>14</v>
      </c>
      <c r="Q28" s="47"/>
      <c r="R28" s="47"/>
      <c r="S28" s="48">
        <v>-1</v>
      </c>
      <c r="T28" s="47"/>
      <c r="U28" s="47">
        <v>3</v>
      </c>
      <c r="V28" s="47">
        <v>-2</v>
      </c>
      <c r="W28" s="47">
        <v>-3</v>
      </c>
      <c r="X28" s="47">
        <v>-4</v>
      </c>
      <c r="Y28" s="47">
        <v>1</v>
      </c>
      <c r="Z28" s="47"/>
      <c r="AA28" s="47"/>
      <c r="AB28" s="47"/>
      <c r="AC28" s="47"/>
      <c r="AD28" s="47"/>
      <c r="AE28" s="47"/>
    </row>
    <row r="29" spans="1:36" x14ac:dyDescent="0.75">
      <c r="A29" s="49" t="s">
        <v>489</v>
      </c>
      <c r="B29" s="48">
        <v>2</v>
      </c>
      <c r="C29" s="48">
        <v>0</v>
      </c>
      <c r="D29" s="48">
        <v>2</v>
      </c>
      <c r="E29" s="48">
        <v>-7</v>
      </c>
      <c r="F29" s="48">
        <v>-7</v>
      </c>
      <c r="G29" s="48">
        <v>-7</v>
      </c>
      <c r="H29" s="48">
        <v>0</v>
      </c>
      <c r="I29" s="48">
        <v>-7</v>
      </c>
      <c r="J29" s="48">
        <v>-7</v>
      </c>
      <c r="K29" s="48">
        <v>-7</v>
      </c>
      <c r="L29" s="48">
        <v>-7</v>
      </c>
      <c r="M29" s="48">
        <v>-7</v>
      </c>
      <c r="N29" s="48">
        <v>2</v>
      </c>
      <c r="O29" s="48">
        <v>3</v>
      </c>
      <c r="P29" s="47">
        <v>10</v>
      </c>
      <c r="Q29" s="48">
        <v>-1</v>
      </c>
      <c r="R29" s="48">
        <v>-1</v>
      </c>
      <c r="S29" s="48">
        <v>-1</v>
      </c>
      <c r="T29" s="48">
        <v>-1</v>
      </c>
      <c r="U29" s="47">
        <v>1</v>
      </c>
      <c r="V29" s="47">
        <v>-7</v>
      </c>
      <c r="W29" s="47">
        <v>-7</v>
      </c>
      <c r="X29" s="47">
        <v>-7</v>
      </c>
      <c r="Y29" s="47">
        <v>-1</v>
      </c>
      <c r="Z29" s="47">
        <v>2</v>
      </c>
      <c r="AA29" s="47">
        <v>3</v>
      </c>
      <c r="AB29" s="47"/>
      <c r="AC29" s="47"/>
      <c r="AD29" s="47">
        <v>90</v>
      </c>
      <c r="AE29" s="47"/>
      <c r="AF29" s="47"/>
      <c r="AG29" s="47"/>
      <c r="AH29" s="47"/>
      <c r="AI29" s="47"/>
      <c r="AJ29" s="47" t="s">
        <v>488</v>
      </c>
    </row>
    <row r="30" spans="1:36" x14ac:dyDescent="0.75">
      <c r="A30" s="49" t="s">
        <v>485</v>
      </c>
      <c r="B30" s="48">
        <v>2</v>
      </c>
      <c r="C30" s="48">
        <v>2</v>
      </c>
      <c r="D30" s="48">
        <v>-2</v>
      </c>
      <c r="E30" s="48">
        <v>1</v>
      </c>
      <c r="F30" s="48">
        <v>0</v>
      </c>
      <c r="G30" s="48">
        <v>0</v>
      </c>
      <c r="H30" s="48">
        <v>-7</v>
      </c>
      <c r="I30" s="48">
        <v>-7</v>
      </c>
      <c r="J30" s="48">
        <v>-7</v>
      </c>
      <c r="K30" s="48">
        <v>-7</v>
      </c>
      <c r="L30" s="48">
        <v>-7</v>
      </c>
      <c r="M30" s="48">
        <v>-7</v>
      </c>
      <c r="N30" s="48">
        <v>2</v>
      </c>
      <c r="O30" s="48">
        <v>3</v>
      </c>
      <c r="P30" s="47">
        <v>16</v>
      </c>
      <c r="Q30" s="47"/>
      <c r="R30" s="47"/>
      <c r="S30" s="48">
        <v>1</v>
      </c>
      <c r="T30" s="47"/>
      <c r="U30" s="47">
        <v>-1</v>
      </c>
      <c r="V30" s="47">
        <v>-1</v>
      </c>
      <c r="W30" s="47">
        <v>-2</v>
      </c>
      <c r="X30" s="47">
        <v>-2</v>
      </c>
      <c r="Y30" s="47">
        <v>3</v>
      </c>
      <c r="Z30" s="47"/>
      <c r="AA30" s="47">
        <v>-2</v>
      </c>
      <c r="AB30" s="47"/>
      <c r="AC30" s="47"/>
      <c r="AD30" s="47"/>
      <c r="AE30" s="47"/>
      <c r="AF30" s="47"/>
      <c r="AG30" s="47"/>
      <c r="AH30" s="47"/>
      <c r="AI30" s="47"/>
      <c r="AJ30" s="47"/>
    </row>
    <row r="31" spans="1:36" x14ac:dyDescent="0.75">
      <c r="A31" s="49" t="s">
        <v>484</v>
      </c>
      <c r="B31" s="48">
        <v>2</v>
      </c>
      <c r="C31" s="48">
        <v>-2</v>
      </c>
      <c r="D31" s="48">
        <v>-2</v>
      </c>
      <c r="E31" s="48">
        <v>1</v>
      </c>
      <c r="F31" s="48">
        <v>-7</v>
      </c>
      <c r="G31" s="48">
        <v>0</v>
      </c>
      <c r="H31" s="48">
        <v>-7</v>
      </c>
      <c r="I31" s="48">
        <v>-7</v>
      </c>
      <c r="J31" s="48">
        <v>-7</v>
      </c>
      <c r="K31" s="48">
        <v>-7</v>
      </c>
      <c r="L31" s="48">
        <v>-7</v>
      </c>
      <c r="M31" s="48">
        <v>-7</v>
      </c>
      <c r="N31" s="48">
        <v>2</v>
      </c>
      <c r="O31" s="48">
        <v>3</v>
      </c>
      <c r="P31" s="47">
        <v>8</v>
      </c>
      <c r="Q31" s="47"/>
      <c r="R31" s="47"/>
      <c r="S31" s="48">
        <v>1</v>
      </c>
      <c r="T31" s="47"/>
      <c r="U31" s="47">
        <v>-1</v>
      </c>
      <c r="V31" s="47">
        <v>-1</v>
      </c>
      <c r="W31" s="47">
        <v>-2</v>
      </c>
      <c r="X31" s="47">
        <v>-2</v>
      </c>
      <c r="Y31" s="47">
        <v>2</v>
      </c>
      <c r="Z31" s="47"/>
      <c r="AA31" s="47">
        <v>-2</v>
      </c>
      <c r="AB31" s="47"/>
      <c r="AC31" s="47"/>
      <c r="AD31" s="47"/>
      <c r="AE31" s="47"/>
      <c r="AF31" s="47"/>
      <c r="AG31" s="47"/>
      <c r="AH31" s="47"/>
      <c r="AI31" s="47"/>
      <c r="AJ31" s="47"/>
    </row>
    <row r="32" spans="1:36" x14ac:dyDescent="0.75">
      <c r="A32" s="49" t="s">
        <v>483</v>
      </c>
      <c r="B32" s="48">
        <v>2</v>
      </c>
      <c r="C32" s="48">
        <v>2</v>
      </c>
      <c r="D32" s="48">
        <v>2</v>
      </c>
      <c r="E32" s="48">
        <v>-1</v>
      </c>
      <c r="F32" s="48">
        <v>-7</v>
      </c>
      <c r="G32" s="48">
        <v>-7</v>
      </c>
      <c r="H32" s="48">
        <v>-7</v>
      </c>
      <c r="I32" s="48">
        <v>-7</v>
      </c>
      <c r="J32" s="48">
        <v>-7</v>
      </c>
      <c r="K32" s="48">
        <v>-7</v>
      </c>
      <c r="L32" s="48">
        <v>-7</v>
      </c>
      <c r="M32" s="48">
        <v>-7</v>
      </c>
      <c r="N32" s="48">
        <v>2</v>
      </c>
      <c r="O32" s="48">
        <v>3</v>
      </c>
      <c r="P32" s="47">
        <v>8</v>
      </c>
      <c r="Q32" s="47"/>
      <c r="R32" s="47"/>
      <c r="S32" s="48">
        <v>1</v>
      </c>
      <c r="T32" s="47"/>
      <c r="U32" s="47">
        <v>-1</v>
      </c>
      <c r="V32" s="47">
        <v>-2</v>
      </c>
      <c r="W32" s="47">
        <v>-3</v>
      </c>
      <c r="X32" s="47">
        <v>-4</v>
      </c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</row>
    <row r="33" spans="1:36" x14ac:dyDescent="0.75">
      <c r="A33" s="49" t="s">
        <v>482</v>
      </c>
      <c r="B33" s="48">
        <v>2</v>
      </c>
      <c r="C33" s="48">
        <v>2</v>
      </c>
      <c r="D33" s="48">
        <v>2</v>
      </c>
      <c r="E33" s="48">
        <v>2</v>
      </c>
      <c r="F33" s="48">
        <v>-7</v>
      </c>
      <c r="G33" s="48">
        <v>-7</v>
      </c>
      <c r="H33" s="48">
        <v>-7</v>
      </c>
      <c r="I33" s="48">
        <v>-7</v>
      </c>
      <c r="J33" s="48">
        <v>-7</v>
      </c>
      <c r="K33" s="48">
        <v>-7</v>
      </c>
      <c r="L33" s="48">
        <v>-7</v>
      </c>
      <c r="M33" s="48">
        <v>-7</v>
      </c>
      <c r="N33" s="48">
        <v>2</v>
      </c>
      <c r="O33" s="48">
        <v>3</v>
      </c>
      <c r="P33" s="47">
        <v>15</v>
      </c>
      <c r="Q33" s="47"/>
      <c r="R33" s="47"/>
      <c r="S33" s="48">
        <v>1</v>
      </c>
      <c r="T33" s="47"/>
      <c r="U33" s="47">
        <v>-1</v>
      </c>
      <c r="V33" s="47">
        <v>-2</v>
      </c>
      <c r="W33" s="47">
        <v>-3</v>
      </c>
      <c r="X33" s="47">
        <v>-4</v>
      </c>
      <c r="Y33" s="47">
        <v>-1</v>
      </c>
      <c r="Z33" s="47">
        <v>-1</v>
      </c>
      <c r="AA33" s="47">
        <v>-1</v>
      </c>
      <c r="AB33" s="47"/>
      <c r="AC33" s="47"/>
      <c r="AD33" s="47"/>
      <c r="AE33" s="47"/>
      <c r="AF33" s="47"/>
      <c r="AG33" s="47"/>
      <c r="AH33" s="47"/>
      <c r="AI33" s="47"/>
      <c r="AJ33" s="47"/>
    </row>
    <row r="34" spans="1:36" x14ac:dyDescent="0.75">
      <c r="A34" s="49" t="s">
        <v>481</v>
      </c>
      <c r="B34" s="48">
        <v>-1</v>
      </c>
      <c r="C34" s="48">
        <v>-7</v>
      </c>
      <c r="D34" s="48">
        <v>-7</v>
      </c>
      <c r="E34" s="48">
        <v>-1</v>
      </c>
      <c r="F34" s="48">
        <v>3</v>
      </c>
      <c r="G34" s="48">
        <v>1</v>
      </c>
      <c r="H34" s="48">
        <v>-7</v>
      </c>
      <c r="I34" s="48">
        <v>-7</v>
      </c>
      <c r="J34" s="48">
        <v>-7</v>
      </c>
      <c r="K34" s="48">
        <v>-7</v>
      </c>
      <c r="L34" s="48">
        <v>-7</v>
      </c>
      <c r="M34" s="48">
        <v>-7</v>
      </c>
      <c r="N34" s="48">
        <v>-7</v>
      </c>
      <c r="O34" s="48">
        <v>3</v>
      </c>
      <c r="P34" s="47">
        <v>4</v>
      </c>
      <c r="Q34" s="47"/>
      <c r="R34" s="47"/>
      <c r="S34" s="48"/>
      <c r="T34" s="47"/>
      <c r="U34" s="47">
        <v>-2</v>
      </c>
      <c r="V34" s="47"/>
      <c r="W34" s="47"/>
      <c r="X34" s="47"/>
      <c r="Y34" s="47">
        <v>-2</v>
      </c>
      <c r="Z34" s="47">
        <v>-5</v>
      </c>
      <c r="AA34" s="47">
        <v>-7</v>
      </c>
      <c r="AB34" s="47"/>
      <c r="AC34" s="47"/>
      <c r="AD34" s="47"/>
      <c r="AE34" s="47">
        <v>30</v>
      </c>
    </row>
    <row r="35" spans="1:36" x14ac:dyDescent="0.75">
      <c r="A35" s="49" t="s">
        <v>480</v>
      </c>
      <c r="B35" s="48">
        <v>2</v>
      </c>
      <c r="C35" s="48">
        <v>0</v>
      </c>
      <c r="D35" s="48">
        <v>0</v>
      </c>
      <c r="E35" s="48">
        <v>2</v>
      </c>
      <c r="F35" s="48">
        <v>2</v>
      </c>
      <c r="G35" s="48">
        <v>2</v>
      </c>
      <c r="H35" s="48">
        <v>-7</v>
      </c>
      <c r="I35" s="48">
        <v>-7</v>
      </c>
      <c r="J35" s="48">
        <v>-7</v>
      </c>
      <c r="K35" s="48">
        <v>-7</v>
      </c>
      <c r="L35" s="48">
        <v>-7</v>
      </c>
      <c r="M35" s="48">
        <v>-7</v>
      </c>
      <c r="N35" s="48">
        <v>1</v>
      </c>
      <c r="O35" s="48">
        <v>3</v>
      </c>
      <c r="P35" s="47">
        <v>1</v>
      </c>
      <c r="Q35" s="47"/>
      <c r="R35" s="47"/>
      <c r="S35" s="48">
        <v>1</v>
      </c>
      <c r="T35" s="47"/>
      <c r="U35" s="47">
        <v>0</v>
      </c>
      <c r="V35" s="47">
        <v>1</v>
      </c>
      <c r="W35" s="47"/>
      <c r="X35" s="47"/>
      <c r="Y35" s="47"/>
      <c r="Z35" s="47">
        <v>-2</v>
      </c>
      <c r="AA35" s="47">
        <v>-3</v>
      </c>
      <c r="AB35" s="47"/>
      <c r="AC35" s="47"/>
      <c r="AD35" s="47"/>
      <c r="AE35" s="47"/>
    </row>
    <row r="36" spans="1:36" x14ac:dyDescent="0.75">
      <c r="A36" s="49" t="s">
        <v>477</v>
      </c>
      <c r="B36" s="48">
        <v>2</v>
      </c>
      <c r="C36" s="48">
        <v>2</v>
      </c>
      <c r="D36" s="48">
        <v>2</v>
      </c>
      <c r="E36" s="48">
        <v>0</v>
      </c>
      <c r="F36" s="48">
        <v>-7</v>
      </c>
      <c r="G36" s="48">
        <v>-7</v>
      </c>
      <c r="H36" s="48">
        <v>0</v>
      </c>
      <c r="I36" s="48">
        <v>-2</v>
      </c>
      <c r="J36" s="48">
        <v>-7</v>
      </c>
      <c r="K36" s="48">
        <v>-7</v>
      </c>
      <c r="L36" s="48">
        <v>-7</v>
      </c>
      <c r="M36" s="48">
        <v>-7</v>
      </c>
      <c r="N36" s="48">
        <v>2</v>
      </c>
      <c r="O36" s="48">
        <v>3</v>
      </c>
      <c r="P36" s="47">
        <v>3</v>
      </c>
      <c r="Q36" s="47"/>
      <c r="R36" s="48">
        <v>1</v>
      </c>
      <c r="S36" s="48">
        <v>-1</v>
      </c>
      <c r="T36" s="47"/>
      <c r="U36" s="47">
        <v>2</v>
      </c>
      <c r="V36" s="47">
        <v>-2</v>
      </c>
      <c r="W36" s="47">
        <v>-2</v>
      </c>
      <c r="X36" s="47">
        <v>-2</v>
      </c>
      <c r="Y36" s="47">
        <v>1</v>
      </c>
      <c r="Z36" s="47"/>
      <c r="AA36" s="47"/>
      <c r="AB36" s="47"/>
      <c r="AC36" s="47"/>
      <c r="AD36" s="47"/>
      <c r="AE36" s="47"/>
    </row>
    <row r="37" spans="1:36" x14ac:dyDescent="0.75">
      <c r="A37" s="49" t="s">
        <v>475</v>
      </c>
      <c r="B37" s="48">
        <v>2</v>
      </c>
      <c r="C37" s="48">
        <v>-2</v>
      </c>
      <c r="D37" s="48">
        <v>-7</v>
      </c>
      <c r="E37" s="48">
        <v>2</v>
      </c>
      <c r="F37" s="48">
        <v>0</v>
      </c>
      <c r="G37" s="48">
        <v>-7</v>
      </c>
      <c r="H37" s="48">
        <v>0</v>
      </c>
      <c r="I37" s="48">
        <v>-2</v>
      </c>
      <c r="J37" s="48">
        <v>-7</v>
      </c>
      <c r="K37" s="48">
        <v>-7</v>
      </c>
      <c r="L37" s="48">
        <v>-7</v>
      </c>
      <c r="M37" s="48">
        <v>-7</v>
      </c>
      <c r="N37" s="48">
        <v>2</v>
      </c>
      <c r="O37" s="48">
        <v>3</v>
      </c>
      <c r="P37" s="47">
        <v>5</v>
      </c>
      <c r="Q37" s="47"/>
      <c r="R37" s="47"/>
      <c r="S37" s="48">
        <v>-1</v>
      </c>
      <c r="T37" s="47"/>
      <c r="U37" s="47">
        <v>2</v>
      </c>
      <c r="V37" s="47">
        <v>-1</v>
      </c>
      <c r="W37" s="47">
        <v>-1</v>
      </c>
      <c r="X37" s="47">
        <v>-1</v>
      </c>
      <c r="Y37" s="47">
        <v>3</v>
      </c>
      <c r="Z37" s="47">
        <v>2</v>
      </c>
      <c r="AA37" s="47">
        <v>1</v>
      </c>
      <c r="AB37" s="47"/>
      <c r="AC37" s="47"/>
      <c r="AD37" s="47"/>
      <c r="AE37" s="47"/>
    </row>
    <row r="38" spans="1:36" x14ac:dyDescent="0.75">
      <c r="A38" s="49" t="s">
        <v>474</v>
      </c>
      <c r="B38" s="48">
        <v>2</v>
      </c>
      <c r="C38" s="48">
        <v>0</v>
      </c>
      <c r="D38" s="48">
        <v>2</v>
      </c>
      <c r="E38" s="48">
        <v>-7</v>
      </c>
      <c r="F38" s="48">
        <v>-7</v>
      </c>
      <c r="G38" s="48">
        <v>-7</v>
      </c>
      <c r="H38" s="48">
        <v>-7</v>
      </c>
      <c r="I38" s="48">
        <v>-7</v>
      </c>
      <c r="J38" s="48">
        <v>-7</v>
      </c>
      <c r="K38" s="48">
        <v>-7</v>
      </c>
      <c r="L38" s="48">
        <v>-7</v>
      </c>
      <c r="M38" s="48">
        <v>-7</v>
      </c>
      <c r="N38" s="48">
        <v>2</v>
      </c>
      <c r="O38" s="48">
        <v>3</v>
      </c>
      <c r="P38" s="47">
        <v>20</v>
      </c>
      <c r="Q38" s="47"/>
      <c r="R38" s="47"/>
      <c r="S38" s="48">
        <v>-1</v>
      </c>
      <c r="T38" s="47"/>
      <c r="U38" s="47">
        <v>3</v>
      </c>
      <c r="V38" s="47">
        <v>-2</v>
      </c>
      <c r="W38" s="47">
        <v>-3</v>
      </c>
      <c r="X38" s="47">
        <v>-4</v>
      </c>
      <c r="Y38" s="47">
        <v>1</v>
      </c>
      <c r="Z38" s="47"/>
      <c r="AA38" s="47"/>
      <c r="AB38" s="47"/>
      <c r="AC38" s="47"/>
      <c r="AD38" s="47"/>
      <c r="AE38" s="47"/>
    </row>
    <row r="39" spans="1:36" s="47" customFormat="1" x14ac:dyDescent="0.75">
      <c r="A39" s="60" t="s">
        <v>547</v>
      </c>
      <c r="B39" s="50">
        <v>-7</v>
      </c>
      <c r="C39" s="50">
        <v>-7</v>
      </c>
      <c r="D39" s="50">
        <v>-7</v>
      </c>
      <c r="E39" s="50">
        <v>-7</v>
      </c>
      <c r="F39" s="50">
        <v>-7</v>
      </c>
      <c r="G39" s="50">
        <v>-7</v>
      </c>
      <c r="H39" s="50">
        <v>-7</v>
      </c>
      <c r="I39" s="50">
        <v>-7</v>
      </c>
      <c r="J39" s="50">
        <v>-7</v>
      </c>
      <c r="K39" s="50">
        <v>-7</v>
      </c>
      <c r="L39" s="50">
        <v>-7</v>
      </c>
      <c r="M39" s="50">
        <v>-7</v>
      </c>
      <c r="N39" s="50">
        <v>-7</v>
      </c>
      <c r="O39" s="50">
        <v>4</v>
      </c>
    </row>
    <row r="40" spans="1:36" s="47" customFormat="1" x14ac:dyDescent="0.75">
      <c r="A40" s="60" t="s">
        <v>548</v>
      </c>
      <c r="B40" s="50">
        <v>-7</v>
      </c>
      <c r="C40" s="50">
        <v>-7</v>
      </c>
      <c r="D40" s="50">
        <v>-7</v>
      </c>
      <c r="E40" s="50">
        <v>-7</v>
      </c>
      <c r="F40" s="50">
        <v>-7</v>
      </c>
      <c r="G40" s="50">
        <v>-7</v>
      </c>
      <c r="H40" s="50">
        <v>-7</v>
      </c>
      <c r="I40" s="50">
        <v>-7</v>
      </c>
      <c r="J40" s="50">
        <v>-7</v>
      </c>
      <c r="K40" s="50">
        <v>-7</v>
      </c>
      <c r="L40" s="50">
        <v>-7</v>
      </c>
      <c r="M40" s="50">
        <v>-7</v>
      </c>
      <c r="N40" s="50">
        <v>-7</v>
      </c>
      <c r="O40" s="50">
        <v>6</v>
      </c>
    </row>
    <row r="41" spans="1:36" s="47" customFormat="1" x14ac:dyDescent="0.75">
      <c r="A41" s="60" t="s">
        <v>549</v>
      </c>
      <c r="B41" s="50">
        <v>-7</v>
      </c>
      <c r="C41" s="50">
        <v>-7</v>
      </c>
      <c r="D41" s="50">
        <v>-7</v>
      </c>
      <c r="E41" s="50">
        <v>-7</v>
      </c>
      <c r="F41" s="50">
        <v>-7</v>
      </c>
      <c r="G41" s="50">
        <v>-7</v>
      </c>
      <c r="H41" s="50">
        <v>-7</v>
      </c>
      <c r="I41" s="50">
        <v>-7</v>
      </c>
      <c r="J41" s="50">
        <v>-7</v>
      </c>
      <c r="K41" s="50">
        <v>-7</v>
      </c>
      <c r="L41" s="50">
        <v>-7</v>
      </c>
      <c r="M41" s="50">
        <v>-7</v>
      </c>
      <c r="N41" s="50">
        <v>-7</v>
      </c>
      <c r="O41" s="50">
        <v>3</v>
      </c>
    </row>
    <row r="42" spans="1:36" s="47" customFormat="1" x14ac:dyDescent="0.75">
      <c r="A42" s="60" t="s">
        <v>550</v>
      </c>
      <c r="B42" s="50">
        <v>-7</v>
      </c>
      <c r="C42" s="50">
        <v>-7</v>
      </c>
      <c r="D42" s="50">
        <v>-7</v>
      </c>
      <c r="E42" s="50">
        <v>-7</v>
      </c>
      <c r="F42" s="50">
        <v>-7</v>
      </c>
      <c r="G42" s="50">
        <v>-7</v>
      </c>
      <c r="H42" s="50">
        <v>-7</v>
      </c>
      <c r="I42" s="50">
        <v>-7</v>
      </c>
      <c r="J42" s="50">
        <v>-7</v>
      </c>
      <c r="K42" s="50">
        <v>-7</v>
      </c>
      <c r="L42" s="50">
        <v>-7</v>
      </c>
      <c r="M42" s="50">
        <v>-7</v>
      </c>
      <c r="N42" s="50">
        <v>-7</v>
      </c>
      <c r="O42" s="50">
        <v>1</v>
      </c>
    </row>
    <row r="43" spans="1:36" x14ac:dyDescent="0.75">
      <c r="A43" s="60" t="s">
        <v>551</v>
      </c>
      <c r="B43" s="48">
        <v>-7</v>
      </c>
      <c r="C43" s="48">
        <v>-7</v>
      </c>
      <c r="D43" s="48">
        <v>-7</v>
      </c>
      <c r="E43" s="48">
        <v>-7</v>
      </c>
      <c r="F43" s="48">
        <v>-7</v>
      </c>
      <c r="G43" s="48">
        <v>-7</v>
      </c>
      <c r="H43" s="48">
        <v>-7</v>
      </c>
      <c r="I43" s="48">
        <v>-7</v>
      </c>
      <c r="J43" s="48">
        <v>-7</v>
      </c>
      <c r="K43" s="48">
        <v>-7</v>
      </c>
      <c r="L43" s="48">
        <v>-7</v>
      </c>
      <c r="M43" s="48">
        <v>-7</v>
      </c>
      <c r="N43" s="48">
        <v>-7</v>
      </c>
      <c r="O43" s="48">
        <v>7</v>
      </c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6" s="47" customFormat="1" x14ac:dyDescent="0.75">
      <c r="A44" s="60" t="s">
        <v>552</v>
      </c>
      <c r="B44" s="50">
        <v>-7</v>
      </c>
      <c r="C44" s="50">
        <v>-7</v>
      </c>
      <c r="D44" s="50">
        <v>-7</v>
      </c>
      <c r="E44" s="50">
        <v>-7</v>
      </c>
      <c r="F44" s="50">
        <v>-7</v>
      </c>
      <c r="G44" s="50">
        <v>-7</v>
      </c>
      <c r="H44" s="50">
        <v>-7</v>
      </c>
      <c r="I44" s="50">
        <v>-7</v>
      </c>
      <c r="J44" s="50">
        <v>-7</v>
      </c>
      <c r="K44" s="50">
        <v>-7</v>
      </c>
      <c r="L44" s="50">
        <v>-7</v>
      </c>
      <c r="M44" s="50">
        <v>-7</v>
      </c>
      <c r="N44" s="50">
        <v>-7</v>
      </c>
      <c r="O44" s="50">
        <v>4</v>
      </c>
    </row>
    <row r="45" spans="1:36" s="47" customFormat="1" x14ac:dyDescent="0.75">
      <c r="A45" s="60" t="s">
        <v>553</v>
      </c>
      <c r="B45" s="50">
        <v>-7</v>
      </c>
      <c r="C45" s="50">
        <v>-7</v>
      </c>
      <c r="D45" s="50">
        <v>-7</v>
      </c>
      <c r="E45" s="50">
        <v>-7</v>
      </c>
      <c r="F45" s="50">
        <v>-7</v>
      </c>
      <c r="G45" s="50">
        <v>-7</v>
      </c>
      <c r="H45" s="50">
        <v>-7</v>
      </c>
      <c r="I45" s="50">
        <v>-7</v>
      </c>
      <c r="J45" s="50">
        <v>-7</v>
      </c>
      <c r="K45" s="50">
        <v>-7</v>
      </c>
      <c r="L45" s="50">
        <v>-7</v>
      </c>
      <c r="M45" s="50">
        <v>-7</v>
      </c>
      <c r="N45" s="50">
        <v>-7</v>
      </c>
      <c r="O45" s="50">
        <v>6</v>
      </c>
    </row>
    <row r="46" spans="1:36" s="47" customFormat="1" x14ac:dyDescent="0.75">
      <c r="A46" s="60" t="s">
        <v>554</v>
      </c>
      <c r="B46" s="50">
        <v>-7</v>
      </c>
      <c r="C46" s="50">
        <v>-7</v>
      </c>
      <c r="D46" s="50">
        <v>-7</v>
      </c>
      <c r="E46" s="50">
        <v>-7</v>
      </c>
      <c r="F46" s="50">
        <v>-7</v>
      </c>
      <c r="G46" s="50">
        <v>-7</v>
      </c>
      <c r="H46" s="50">
        <v>-7</v>
      </c>
      <c r="I46" s="50">
        <v>-7</v>
      </c>
      <c r="J46" s="50">
        <v>-7</v>
      </c>
      <c r="K46" s="50">
        <v>-7</v>
      </c>
      <c r="L46" s="50">
        <v>-7</v>
      </c>
      <c r="M46" s="50">
        <v>-7</v>
      </c>
      <c r="N46" s="50">
        <v>-7</v>
      </c>
      <c r="O46" s="50">
        <v>3</v>
      </c>
    </row>
    <row r="47" spans="1:36" s="47" customFormat="1" x14ac:dyDescent="0.75">
      <c r="A47" s="60" t="s">
        <v>555</v>
      </c>
      <c r="B47" s="50">
        <v>-7</v>
      </c>
      <c r="C47" s="50">
        <v>-7</v>
      </c>
      <c r="D47" s="50">
        <v>-7</v>
      </c>
      <c r="E47" s="50">
        <v>-7</v>
      </c>
      <c r="F47" s="50">
        <v>-7</v>
      </c>
      <c r="G47" s="50">
        <v>-7</v>
      </c>
      <c r="H47" s="50">
        <v>-7</v>
      </c>
      <c r="I47" s="50">
        <v>-7</v>
      </c>
      <c r="J47" s="50">
        <v>-7</v>
      </c>
      <c r="K47" s="50">
        <v>-7</v>
      </c>
      <c r="L47" s="50">
        <v>-7</v>
      </c>
      <c r="M47" s="50">
        <v>-7</v>
      </c>
      <c r="N47" s="50">
        <v>-7</v>
      </c>
      <c r="O47" s="50">
        <v>1</v>
      </c>
    </row>
    <row r="48" spans="1:36" s="47" customFormat="1" x14ac:dyDescent="0.75">
      <c r="A48" s="60" t="s">
        <v>556</v>
      </c>
      <c r="B48" s="50">
        <v>-7</v>
      </c>
      <c r="C48" s="50">
        <v>-7</v>
      </c>
      <c r="D48" s="50">
        <v>-7</v>
      </c>
      <c r="E48" s="50">
        <v>-7</v>
      </c>
      <c r="F48" s="50">
        <v>-7</v>
      </c>
      <c r="G48" s="50">
        <v>-7</v>
      </c>
      <c r="H48" s="50">
        <v>-7</v>
      </c>
      <c r="I48" s="50">
        <v>-7</v>
      </c>
      <c r="J48" s="50">
        <v>-7</v>
      </c>
      <c r="K48" s="50">
        <v>-7</v>
      </c>
      <c r="L48" s="50">
        <v>-7</v>
      </c>
      <c r="M48" s="50">
        <v>-7</v>
      </c>
      <c r="N48" s="50">
        <v>-7</v>
      </c>
      <c r="O48" s="50">
        <v>7</v>
      </c>
    </row>
    <row r="49" spans="1:31" s="47" customFormat="1" x14ac:dyDescent="0.75">
      <c r="A49" s="60" t="s">
        <v>557</v>
      </c>
      <c r="B49" s="50">
        <v>-7</v>
      </c>
      <c r="C49" s="50">
        <v>-7</v>
      </c>
      <c r="D49" s="50">
        <v>-7</v>
      </c>
      <c r="E49" s="50">
        <v>-7</v>
      </c>
      <c r="F49" s="50">
        <v>-7</v>
      </c>
      <c r="G49" s="50">
        <v>-7</v>
      </c>
      <c r="H49" s="50">
        <v>-7</v>
      </c>
      <c r="I49" s="50">
        <v>-7</v>
      </c>
      <c r="J49" s="50">
        <v>-7</v>
      </c>
      <c r="K49" s="50">
        <v>-7</v>
      </c>
      <c r="L49" s="50">
        <v>-7</v>
      </c>
      <c r="M49" s="50">
        <v>-7</v>
      </c>
      <c r="N49" s="50">
        <v>-7</v>
      </c>
      <c r="O49" s="50">
        <v>4</v>
      </c>
    </row>
    <row r="50" spans="1:31" s="47" customFormat="1" x14ac:dyDescent="0.75">
      <c r="A50" s="60" t="s">
        <v>558</v>
      </c>
      <c r="B50" s="50">
        <v>-7</v>
      </c>
      <c r="C50" s="50">
        <v>-7</v>
      </c>
      <c r="D50" s="50">
        <v>-7</v>
      </c>
      <c r="E50" s="50">
        <v>-7</v>
      </c>
      <c r="F50" s="50">
        <v>-7</v>
      </c>
      <c r="G50" s="50">
        <v>-7</v>
      </c>
      <c r="H50" s="50">
        <v>-7</v>
      </c>
      <c r="I50" s="50">
        <v>-7</v>
      </c>
      <c r="J50" s="50">
        <v>-7</v>
      </c>
      <c r="K50" s="50">
        <v>-7</v>
      </c>
      <c r="L50" s="50">
        <v>-7</v>
      </c>
      <c r="M50" s="50">
        <v>-7</v>
      </c>
      <c r="N50" s="50">
        <v>-7</v>
      </c>
      <c r="O50" s="50">
        <v>6</v>
      </c>
    </row>
    <row r="51" spans="1:31" s="47" customFormat="1" x14ac:dyDescent="0.75">
      <c r="A51" s="60" t="s">
        <v>559</v>
      </c>
      <c r="B51" s="50">
        <v>-7</v>
      </c>
      <c r="C51" s="50">
        <v>-7</v>
      </c>
      <c r="D51" s="50">
        <v>-7</v>
      </c>
      <c r="E51" s="50">
        <v>-7</v>
      </c>
      <c r="F51" s="50">
        <v>-7</v>
      </c>
      <c r="G51" s="50">
        <v>-7</v>
      </c>
      <c r="H51" s="50">
        <v>-7</v>
      </c>
      <c r="I51" s="50">
        <v>-7</v>
      </c>
      <c r="J51" s="50">
        <v>-7</v>
      </c>
      <c r="K51" s="50">
        <v>-7</v>
      </c>
      <c r="L51" s="50">
        <v>-7</v>
      </c>
      <c r="M51" s="50">
        <v>-7</v>
      </c>
      <c r="N51" s="50">
        <v>-7</v>
      </c>
      <c r="O51" s="50">
        <v>3</v>
      </c>
    </row>
    <row r="52" spans="1:31" s="47" customFormat="1" x14ac:dyDescent="0.75">
      <c r="A52" s="60" t="s">
        <v>560</v>
      </c>
      <c r="B52" s="50">
        <v>-7</v>
      </c>
      <c r="C52" s="50">
        <v>-7</v>
      </c>
      <c r="D52" s="50">
        <v>-7</v>
      </c>
      <c r="E52" s="50">
        <v>-7</v>
      </c>
      <c r="F52" s="50">
        <v>-7</v>
      </c>
      <c r="G52" s="50">
        <v>-7</v>
      </c>
      <c r="H52" s="50">
        <v>-7</v>
      </c>
      <c r="I52" s="50">
        <v>-7</v>
      </c>
      <c r="J52" s="50">
        <v>-7</v>
      </c>
      <c r="K52" s="50">
        <v>-7</v>
      </c>
      <c r="L52" s="50">
        <v>-7</v>
      </c>
      <c r="M52" s="50">
        <v>-7</v>
      </c>
      <c r="N52" s="50">
        <v>-7</v>
      </c>
      <c r="O52" s="50">
        <v>1</v>
      </c>
    </row>
    <row r="53" spans="1:31" s="47" customFormat="1" x14ac:dyDescent="0.75">
      <c r="A53" s="60" t="s">
        <v>561</v>
      </c>
      <c r="B53" s="50">
        <v>-7</v>
      </c>
      <c r="C53" s="50">
        <v>-7</v>
      </c>
      <c r="D53" s="50">
        <v>-7</v>
      </c>
      <c r="E53" s="50">
        <v>-7</v>
      </c>
      <c r="F53" s="50">
        <v>-7</v>
      </c>
      <c r="G53" s="50">
        <v>-7</v>
      </c>
      <c r="H53" s="50">
        <v>-7</v>
      </c>
      <c r="I53" s="50">
        <v>-7</v>
      </c>
      <c r="J53" s="50">
        <v>-7</v>
      </c>
      <c r="K53" s="50">
        <v>-7</v>
      </c>
      <c r="L53" s="50">
        <v>-7</v>
      </c>
      <c r="M53" s="50">
        <v>-7</v>
      </c>
      <c r="N53" s="50">
        <v>-7</v>
      </c>
      <c r="O53" s="50">
        <v>7</v>
      </c>
    </row>
    <row r="54" spans="1:31" s="47" customFormat="1" x14ac:dyDescent="0.75">
      <c r="A54" s="60" t="s">
        <v>562</v>
      </c>
      <c r="B54" s="50">
        <v>-7</v>
      </c>
      <c r="C54" s="50">
        <v>-7</v>
      </c>
      <c r="D54" s="50">
        <v>-7</v>
      </c>
      <c r="E54" s="50">
        <v>-7</v>
      </c>
      <c r="F54" s="50">
        <v>-7</v>
      </c>
      <c r="G54" s="50">
        <v>-7</v>
      </c>
      <c r="H54" s="50">
        <v>-7</v>
      </c>
      <c r="I54" s="50">
        <v>-7</v>
      </c>
      <c r="J54" s="50">
        <v>-7</v>
      </c>
      <c r="K54" s="50">
        <v>-7</v>
      </c>
      <c r="L54" s="50">
        <v>-7</v>
      </c>
      <c r="M54" s="50">
        <v>-7</v>
      </c>
      <c r="N54" s="50">
        <v>-7</v>
      </c>
      <c r="O54" s="50">
        <v>4</v>
      </c>
    </row>
    <row r="55" spans="1:31" s="47" customFormat="1" x14ac:dyDescent="0.75">
      <c r="A55" s="60" t="s">
        <v>563</v>
      </c>
      <c r="B55" s="50">
        <v>-7</v>
      </c>
      <c r="C55" s="50">
        <v>-7</v>
      </c>
      <c r="D55" s="50">
        <v>-7</v>
      </c>
      <c r="E55" s="50">
        <v>-7</v>
      </c>
      <c r="F55" s="50">
        <v>-7</v>
      </c>
      <c r="G55" s="50">
        <v>-7</v>
      </c>
      <c r="H55" s="50">
        <v>-7</v>
      </c>
      <c r="I55" s="50">
        <v>-7</v>
      </c>
      <c r="J55" s="50">
        <v>-7</v>
      </c>
      <c r="K55" s="50">
        <v>-7</v>
      </c>
      <c r="L55" s="50">
        <v>-7</v>
      </c>
      <c r="M55" s="50">
        <v>-7</v>
      </c>
      <c r="N55" s="50">
        <v>-7</v>
      </c>
      <c r="O55" s="50">
        <v>6</v>
      </c>
    </row>
    <row r="56" spans="1:31" s="47" customFormat="1" x14ac:dyDescent="0.75">
      <c r="A56" s="60" t="s">
        <v>564</v>
      </c>
      <c r="B56" s="50">
        <v>-7</v>
      </c>
      <c r="C56" s="50">
        <v>-7</v>
      </c>
      <c r="D56" s="50">
        <v>-7</v>
      </c>
      <c r="E56" s="50">
        <v>-7</v>
      </c>
      <c r="F56" s="50">
        <v>-7</v>
      </c>
      <c r="G56" s="50">
        <v>-7</v>
      </c>
      <c r="H56" s="50">
        <v>-7</v>
      </c>
      <c r="I56" s="50">
        <v>-7</v>
      </c>
      <c r="J56" s="50">
        <v>-7</v>
      </c>
      <c r="K56" s="50">
        <v>-7</v>
      </c>
      <c r="L56" s="50">
        <v>-7</v>
      </c>
      <c r="M56" s="50">
        <v>-7</v>
      </c>
      <c r="N56" s="50">
        <v>-7</v>
      </c>
      <c r="O56" s="50">
        <v>3</v>
      </c>
    </row>
    <row r="57" spans="1:31" s="47" customFormat="1" x14ac:dyDescent="0.75">
      <c r="A57" s="60" t="s">
        <v>565</v>
      </c>
      <c r="B57" s="50">
        <v>-7</v>
      </c>
      <c r="C57" s="50">
        <v>-7</v>
      </c>
      <c r="D57" s="50">
        <v>-7</v>
      </c>
      <c r="E57" s="50">
        <v>-7</v>
      </c>
      <c r="F57" s="50">
        <v>-7</v>
      </c>
      <c r="G57" s="50">
        <v>-7</v>
      </c>
      <c r="H57" s="50">
        <v>-7</v>
      </c>
      <c r="I57" s="50">
        <v>-7</v>
      </c>
      <c r="J57" s="50">
        <v>-7</v>
      </c>
      <c r="K57" s="50">
        <v>-7</v>
      </c>
      <c r="L57" s="50">
        <v>-7</v>
      </c>
      <c r="M57" s="50">
        <v>-7</v>
      </c>
      <c r="N57" s="50">
        <v>-7</v>
      </c>
      <c r="O57" s="50">
        <v>1</v>
      </c>
    </row>
    <row r="58" spans="1:31" s="47" customFormat="1" x14ac:dyDescent="0.75">
      <c r="A58" s="60" t="s">
        <v>566</v>
      </c>
      <c r="B58" s="50">
        <v>-7</v>
      </c>
      <c r="C58" s="50">
        <v>-7</v>
      </c>
      <c r="D58" s="50">
        <v>-7</v>
      </c>
      <c r="E58" s="50">
        <v>-7</v>
      </c>
      <c r="F58" s="50">
        <v>-7</v>
      </c>
      <c r="G58" s="50">
        <v>-7</v>
      </c>
      <c r="H58" s="50">
        <v>-7</v>
      </c>
      <c r="I58" s="50">
        <v>-7</v>
      </c>
      <c r="J58" s="50">
        <v>-7</v>
      </c>
      <c r="K58" s="50">
        <v>-7</v>
      </c>
      <c r="L58" s="50">
        <v>-7</v>
      </c>
      <c r="M58" s="50">
        <v>-7</v>
      </c>
      <c r="N58" s="50">
        <v>-7</v>
      </c>
      <c r="O58" s="50">
        <v>7</v>
      </c>
    </row>
    <row r="59" spans="1:31" s="47" customFormat="1" x14ac:dyDescent="0.75">
      <c r="A59" s="60" t="s">
        <v>567</v>
      </c>
      <c r="B59" s="50">
        <v>-7</v>
      </c>
      <c r="C59" s="50">
        <v>-7</v>
      </c>
      <c r="D59" s="50">
        <v>-7</v>
      </c>
      <c r="E59" s="50">
        <v>-7</v>
      </c>
      <c r="F59" s="50">
        <v>-7</v>
      </c>
      <c r="G59" s="50">
        <v>-7</v>
      </c>
      <c r="H59" s="50">
        <v>-7</v>
      </c>
      <c r="I59" s="50">
        <v>-7</v>
      </c>
      <c r="J59" s="50">
        <v>-7</v>
      </c>
      <c r="K59" s="50">
        <v>-7</v>
      </c>
      <c r="L59" s="50">
        <v>-7</v>
      </c>
      <c r="M59" s="50">
        <v>-7</v>
      </c>
      <c r="N59" s="50">
        <v>-7</v>
      </c>
      <c r="O59" s="50">
        <v>4</v>
      </c>
    </row>
    <row r="60" spans="1:31" s="47" customFormat="1" x14ac:dyDescent="0.75">
      <c r="A60" s="60" t="s">
        <v>568</v>
      </c>
      <c r="B60" s="50">
        <v>-7</v>
      </c>
      <c r="C60" s="50">
        <v>-7</v>
      </c>
      <c r="D60" s="50">
        <v>-7</v>
      </c>
      <c r="E60" s="50">
        <v>-7</v>
      </c>
      <c r="F60" s="50">
        <v>-7</v>
      </c>
      <c r="G60" s="50">
        <v>-7</v>
      </c>
      <c r="H60" s="50">
        <v>-7</v>
      </c>
      <c r="I60" s="50">
        <v>-7</v>
      </c>
      <c r="J60" s="50">
        <v>-7</v>
      </c>
      <c r="K60" s="50">
        <v>-7</v>
      </c>
      <c r="L60" s="50">
        <v>-7</v>
      </c>
      <c r="M60" s="50">
        <v>-7</v>
      </c>
      <c r="N60" s="50">
        <v>-7</v>
      </c>
      <c r="O60" s="50">
        <v>3</v>
      </c>
    </row>
    <row r="61" spans="1:31" s="47" customFormat="1" x14ac:dyDescent="0.75">
      <c r="A61" s="60" t="s">
        <v>569</v>
      </c>
      <c r="B61" s="50">
        <v>-7</v>
      </c>
      <c r="C61" s="50">
        <v>-7</v>
      </c>
      <c r="D61" s="50">
        <v>-7</v>
      </c>
      <c r="E61" s="50">
        <v>-7</v>
      </c>
      <c r="F61" s="50">
        <v>-7</v>
      </c>
      <c r="G61" s="50">
        <v>-7</v>
      </c>
      <c r="H61" s="50">
        <v>-7</v>
      </c>
      <c r="I61" s="50">
        <v>-7</v>
      </c>
      <c r="J61" s="50">
        <v>-7</v>
      </c>
      <c r="K61" s="50">
        <v>-7</v>
      </c>
      <c r="L61" s="50">
        <v>-7</v>
      </c>
      <c r="M61" s="50">
        <v>-7</v>
      </c>
      <c r="N61" s="50">
        <v>-7</v>
      </c>
      <c r="O61" s="50">
        <v>1</v>
      </c>
    </row>
    <row r="62" spans="1:31" s="47" customFormat="1" x14ac:dyDescent="0.75">
      <c r="A62" s="60" t="s">
        <v>570</v>
      </c>
      <c r="B62" s="50">
        <v>-7</v>
      </c>
      <c r="C62" s="50">
        <v>-7</v>
      </c>
      <c r="D62" s="50">
        <v>-7</v>
      </c>
      <c r="E62" s="50">
        <v>-7</v>
      </c>
      <c r="F62" s="50">
        <v>-7</v>
      </c>
      <c r="G62" s="50">
        <v>-7</v>
      </c>
      <c r="H62" s="50">
        <v>-7</v>
      </c>
      <c r="I62" s="50">
        <v>-7</v>
      </c>
      <c r="J62" s="50">
        <v>-7</v>
      </c>
      <c r="K62" s="50">
        <v>-7</v>
      </c>
      <c r="L62" s="50">
        <v>-7</v>
      </c>
      <c r="M62" s="50">
        <v>-7</v>
      </c>
      <c r="N62" s="50">
        <v>-7</v>
      </c>
      <c r="O62" s="50">
        <v>7</v>
      </c>
    </row>
    <row r="63" spans="1:31" x14ac:dyDescent="0.75">
      <c r="A63" s="49" t="s">
        <v>479</v>
      </c>
      <c r="B63" s="48">
        <v>2</v>
      </c>
      <c r="C63" s="48">
        <v>0</v>
      </c>
      <c r="D63" s="48">
        <v>0</v>
      </c>
      <c r="E63" s="48">
        <v>2</v>
      </c>
      <c r="F63" s="48">
        <v>2</v>
      </c>
      <c r="G63" s="48">
        <v>3</v>
      </c>
      <c r="H63" s="48">
        <v>-7</v>
      </c>
      <c r="I63" s="48">
        <v>-7</v>
      </c>
      <c r="J63" s="48">
        <v>-7</v>
      </c>
      <c r="K63" s="48">
        <v>0</v>
      </c>
      <c r="L63" s="48">
        <v>0</v>
      </c>
      <c r="M63" s="48">
        <v>0</v>
      </c>
      <c r="N63" s="48">
        <v>2</v>
      </c>
      <c r="O63" s="48">
        <v>4</v>
      </c>
      <c r="P63" s="47"/>
      <c r="Q63" s="47"/>
      <c r="R63" s="47"/>
      <c r="S63" s="48">
        <v>1</v>
      </c>
      <c r="T63" s="47"/>
      <c r="U63" s="47">
        <v>0</v>
      </c>
      <c r="V63" s="47">
        <v>1</v>
      </c>
      <c r="W63" s="47">
        <v>1</v>
      </c>
      <c r="X63" s="47">
        <v>1</v>
      </c>
      <c r="Y63" s="47"/>
      <c r="Z63" s="47">
        <v>-2</v>
      </c>
      <c r="AA63" s="47">
        <v>-3</v>
      </c>
      <c r="AB63" s="47"/>
      <c r="AC63" s="47"/>
      <c r="AD63" s="47"/>
      <c r="AE63" s="47"/>
    </row>
    <row r="64" spans="1:31" x14ac:dyDescent="0.75">
      <c r="A64" s="49" t="s">
        <v>463</v>
      </c>
      <c r="B64" s="48">
        <v>-2</v>
      </c>
      <c r="C64" s="48">
        <v>-7</v>
      </c>
      <c r="D64" s="48">
        <v>-7</v>
      </c>
      <c r="E64" s="48">
        <v>2</v>
      </c>
      <c r="F64" s="48">
        <v>2</v>
      </c>
      <c r="G64" s="48">
        <v>3</v>
      </c>
      <c r="H64" s="48">
        <v>-7</v>
      </c>
      <c r="I64" s="48">
        <v>-7</v>
      </c>
      <c r="J64" s="48">
        <v>-7</v>
      </c>
      <c r="K64" s="48">
        <v>-7</v>
      </c>
      <c r="L64" s="48">
        <v>-7</v>
      </c>
      <c r="M64" s="48">
        <v>-7</v>
      </c>
      <c r="N64" s="48">
        <v>-1</v>
      </c>
      <c r="O64" s="48">
        <v>4</v>
      </c>
      <c r="P64" s="47">
        <v>9</v>
      </c>
      <c r="Q64" s="47"/>
      <c r="R64" s="48">
        <v>1</v>
      </c>
      <c r="S64" s="48">
        <v>-1</v>
      </c>
      <c r="T64" s="47"/>
      <c r="U64" s="47">
        <v>-3</v>
      </c>
      <c r="V64" s="47"/>
      <c r="W64" s="47"/>
      <c r="X64" s="47"/>
      <c r="Y64" s="47"/>
      <c r="Z64" s="47"/>
      <c r="AA64" s="47">
        <v>-3</v>
      </c>
      <c r="AB64" s="47"/>
      <c r="AC64" s="47"/>
      <c r="AD64" s="47"/>
      <c r="AE64" s="47">
        <v>50</v>
      </c>
    </row>
    <row r="65" spans="1:31" x14ac:dyDescent="0.75">
      <c r="A65" s="49" t="s">
        <v>456</v>
      </c>
      <c r="B65" s="48">
        <v>-1</v>
      </c>
      <c r="C65" s="48">
        <v>-7</v>
      </c>
      <c r="D65" s="48">
        <v>-7</v>
      </c>
      <c r="E65" s="48">
        <v>-7</v>
      </c>
      <c r="F65" s="48">
        <v>0</v>
      </c>
      <c r="G65" s="48">
        <v>2</v>
      </c>
      <c r="H65" s="48">
        <v>-7</v>
      </c>
      <c r="I65" s="48">
        <v>-7</v>
      </c>
      <c r="J65" s="48">
        <v>-7</v>
      </c>
      <c r="K65" s="48">
        <v>-7</v>
      </c>
      <c r="L65" s="48">
        <v>-7</v>
      </c>
      <c r="M65" s="48">
        <v>-7</v>
      </c>
      <c r="N65" s="48">
        <v>-7</v>
      </c>
      <c r="O65" s="48">
        <v>4</v>
      </c>
      <c r="P65" s="47">
        <v>14</v>
      </c>
      <c r="Q65" s="47"/>
      <c r="R65" s="47"/>
      <c r="S65" s="47">
        <v>1</v>
      </c>
      <c r="T65" s="47"/>
      <c r="U65" s="47">
        <v>-1</v>
      </c>
      <c r="V65" s="47"/>
      <c r="W65" s="47"/>
      <c r="X65" s="47"/>
      <c r="Y65" s="47">
        <v>-1</v>
      </c>
      <c r="Z65" s="47">
        <v>-2</v>
      </c>
      <c r="AA65" s="47">
        <v>-3</v>
      </c>
      <c r="AB65" s="47"/>
      <c r="AC65" s="47"/>
      <c r="AD65" s="47"/>
      <c r="AE65" s="47"/>
    </row>
    <row r="66" spans="1:31" x14ac:dyDescent="0.75">
      <c r="A66" s="49" t="s">
        <v>453</v>
      </c>
      <c r="B66" s="48">
        <v>-1</v>
      </c>
      <c r="C66" s="48">
        <v>-7</v>
      </c>
      <c r="D66" s="48">
        <v>-7</v>
      </c>
      <c r="E66" s="48">
        <v>-7</v>
      </c>
      <c r="F66" s="48">
        <v>2</v>
      </c>
      <c r="G66" s="48">
        <v>2</v>
      </c>
      <c r="H66" s="48">
        <v>-7</v>
      </c>
      <c r="I66" s="48">
        <v>-7</v>
      </c>
      <c r="J66" s="48">
        <v>-7</v>
      </c>
      <c r="K66" s="48">
        <v>3</v>
      </c>
      <c r="L66" s="48">
        <v>-7</v>
      </c>
      <c r="M66" s="48">
        <v>-7</v>
      </c>
      <c r="N66" s="48">
        <v>-1</v>
      </c>
      <c r="O66" s="48">
        <v>4</v>
      </c>
      <c r="P66" s="47">
        <v>40</v>
      </c>
      <c r="Q66" s="47"/>
      <c r="R66" s="48"/>
      <c r="S66" s="48">
        <v>1</v>
      </c>
      <c r="T66" s="47"/>
      <c r="U66" s="47">
        <v>-1</v>
      </c>
      <c r="V66" s="47">
        <v>1</v>
      </c>
      <c r="W66" s="47">
        <v>1</v>
      </c>
      <c r="X66" s="47">
        <v>1</v>
      </c>
      <c r="Y66" s="47"/>
      <c r="Z66" s="47">
        <v>-2</v>
      </c>
      <c r="AA66" s="47">
        <v>-3</v>
      </c>
      <c r="AB66" s="47"/>
      <c r="AC66" s="47"/>
      <c r="AD66" s="47"/>
      <c r="AE66" s="47"/>
    </row>
    <row r="67" spans="1:31" x14ac:dyDescent="0.75">
      <c r="A67" s="49" t="s">
        <v>452</v>
      </c>
      <c r="B67" s="48">
        <v>0</v>
      </c>
      <c r="C67" s="48">
        <v>-1</v>
      </c>
      <c r="D67" s="48">
        <v>-7</v>
      </c>
      <c r="E67" s="48">
        <v>-7</v>
      </c>
      <c r="F67" s="48">
        <v>-1</v>
      </c>
      <c r="G67" s="48">
        <v>2</v>
      </c>
      <c r="H67" s="48">
        <v>-7</v>
      </c>
      <c r="I67" s="48">
        <v>-7</v>
      </c>
      <c r="J67" s="48">
        <v>-7</v>
      </c>
      <c r="K67" s="48">
        <v>-7</v>
      </c>
      <c r="L67" s="48">
        <v>-7</v>
      </c>
      <c r="M67" s="48">
        <v>-7</v>
      </c>
      <c r="N67" s="48">
        <v>1</v>
      </c>
      <c r="O67" s="48">
        <v>4</v>
      </c>
      <c r="P67" s="47">
        <v>12</v>
      </c>
      <c r="Q67" s="47"/>
      <c r="R67" s="47"/>
      <c r="S67" s="47"/>
      <c r="T67" s="47"/>
      <c r="U67" s="47"/>
      <c r="V67" s="47">
        <v>-1</v>
      </c>
      <c r="W67" s="47">
        <v>-2</v>
      </c>
      <c r="X67" s="47">
        <v>-3</v>
      </c>
      <c r="Y67" s="47"/>
      <c r="Z67" s="47"/>
      <c r="AA67" s="47"/>
      <c r="AB67" s="47"/>
      <c r="AC67" s="47"/>
      <c r="AD67" s="47"/>
      <c r="AE67" s="47"/>
    </row>
    <row r="68" spans="1:31" x14ac:dyDescent="0.75">
      <c r="A68" s="49" t="s">
        <v>462</v>
      </c>
      <c r="B68" s="48">
        <v>-1</v>
      </c>
      <c r="C68" s="48">
        <v>-7</v>
      </c>
      <c r="D68" s="48">
        <v>-7</v>
      </c>
      <c r="E68" s="48">
        <v>3</v>
      </c>
      <c r="F68" s="48">
        <v>0</v>
      </c>
      <c r="G68" s="48">
        <v>0</v>
      </c>
      <c r="H68" s="48">
        <v>-7</v>
      </c>
      <c r="I68" s="48">
        <v>-7</v>
      </c>
      <c r="J68" s="48">
        <v>-7</v>
      </c>
      <c r="K68" s="48">
        <v>-7</v>
      </c>
      <c r="L68" s="48">
        <v>-7</v>
      </c>
      <c r="M68" s="48">
        <v>-7</v>
      </c>
      <c r="N68" s="48">
        <v>-2</v>
      </c>
      <c r="O68" s="48">
        <v>5</v>
      </c>
      <c r="P68" s="47">
        <v>10</v>
      </c>
      <c r="Q68" s="47"/>
      <c r="R68" s="47">
        <v>1</v>
      </c>
      <c r="S68" s="47">
        <v>2</v>
      </c>
      <c r="T68" s="47">
        <v>1</v>
      </c>
      <c r="U68" s="47">
        <v>-2</v>
      </c>
      <c r="V68" s="47">
        <v>-1</v>
      </c>
      <c r="W68" s="47">
        <v>-2</v>
      </c>
      <c r="X68" s="47">
        <v>-1</v>
      </c>
      <c r="Y68" s="47">
        <v>-1</v>
      </c>
      <c r="Z68" s="47">
        <v>-3</v>
      </c>
      <c r="AA68" s="47">
        <v>-3</v>
      </c>
      <c r="AB68" s="47"/>
      <c r="AC68" s="47"/>
      <c r="AD68" s="47"/>
      <c r="AE68" s="47">
        <v>30</v>
      </c>
    </row>
    <row r="69" spans="1:31" x14ac:dyDescent="0.75">
      <c r="A69" s="49" t="s">
        <v>461</v>
      </c>
      <c r="B69" s="48">
        <v>1</v>
      </c>
      <c r="C69" s="48">
        <v>0</v>
      </c>
      <c r="D69" s="48">
        <v>-7</v>
      </c>
      <c r="E69" s="48">
        <v>0</v>
      </c>
      <c r="F69" s="48">
        <v>-7</v>
      </c>
      <c r="G69" s="48">
        <v>1</v>
      </c>
      <c r="H69" s="48">
        <v>-7</v>
      </c>
      <c r="I69" s="48">
        <v>-7</v>
      </c>
      <c r="J69" s="48">
        <v>-7</v>
      </c>
      <c r="K69" s="48">
        <v>-7</v>
      </c>
      <c r="L69" s="48">
        <v>-7</v>
      </c>
      <c r="M69" s="48">
        <v>-7</v>
      </c>
      <c r="N69" s="48">
        <v>-1</v>
      </c>
      <c r="O69" s="48">
        <v>5</v>
      </c>
      <c r="P69" s="47">
        <v>20</v>
      </c>
      <c r="Q69" s="47"/>
      <c r="R69" s="48">
        <v>-1</v>
      </c>
      <c r="S69" s="48">
        <v>-1</v>
      </c>
      <c r="T69" s="47"/>
      <c r="U69" s="47">
        <v>2</v>
      </c>
      <c r="V69" s="47">
        <v>-2</v>
      </c>
      <c r="W69" s="47">
        <v>-3</v>
      </c>
      <c r="X69" s="47">
        <v>-4</v>
      </c>
      <c r="Y69" s="47"/>
      <c r="Z69" s="47">
        <v>-1</v>
      </c>
      <c r="AA69" s="47">
        <v>-2</v>
      </c>
      <c r="AB69" s="47"/>
      <c r="AC69" s="47"/>
      <c r="AD69" s="47"/>
      <c r="AE69" s="47">
        <v>30</v>
      </c>
    </row>
    <row r="70" spans="1:31" x14ac:dyDescent="0.75">
      <c r="A70" s="49" t="s">
        <v>460</v>
      </c>
      <c r="B70" s="48">
        <v>-1</v>
      </c>
      <c r="C70" s="48">
        <v>-7</v>
      </c>
      <c r="D70" s="48">
        <v>-7</v>
      </c>
      <c r="E70" s="48">
        <v>2</v>
      </c>
      <c r="F70" s="48">
        <v>2</v>
      </c>
      <c r="G70" s="48">
        <v>2</v>
      </c>
      <c r="H70" s="48">
        <v>-7</v>
      </c>
      <c r="I70" s="48">
        <v>0</v>
      </c>
      <c r="J70" s="48">
        <v>-7</v>
      </c>
      <c r="K70" s="48">
        <v>-7</v>
      </c>
      <c r="L70" s="48">
        <v>-7</v>
      </c>
      <c r="M70" s="48">
        <v>-7</v>
      </c>
      <c r="N70" s="48">
        <v>-3</v>
      </c>
      <c r="O70" s="48">
        <v>4</v>
      </c>
      <c r="P70" s="47">
        <v>1</v>
      </c>
      <c r="Q70" s="47"/>
      <c r="R70" s="47"/>
      <c r="S70" s="47"/>
      <c r="T70" s="47"/>
      <c r="U70" s="47">
        <v>0</v>
      </c>
      <c r="V70" s="47">
        <v>2</v>
      </c>
      <c r="W70" s="47">
        <v>2</v>
      </c>
      <c r="X70" s="47">
        <v>1</v>
      </c>
      <c r="Y70" s="47">
        <v>1</v>
      </c>
      <c r="Z70" s="47">
        <v>-2</v>
      </c>
      <c r="AA70" s="47">
        <v>-4</v>
      </c>
      <c r="AB70" s="47"/>
      <c r="AC70" s="47"/>
      <c r="AD70" s="47"/>
      <c r="AE70" s="47">
        <v>20</v>
      </c>
    </row>
    <row r="71" spans="1:31" x14ac:dyDescent="0.75">
      <c r="A71" s="49" t="s">
        <v>464</v>
      </c>
      <c r="B71" s="48">
        <v>1</v>
      </c>
      <c r="C71" s="48">
        <v>1</v>
      </c>
      <c r="D71" s="48">
        <v>-1</v>
      </c>
      <c r="E71" s="48">
        <v>0</v>
      </c>
      <c r="F71" s="48">
        <v>1</v>
      </c>
      <c r="G71" s="48">
        <v>3</v>
      </c>
      <c r="H71" s="48">
        <v>-2</v>
      </c>
      <c r="I71" s="48">
        <v>-7</v>
      </c>
      <c r="J71" s="48">
        <v>-7</v>
      </c>
      <c r="K71" s="48">
        <v>-7</v>
      </c>
      <c r="L71" s="48">
        <v>-7</v>
      </c>
      <c r="M71" s="48">
        <v>-7</v>
      </c>
      <c r="N71" s="48">
        <v>0</v>
      </c>
      <c r="O71" s="48">
        <v>6</v>
      </c>
      <c r="P71" s="47"/>
      <c r="Q71" s="47"/>
      <c r="R71" s="47"/>
      <c r="S71" s="47"/>
      <c r="T71" s="47"/>
      <c r="U71" s="47">
        <v>1</v>
      </c>
      <c r="V71" s="47"/>
      <c r="W71" s="47"/>
      <c r="X71" s="47"/>
      <c r="Y71" s="47"/>
      <c r="Z71" s="47">
        <v>1</v>
      </c>
      <c r="AA71" s="47">
        <v>2</v>
      </c>
      <c r="AB71" s="47"/>
      <c r="AC71" s="47"/>
      <c r="AD71" s="47"/>
      <c r="AE71" s="47"/>
    </row>
    <row r="72" spans="1:31" x14ac:dyDescent="0.75">
      <c r="A72" s="49" t="s">
        <v>162</v>
      </c>
      <c r="B72" s="48">
        <v>-2</v>
      </c>
      <c r="C72" s="48">
        <v>-7</v>
      </c>
      <c r="D72" s="48">
        <v>-7</v>
      </c>
      <c r="E72" s="48">
        <v>0</v>
      </c>
      <c r="F72" s="48">
        <v>1</v>
      </c>
      <c r="G72" s="48">
        <v>3</v>
      </c>
      <c r="H72" s="48">
        <v>-7</v>
      </c>
      <c r="I72" s="48">
        <v>-7</v>
      </c>
      <c r="J72" s="48">
        <v>-7</v>
      </c>
      <c r="K72" s="48">
        <v>-7</v>
      </c>
      <c r="L72" s="48">
        <v>-7</v>
      </c>
      <c r="M72" s="48">
        <v>-7</v>
      </c>
      <c r="N72" s="48">
        <v>-2</v>
      </c>
      <c r="O72" s="48">
        <v>6</v>
      </c>
      <c r="P72" s="47">
        <v>12</v>
      </c>
      <c r="Q72" s="47"/>
      <c r="R72" s="47"/>
      <c r="S72" s="47"/>
      <c r="T72" s="47"/>
      <c r="U72" s="47">
        <v>0</v>
      </c>
      <c r="V72" s="47">
        <v>1</v>
      </c>
      <c r="W72" s="47"/>
      <c r="X72" s="47"/>
      <c r="Y72" s="47"/>
      <c r="Z72" s="47"/>
      <c r="AA72" s="47">
        <v>1</v>
      </c>
      <c r="AB72" s="47"/>
      <c r="AC72" s="47"/>
      <c r="AD72" s="47"/>
      <c r="AE72" s="47">
        <v>40</v>
      </c>
    </row>
    <row r="73" spans="1:31" x14ac:dyDescent="0.75">
      <c r="A73" s="49" t="s">
        <v>199</v>
      </c>
      <c r="B73" s="48">
        <v>-2</v>
      </c>
      <c r="C73" s="48">
        <v>-7</v>
      </c>
      <c r="D73" s="48">
        <v>-7</v>
      </c>
      <c r="E73" s="48">
        <v>-7</v>
      </c>
      <c r="F73" s="48">
        <v>1</v>
      </c>
      <c r="G73" s="48">
        <v>3</v>
      </c>
      <c r="H73" s="48">
        <v>-7</v>
      </c>
      <c r="I73" s="48">
        <v>-7</v>
      </c>
      <c r="J73" s="48">
        <v>-7</v>
      </c>
      <c r="K73" s="48">
        <v>-7</v>
      </c>
      <c r="L73" s="48">
        <v>-7</v>
      </c>
      <c r="M73" s="48">
        <v>-7</v>
      </c>
      <c r="N73" s="48">
        <v>-2</v>
      </c>
      <c r="O73" s="48">
        <v>6</v>
      </c>
      <c r="P73" s="47">
        <v>35</v>
      </c>
      <c r="Q73" s="47"/>
      <c r="R73" s="47"/>
      <c r="S73" s="47"/>
      <c r="T73" s="47"/>
      <c r="U73" s="47">
        <v>0</v>
      </c>
      <c r="V73" s="47">
        <v>1</v>
      </c>
      <c r="W73" s="47"/>
      <c r="X73" s="47"/>
      <c r="Y73" s="47"/>
      <c r="Z73" s="47"/>
      <c r="AA73" s="47">
        <v>1</v>
      </c>
      <c r="AB73" s="47"/>
      <c r="AC73" s="47"/>
      <c r="AD73" s="47"/>
      <c r="AE73" s="47">
        <v>40</v>
      </c>
    </row>
    <row r="74" spans="1:31" x14ac:dyDescent="0.75">
      <c r="A74" s="49" t="s">
        <v>200</v>
      </c>
      <c r="B74" s="48">
        <v>-2</v>
      </c>
      <c r="C74" s="48">
        <v>-7</v>
      </c>
      <c r="D74" s="48">
        <v>-7</v>
      </c>
      <c r="E74" s="48">
        <v>-7</v>
      </c>
      <c r="F74" s="48">
        <v>1</v>
      </c>
      <c r="G74" s="48">
        <v>3</v>
      </c>
      <c r="H74" s="48">
        <v>-7</v>
      </c>
      <c r="I74" s="48">
        <v>-7</v>
      </c>
      <c r="J74" s="48">
        <v>-7</v>
      </c>
      <c r="K74" s="48">
        <v>-7</v>
      </c>
      <c r="L74" s="48">
        <v>-7</v>
      </c>
      <c r="M74" s="48">
        <v>-7</v>
      </c>
      <c r="N74" s="48">
        <v>-2</v>
      </c>
      <c r="O74" s="48">
        <v>6</v>
      </c>
      <c r="P74" s="47">
        <v>8</v>
      </c>
      <c r="Q74" s="47"/>
      <c r="R74" s="47"/>
      <c r="S74" s="47"/>
      <c r="T74" s="47"/>
      <c r="U74" s="47">
        <v>1</v>
      </c>
      <c r="V74" s="47">
        <v>1</v>
      </c>
      <c r="W74" s="47"/>
      <c r="X74" s="47"/>
      <c r="Y74" s="47"/>
      <c r="Z74" s="47"/>
      <c r="AA74" s="47">
        <v>1</v>
      </c>
      <c r="AB74" s="47"/>
      <c r="AC74" s="47"/>
      <c r="AD74" s="47"/>
      <c r="AE74" s="47">
        <v>40</v>
      </c>
    </row>
    <row r="76" spans="1:31" s="47" customFormat="1" x14ac:dyDescent="0.75"/>
    <row r="77" spans="1:31" s="47" customFormat="1" x14ac:dyDescent="0.75"/>
    <row r="79" spans="1:31" s="47" customFormat="1" x14ac:dyDescent="0.75">
      <c r="A79" s="1"/>
      <c r="B79" s="1" t="s">
        <v>509</v>
      </c>
      <c r="C79" s="69" t="s">
        <v>544</v>
      </c>
      <c r="D79" s="69"/>
      <c r="E79" s="69"/>
      <c r="F79" s="69" t="s">
        <v>546</v>
      </c>
      <c r="G79" s="69"/>
      <c r="H79" s="69"/>
      <c r="I79" s="69" t="s">
        <v>521</v>
      </c>
      <c r="J79" s="69"/>
      <c r="K79" s="69"/>
      <c r="L79" s="69" t="s">
        <v>522</v>
      </c>
      <c r="M79" s="69"/>
      <c r="N79" s="69"/>
      <c r="O79" s="69" t="s">
        <v>523</v>
      </c>
      <c r="P79" s="69"/>
      <c r="Q79" s="69"/>
      <c r="R79" s="69" t="s">
        <v>539</v>
      </c>
      <c r="S79" s="69"/>
      <c r="T79" s="69"/>
      <c r="U79" s="69" t="s">
        <v>538</v>
      </c>
      <c r="V79" s="69"/>
      <c r="W79" s="69"/>
    </row>
    <row r="80" spans="1:31" s="47" customFormat="1" x14ac:dyDescent="0.75">
      <c r="C80" s="67" t="s">
        <v>515</v>
      </c>
      <c r="D80" s="67"/>
      <c r="E80" s="68"/>
      <c r="F80" s="66" t="s">
        <v>516</v>
      </c>
      <c r="G80" s="67"/>
      <c r="H80" s="68"/>
      <c r="I80" s="66" t="s">
        <v>517</v>
      </c>
      <c r="J80" s="67"/>
      <c r="K80" s="68"/>
      <c r="L80" s="66" t="s">
        <v>518</v>
      </c>
      <c r="M80" s="67"/>
      <c r="N80" s="68"/>
      <c r="O80" s="66" t="s">
        <v>519</v>
      </c>
      <c r="P80" s="67"/>
      <c r="Q80" s="68"/>
      <c r="R80" s="66" t="s">
        <v>520</v>
      </c>
      <c r="S80" s="67"/>
      <c r="T80" s="68"/>
      <c r="U80" s="65" t="s">
        <v>537</v>
      </c>
      <c r="V80" s="65"/>
      <c r="W80" s="65"/>
      <c r="X80" s="65"/>
      <c r="Y80" s="65"/>
      <c r="Z80" s="65"/>
      <c r="AA80" s="65"/>
      <c r="AB80" s="65"/>
      <c r="AC80" s="65"/>
    </row>
    <row r="81" spans="2:23" s="47" customFormat="1" x14ac:dyDescent="0.75">
      <c r="B81" s="1" t="s">
        <v>510</v>
      </c>
      <c r="C81" s="56">
        <v>60</v>
      </c>
      <c r="D81" s="56">
        <v>10</v>
      </c>
      <c r="E81" s="57">
        <v>4</v>
      </c>
      <c r="F81" s="58">
        <v>65</v>
      </c>
      <c r="G81" s="56">
        <v>10</v>
      </c>
      <c r="H81" s="57">
        <v>4</v>
      </c>
      <c r="I81" s="58">
        <v>50</v>
      </c>
      <c r="J81" s="56">
        <v>7</v>
      </c>
      <c r="K81" s="57">
        <v>6</v>
      </c>
      <c r="L81" s="58">
        <v>40</v>
      </c>
      <c r="M81" s="43">
        <v>3</v>
      </c>
      <c r="N81" s="57">
        <v>12</v>
      </c>
      <c r="O81" s="44">
        <v>40</v>
      </c>
      <c r="P81" s="43">
        <v>3</v>
      </c>
      <c r="Q81" s="45">
        <v>8</v>
      </c>
      <c r="R81" s="58">
        <v>35</v>
      </c>
      <c r="S81" s="43">
        <v>6</v>
      </c>
      <c r="T81" s="57">
        <v>8</v>
      </c>
      <c r="U81" s="56">
        <v>50</v>
      </c>
      <c r="V81" s="56">
        <v>10</v>
      </c>
      <c r="W81" s="57">
        <v>3</v>
      </c>
    </row>
    <row r="82" spans="2:23" s="47" customFormat="1" x14ac:dyDescent="0.75">
      <c r="B82" s="1" t="s">
        <v>511</v>
      </c>
      <c r="C82" s="56">
        <v>50</v>
      </c>
      <c r="D82" s="56">
        <v>9</v>
      </c>
      <c r="E82" s="57">
        <v>5</v>
      </c>
      <c r="F82" s="58">
        <v>55</v>
      </c>
      <c r="G82" s="56">
        <v>9</v>
      </c>
      <c r="H82" s="57">
        <v>5</v>
      </c>
      <c r="I82" s="58">
        <v>50</v>
      </c>
      <c r="J82" s="56">
        <v>6</v>
      </c>
      <c r="K82" s="57">
        <v>7</v>
      </c>
      <c r="L82" s="58">
        <v>50</v>
      </c>
      <c r="M82" s="43">
        <v>2</v>
      </c>
      <c r="N82" s="57">
        <v>13</v>
      </c>
      <c r="O82" s="44">
        <v>45</v>
      </c>
      <c r="P82" s="43">
        <v>2</v>
      </c>
      <c r="Q82" s="45">
        <v>9</v>
      </c>
      <c r="R82" s="58">
        <v>45</v>
      </c>
      <c r="S82" s="43">
        <v>5</v>
      </c>
      <c r="T82" s="57">
        <v>9</v>
      </c>
      <c r="U82" s="56">
        <v>40</v>
      </c>
      <c r="V82" s="56">
        <v>9</v>
      </c>
      <c r="W82" s="57">
        <v>3</v>
      </c>
    </row>
    <row r="83" spans="2:23" s="47" customFormat="1" x14ac:dyDescent="0.75">
      <c r="B83" s="1" t="s">
        <v>512</v>
      </c>
      <c r="C83" s="56">
        <v>40</v>
      </c>
      <c r="D83" s="56">
        <v>8</v>
      </c>
      <c r="E83" s="57">
        <v>6</v>
      </c>
      <c r="F83" s="58">
        <v>45</v>
      </c>
      <c r="G83" s="56">
        <v>8</v>
      </c>
      <c r="H83" s="57">
        <v>6</v>
      </c>
      <c r="I83" s="58">
        <v>50</v>
      </c>
      <c r="J83" s="56">
        <v>5</v>
      </c>
      <c r="K83" s="57">
        <v>8</v>
      </c>
      <c r="L83" s="58">
        <v>60</v>
      </c>
      <c r="M83" s="43">
        <v>1</v>
      </c>
      <c r="N83" s="57">
        <v>14</v>
      </c>
      <c r="O83" s="44">
        <v>50</v>
      </c>
      <c r="P83" s="43">
        <v>1</v>
      </c>
      <c r="Q83" s="45">
        <v>10</v>
      </c>
      <c r="R83" s="58">
        <v>55</v>
      </c>
      <c r="S83" s="43">
        <v>4</v>
      </c>
      <c r="T83" s="57">
        <v>10</v>
      </c>
      <c r="U83" s="56">
        <v>30</v>
      </c>
      <c r="V83" s="56">
        <v>8</v>
      </c>
      <c r="W83" s="57">
        <v>4</v>
      </c>
    </row>
    <row r="84" spans="2:23" s="47" customFormat="1" x14ac:dyDescent="0.75">
      <c r="B84" s="1" t="s">
        <v>513</v>
      </c>
      <c r="C84" s="56">
        <v>35</v>
      </c>
      <c r="D84" s="56">
        <v>7</v>
      </c>
      <c r="E84" s="57">
        <v>7</v>
      </c>
      <c r="F84" s="58">
        <v>40</v>
      </c>
      <c r="G84" s="56">
        <v>7</v>
      </c>
      <c r="H84" s="57">
        <v>7</v>
      </c>
      <c r="I84" s="58">
        <v>50</v>
      </c>
      <c r="J84" s="56">
        <v>4</v>
      </c>
      <c r="K84" s="57">
        <v>9</v>
      </c>
      <c r="L84" s="58">
        <v>80</v>
      </c>
      <c r="M84" s="56">
        <v>1</v>
      </c>
      <c r="N84" s="57">
        <v>15</v>
      </c>
      <c r="O84" s="58">
        <v>60</v>
      </c>
      <c r="P84" s="56">
        <v>1</v>
      </c>
      <c r="Q84" s="57">
        <v>11</v>
      </c>
      <c r="R84" s="58">
        <v>75</v>
      </c>
      <c r="S84" s="43">
        <v>3</v>
      </c>
      <c r="T84" s="57">
        <v>11</v>
      </c>
      <c r="U84" s="56">
        <v>20</v>
      </c>
      <c r="V84" s="56">
        <v>7</v>
      </c>
      <c r="W84" s="57">
        <v>4</v>
      </c>
    </row>
    <row r="85" spans="2:23" s="47" customFormat="1" x14ac:dyDescent="0.75">
      <c r="B85" s="1" t="s">
        <v>514</v>
      </c>
      <c r="C85" s="56">
        <v>30</v>
      </c>
      <c r="D85" s="56">
        <v>6</v>
      </c>
      <c r="E85" s="57">
        <v>8</v>
      </c>
      <c r="F85" s="58">
        <v>35</v>
      </c>
      <c r="G85" s="56">
        <v>6</v>
      </c>
      <c r="H85" s="57">
        <v>8</v>
      </c>
      <c r="I85" s="58">
        <v>50</v>
      </c>
      <c r="J85" s="56">
        <v>3</v>
      </c>
      <c r="K85" s="57">
        <v>10</v>
      </c>
      <c r="L85" s="58">
        <v>100</v>
      </c>
      <c r="M85" s="56">
        <v>1</v>
      </c>
      <c r="N85" s="57">
        <v>16</v>
      </c>
      <c r="O85" s="58">
        <v>70</v>
      </c>
      <c r="P85" s="56">
        <v>1</v>
      </c>
      <c r="Q85" s="57">
        <v>12</v>
      </c>
      <c r="R85" s="58">
        <v>95</v>
      </c>
      <c r="S85" s="43">
        <v>2</v>
      </c>
      <c r="T85" s="57">
        <v>12</v>
      </c>
      <c r="U85" s="56">
        <v>10</v>
      </c>
      <c r="V85" s="56">
        <v>6</v>
      </c>
      <c r="W85" s="57">
        <v>5</v>
      </c>
    </row>
    <row r="86" spans="2:23" s="47" customFormat="1" x14ac:dyDescent="0.75">
      <c r="C86" s="56"/>
      <c r="D86" s="56"/>
      <c r="E86" s="57"/>
      <c r="F86" s="58"/>
      <c r="G86" s="56"/>
      <c r="H86" s="57"/>
      <c r="I86" s="58"/>
      <c r="J86" s="56"/>
      <c r="K86" s="57"/>
      <c r="L86" s="58"/>
      <c r="M86" s="56"/>
      <c r="N86" s="57"/>
      <c r="O86" s="58"/>
      <c r="P86" s="56"/>
      <c r="Q86" s="57"/>
      <c r="R86" s="40"/>
      <c r="S86" s="41"/>
      <c r="T86" s="42"/>
    </row>
    <row r="87" spans="2:23" s="47" customFormat="1" x14ac:dyDescent="0.75">
      <c r="B87" s="47" t="s">
        <v>525</v>
      </c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2:23" s="47" customFormat="1" x14ac:dyDescent="0.75">
      <c r="B88" s="47" t="s">
        <v>528</v>
      </c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2:23" s="47" customFormat="1" x14ac:dyDescent="0.75">
      <c r="B89" s="47" t="s">
        <v>526</v>
      </c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1" spans="2:23" x14ac:dyDescent="0.75">
      <c r="B91" s="1" t="s">
        <v>524</v>
      </c>
      <c r="C91" s="30"/>
    </row>
    <row r="92" spans="2:23" x14ac:dyDescent="0.75">
      <c r="C92" t="s">
        <v>527</v>
      </c>
    </row>
    <row r="94" spans="2:23" x14ac:dyDescent="0.75">
      <c r="C94" t="s">
        <v>531</v>
      </c>
      <c r="D94" t="s">
        <v>532</v>
      </c>
      <c r="E94" t="s">
        <v>518</v>
      </c>
    </row>
    <row r="95" spans="2:23" x14ac:dyDescent="0.75">
      <c r="C95" t="s">
        <v>533</v>
      </c>
      <c r="D95" t="s">
        <v>532</v>
      </c>
      <c r="E95" t="s">
        <v>519</v>
      </c>
      <c r="H95" s="62" t="s">
        <v>529</v>
      </c>
      <c r="I95" s="62" t="s">
        <v>583</v>
      </c>
      <c r="J95" s="62" t="s">
        <v>584</v>
      </c>
    </row>
    <row r="96" spans="2:23" x14ac:dyDescent="0.75">
      <c r="C96" t="s">
        <v>534</v>
      </c>
      <c r="D96" t="s">
        <v>532</v>
      </c>
      <c r="E96" t="s">
        <v>517</v>
      </c>
      <c r="G96">
        <v>200</v>
      </c>
      <c r="H96" s="62">
        <f>(G96-C81)/E81+D81</f>
        <v>45</v>
      </c>
      <c r="I96" s="64">
        <f>(G96-I81)/K81+J81</f>
        <v>32</v>
      </c>
      <c r="J96" s="64">
        <f>(G96-L81)/N81+M81</f>
        <v>16.333333333333336</v>
      </c>
      <c r="K96" t="s">
        <v>510</v>
      </c>
    </row>
    <row r="97" spans="3:11" x14ac:dyDescent="0.75">
      <c r="C97" t="s">
        <v>535</v>
      </c>
      <c r="D97" t="s">
        <v>532</v>
      </c>
      <c r="E97" t="s">
        <v>515</v>
      </c>
      <c r="G97" s="47">
        <v>200</v>
      </c>
      <c r="H97" s="64">
        <f>(G97-C85)/E85+D85</f>
        <v>27.25</v>
      </c>
      <c r="I97" s="64">
        <f>(G97-I85)/K85+J85</f>
        <v>18</v>
      </c>
      <c r="J97" s="64">
        <f>(G97-L85)/N85+M85</f>
        <v>7.25</v>
      </c>
      <c r="K97" t="s">
        <v>514</v>
      </c>
    </row>
    <row r="98" spans="3:11" x14ac:dyDescent="0.75">
      <c r="C98" t="s">
        <v>536</v>
      </c>
      <c r="D98" t="s">
        <v>532</v>
      </c>
      <c r="E98" t="s">
        <v>537</v>
      </c>
      <c r="G98" s="47"/>
      <c r="H98" s="62"/>
      <c r="I98" s="64"/>
      <c r="J98" s="64"/>
      <c r="K98" s="47"/>
    </row>
    <row r="99" spans="3:11" x14ac:dyDescent="0.75">
      <c r="H99" s="65" t="s">
        <v>510</v>
      </c>
      <c r="I99" s="65"/>
      <c r="J99" s="65" t="s">
        <v>514</v>
      </c>
      <c r="K99" s="65"/>
    </row>
    <row r="100" spans="3:11" x14ac:dyDescent="0.75">
      <c r="H100" t="s">
        <v>586</v>
      </c>
      <c r="I100" t="s">
        <v>587</v>
      </c>
      <c r="J100" s="47" t="s">
        <v>586</v>
      </c>
      <c r="K100" s="47" t="s">
        <v>587</v>
      </c>
    </row>
    <row r="101" spans="3:11" x14ac:dyDescent="0.75">
      <c r="G101" t="s">
        <v>585</v>
      </c>
      <c r="H101">
        <f>H96</f>
        <v>45</v>
      </c>
      <c r="I101">
        <f>H101*2</f>
        <v>90</v>
      </c>
      <c r="J101" s="63">
        <f>H97</f>
        <v>27.25</v>
      </c>
      <c r="K101" s="63">
        <f>2*J101</f>
        <v>54.5</v>
      </c>
    </row>
    <row r="102" spans="3:11" x14ac:dyDescent="0.75">
      <c r="G102" t="s">
        <v>588</v>
      </c>
      <c r="H102" s="63">
        <f>I96</f>
        <v>32</v>
      </c>
      <c r="I102" s="63">
        <f>2*H102</f>
        <v>64</v>
      </c>
      <c r="J102" s="63">
        <f>I97</f>
        <v>18</v>
      </c>
      <c r="K102">
        <f>2*J102</f>
        <v>36</v>
      </c>
    </row>
    <row r="103" spans="3:11" x14ac:dyDescent="0.75">
      <c r="G103" t="s">
        <v>589</v>
      </c>
      <c r="H103" s="63">
        <f>I96+J96</f>
        <v>48.333333333333336</v>
      </c>
      <c r="I103" s="63">
        <f>H103*2</f>
        <v>96.666666666666671</v>
      </c>
      <c r="J103" s="63">
        <f>I97+J97</f>
        <v>25.25</v>
      </c>
      <c r="K103" s="63">
        <f>2*J103</f>
        <v>50.5</v>
      </c>
    </row>
    <row r="104" spans="3:11" x14ac:dyDescent="0.75">
      <c r="G104" t="s">
        <v>590</v>
      </c>
      <c r="H104" s="63">
        <f>I96</f>
        <v>32</v>
      </c>
      <c r="I104">
        <f>3*I96</f>
        <v>96</v>
      </c>
      <c r="J104" s="63">
        <f>I97</f>
        <v>18</v>
      </c>
      <c r="K104">
        <f>J104*3</f>
        <v>54</v>
      </c>
    </row>
  </sheetData>
  <autoFilter ref="A2:AJ74" xr:uid="{3C9B7BAB-3FAA-4002-AC73-DEAE5D485C46}"/>
  <mergeCells count="18">
    <mergeCell ref="H99:I99"/>
    <mergeCell ref="J99:K99"/>
    <mergeCell ref="O80:Q80"/>
    <mergeCell ref="X80:Z80"/>
    <mergeCell ref="AA80:AC80"/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75" x14ac:dyDescent="0.75"/>
  <cols>
    <col min="4" max="4" width="8.86328125" bestFit="1" customWidth="1"/>
  </cols>
  <sheetData>
    <row r="1" spans="1:16" x14ac:dyDescent="0.75">
      <c r="A1" s="1" t="s">
        <v>68</v>
      </c>
    </row>
    <row r="2" spans="1:16" x14ac:dyDescent="0.75">
      <c r="A2" s="1" t="s">
        <v>78</v>
      </c>
    </row>
    <row r="3" spans="1:16" x14ac:dyDescent="0.75">
      <c r="A3" s="1" t="s">
        <v>79</v>
      </c>
    </row>
    <row r="4" spans="1:16" x14ac:dyDescent="0.75">
      <c r="A4" s="1"/>
      <c r="E4" s="8"/>
      <c r="F4" s="8"/>
      <c r="G4" s="8"/>
    </row>
    <row r="5" spans="1:16" x14ac:dyDescent="0.75">
      <c r="A5" s="1"/>
    </row>
    <row r="6" spans="1:16" ht="21" x14ac:dyDescent="1">
      <c r="A6" s="28" t="s">
        <v>69</v>
      </c>
      <c r="F6" s="1" t="s">
        <v>73</v>
      </c>
      <c r="J6" s="1" t="s">
        <v>72</v>
      </c>
      <c r="N6" s="1" t="s">
        <v>74</v>
      </c>
    </row>
    <row r="7" spans="1:16" x14ac:dyDescent="0.75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9"/>
      <c r="I7" s="9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75">
      <c r="B8" s="11" t="s">
        <v>23</v>
      </c>
      <c r="C8" s="11" t="s">
        <v>63</v>
      </c>
      <c r="D8" s="1" t="s">
        <v>67</v>
      </c>
      <c r="F8" s="1" t="s">
        <v>23</v>
      </c>
      <c r="G8" s="11" t="s">
        <v>63</v>
      </c>
      <c r="H8" s="1" t="s">
        <v>67</v>
      </c>
      <c r="J8" s="1" t="s">
        <v>23</v>
      </c>
      <c r="K8" s="11" t="s">
        <v>63</v>
      </c>
      <c r="L8" s="1" t="s">
        <v>67</v>
      </c>
      <c r="M8" s="1"/>
      <c r="N8" s="1" t="s">
        <v>23</v>
      </c>
      <c r="O8" s="11" t="s">
        <v>63</v>
      </c>
      <c r="P8" s="1" t="s">
        <v>67</v>
      </c>
    </row>
    <row r="9" spans="1:16" x14ac:dyDescent="0.75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75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75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75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75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75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75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75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75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1">
      <c r="A21" s="28" t="s">
        <v>70</v>
      </c>
      <c r="F21" s="1" t="s">
        <v>73</v>
      </c>
      <c r="J21" s="1" t="s">
        <v>93</v>
      </c>
      <c r="N21" s="1" t="s">
        <v>74</v>
      </c>
    </row>
    <row r="22" spans="1:16" x14ac:dyDescent="0.75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9"/>
      <c r="I22" s="9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75">
      <c r="B23" s="11" t="s">
        <v>23</v>
      </c>
      <c r="C23" s="11" t="s">
        <v>63</v>
      </c>
      <c r="D23" s="1" t="s">
        <v>67</v>
      </c>
      <c r="F23" s="1" t="s">
        <v>23</v>
      </c>
      <c r="G23" s="11" t="s">
        <v>63</v>
      </c>
      <c r="H23" s="1" t="s">
        <v>67</v>
      </c>
      <c r="J23" s="1" t="s">
        <v>23</v>
      </c>
      <c r="K23" s="11" t="s">
        <v>63</v>
      </c>
      <c r="L23" s="1" t="s">
        <v>67</v>
      </c>
      <c r="M23" s="1"/>
      <c r="N23" s="1" t="s">
        <v>23</v>
      </c>
      <c r="O23" s="11" t="s">
        <v>63</v>
      </c>
      <c r="P23" s="1" t="s">
        <v>67</v>
      </c>
    </row>
    <row r="24" spans="1:16" x14ac:dyDescent="0.75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75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75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75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75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75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75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75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75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1">
      <c r="A37" s="28" t="s">
        <v>71</v>
      </c>
      <c r="F37" s="1" t="s">
        <v>73</v>
      </c>
      <c r="J37" s="1" t="s">
        <v>72</v>
      </c>
      <c r="N37" s="1" t="s">
        <v>74</v>
      </c>
    </row>
    <row r="38" spans="1:16" x14ac:dyDescent="0.75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9"/>
      <c r="I38" s="9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75">
      <c r="B39" s="11" t="s">
        <v>23</v>
      </c>
      <c r="C39" s="11" t="s">
        <v>63</v>
      </c>
      <c r="D39" s="1" t="s">
        <v>67</v>
      </c>
      <c r="F39" s="1" t="s">
        <v>23</v>
      </c>
      <c r="G39" s="11" t="s">
        <v>63</v>
      </c>
      <c r="H39" s="1" t="s">
        <v>67</v>
      </c>
      <c r="J39" s="1" t="s">
        <v>23</v>
      </c>
      <c r="K39" s="11" t="s">
        <v>63</v>
      </c>
      <c r="L39" s="1" t="s">
        <v>67</v>
      </c>
      <c r="M39" s="1"/>
      <c r="N39" s="1" t="s">
        <v>23</v>
      </c>
      <c r="O39" s="11" t="s">
        <v>63</v>
      </c>
      <c r="P39" s="1" t="s">
        <v>67</v>
      </c>
    </row>
    <row r="40" spans="1:16" x14ac:dyDescent="0.75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75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75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75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75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75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75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75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75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75">
      <c r="F52" t="s">
        <v>76</v>
      </c>
      <c r="J52" t="s">
        <v>77</v>
      </c>
    </row>
    <row r="53" spans="1:16" ht="21" x14ac:dyDescent="1">
      <c r="A53" s="28" t="s">
        <v>75</v>
      </c>
      <c r="F53" s="1" t="s">
        <v>73</v>
      </c>
      <c r="J53" s="1" t="s">
        <v>72</v>
      </c>
      <c r="N53" s="1" t="s">
        <v>74</v>
      </c>
    </row>
    <row r="54" spans="1:16" x14ac:dyDescent="0.75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9"/>
      <c r="I54" s="9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75">
      <c r="B55" s="11" t="s">
        <v>23</v>
      </c>
      <c r="C55" s="11" t="s">
        <v>63</v>
      </c>
      <c r="D55" s="1" t="s">
        <v>67</v>
      </c>
      <c r="F55" s="1" t="s">
        <v>23</v>
      </c>
      <c r="G55" s="11" t="s">
        <v>63</v>
      </c>
      <c r="H55" s="1" t="s">
        <v>67</v>
      </c>
      <c r="J55" s="1" t="s">
        <v>23</v>
      </c>
      <c r="K55" s="11" t="s">
        <v>63</v>
      </c>
      <c r="L55" s="1" t="s">
        <v>67</v>
      </c>
      <c r="M55" s="1"/>
      <c r="N55" s="1" t="s">
        <v>23</v>
      </c>
      <c r="O55" s="11" t="s">
        <v>63</v>
      </c>
      <c r="P55" s="1" t="s">
        <v>67</v>
      </c>
    </row>
    <row r="56" spans="1:16" x14ac:dyDescent="0.75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75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75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75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75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75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75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75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75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75" x14ac:dyDescent="0.75"/>
  <sheetData>
    <row r="1" spans="1:15" x14ac:dyDescent="0.75">
      <c r="A1" s="3" t="s">
        <v>80</v>
      </c>
    </row>
    <row r="2" spans="1:15" x14ac:dyDescent="0.75">
      <c r="A2" t="s">
        <v>86</v>
      </c>
    </row>
    <row r="3" spans="1:15" x14ac:dyDescent="0.75">
      <c r="A3" t="s">
        <v>87</v>
      </c>
    </row>
    <row r="4" spans="1:15" x14ac:dyDescent="0.75">
      <c r="A4" s="31" t="s">
        <v>88</v>
      </c>
      <c r="F4" s="29"/>
      <c r="G4" s="29"/>
      <c r="H4" s="29"/>
      <c r="I4" s="29"/>
    </row>
    <row r="5" spans="1:15" x14ac:dyDescent="0.75">
      <c r="A5" s="31" t="s">
        <v>89</v>
      </c>
      <c r="F5" s="29"/>
      <c r="G5" s="29"/>
      <c r="H5" s="29"/>
      <c r="I5" s="29"/>
    </row>
    <row r="6" spans="1:15" x14ac:dyDescent="0.75">
      <c r="A6" s="31" t="s">
        <v>90</v>
      </c>
      <c r="F6" s="29"/>
      <c r="G6" s="29"/>
      <c r="H6" s="29"/>
      <c r="I6" s="29"/>
    </row>
    <row r="7" spans="1:15" x14ac:dyDescent="0.75">
      <c r="A7" s="1"/>
      <c r="F7" s="29"/>
      <c r="G7" s="29"/>
      <c r="H7" s="29"/>
      <c r="I7" s="29"/>
    </row>
    <row r="8" spans="1:15" x14ac:dyDescent="0.75">
      <c r="A8" s="1"/>
    </row>
    <row r="9" spans="1:15" ht="21" x14ac:dyDescent="1">
      <c r="A9" s="28" t="s">
        <v>81</v>
      </c>
      <c r="D9" s="30" t="s">
        <v>82</v>
      </c>
      <c r="E9" s="30"/>
      <c r="H9" s="1"/>
      <c r="K9" t="s">
        <v>82</v>
      </c>
    </row>
    <row r="10" spans="1:15" x14ac:dyDescent="0.75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9"/>
      <c r="K10" s="9">
        <v>45</v>
      </c>
    </row>
    <row r="11" spans="1:15" x14ac:dyDescent="0.75">
      <c r="B11" s="29" t="s">
        <v>23</v>
      </c>
      <c r="C11" s="29" t="s">
        <v>83</v>
      </c>
      <c r="D11" s="29" t="s">
        <v>63</v>
      </c>
      <c r="E11" s="29" t="s">
        <v>84</v>
      </c>
      <c r="F11" s="1" t="s">
        <v>67</v>
      </c>
      <c r="H11" s="1" t="s">
        <v>23</v>
      </c>
      <c r="I11" s="1" t="s">
        <v>83</v>
      </c>
      <c r="J11" s="29" t="s">
        <v>63</v>
      </c>
      <c r="K11" s="29" t="s">
        <v>84</v>
      </c>
      <c r="L11" s="1" t="s">
        <v>67</v>
      </c>
      <c r="O11" s="1" t="s">
        <v>85</v>
      </c>
    </row>
    <row r="12" spans="1:15" x14ac:dyDescent="0.75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75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75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75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75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75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75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75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75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1">
      <c r="A23" s="28" t="s">
        <v>100</v>
      </c>
      <c r="D23" s="30" t="s">
        <v>82</v>
      </c>
      <c r="E23" s="30"/>
      <c r="H23" s="1"/>
      <c r="K23" t="s">
        <v>82</v>
      </c>
    </row>
    <row r="24" spans="1:15" x14ac:dyDescent="0.75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9"/>
      <c r="K24" s="9">
        <v>45</v>
      </c>
    </row>
    <row r="25" spans="1:15" x14ac:dyDescent="0.75">
      <c r="B25" s="32" t="s">
        <v>23</v>
      </c>
      <c r="C25" s="32" t="s">
        <v>83</v>
      </c>
      <c r="D25" s="32" t="s">
        <v>63</v>
      </c>
      <c r="E25" s="32" t="s">
        <v>84</v>
      </c>
      <c r="F25" s="1" t="s">
        <v>67</v>
      </c>
      <c r="H25" s="1" t="s">
        <v>23</v>
      </c>
      <c r="I25" s="1" t="s">
        <v>83</v>
      </c>
      <c r="J25" s="32" t="s">
        <v>63</v>
      </c>
      <c r="K25" s="32" t="s">
        <v>84</v>
      </c>
      <c r="L25" s="1" t="s">
        <v>67</v>
      </c>
      <c r="O25" s="1" t="s">
        <v>85</v>
      </c>
    </row>
    <row r="26" spans="1:15" x14ac:dyDescent="0.75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75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75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75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75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75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75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75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75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75" x14ac:dyDescent="0.75"/>
  <cols>
    <col min="1" max="1" width="29.40625" bestFit="1" customWidth="1"/>
  </cols>
  <sheetData>
    <row r="1" spans="1:1" x14ac:dyDescent="0.75">
      <c r="A1" t="s">
        <v>591</v>
      </c>
    </row>
    <row r="2" spans="1:1" x14ac:dyDescent="0.75">
      <c r="A2" t="s">
        <v>592</v>
      </c>
    </row>
    <row r="3" spans="1:1" x14ac:dyDescent="0.75">
      <c r="A3" t="s">
        <v>593</v>
      </c>
    </row>
    <row r="4" spans="1:1" x14ac:dyDescent="0.75">
      <c r="A4" t="s">
        <v>594</v>
      </c>
    </row>
    <row r="5" spans="1:1" x14ac:dyDescent="0.75">
      <c r="A5" t="s">
        <v>595</v>
      </c>
    </row>
    <row r="6" spans="1:1" x14ac:dyDescent="0.75">
      <c r="A6" t="s">
        <v>596</v>
      </c>
    </row>
    <row r="7" spans="1:1" x14ac:dyDescent="0.75">
      <c r="A7" t="s">
        <v>597</v>
      </c>
    </row>
    <row r="8" spans="1:1" x14ac:dyDescent="0.75">
      <c r="A8" t="s">
        <v>598</v>
      </c>
    </row>
    <row r="9" spans="1:1" x14ac:dyDescent="0.75">
      <c r="A9" t="s">
        <v>599</v>
      </c>
    </row>
    <row r="10" spans="1:1" x14ac:dyDescent="0.75">
      <c r="A10" t="s">
        <v>600</v>
      </c>
    </row>
    <row r="11" spans="1:1" x14ac:dyDescent="0.75">
      <c r="A11" t="s">
        <v>601</v>
      </c>
    </row>
    <row r="12" spans="1:1" x14ac:dyDescent="0.75">
      <c r="A12" t="s">
        <v>602</v>
      </c>
    </row>
    <row r="13" spans="1:1" x14ac:dyDescent="0.75">
      <c r="A13" t="s">
        <v>603</v>
      </c>
    </row>
    <row r="14" spans="1:1" x14ac:dyDescent="0.75">
      <c r="A14" t="s">
        <v>604</v>
      </c>
    </row>
    <row r="15" spans="1:1" x14ac:dyDescent="0.75">
      <c r="A15" t="s">
        <v>605</v>
      </c>
    </row>
    <row r="16" spans="1:1" x14ac:dyDescent="0.75">
      <c r="A16" t="s">
        <v>606</v>
      </c>
    </row>
    <row r="17" spans="1:1" x14ac:dyDescent="0.75">
      <c r="A17" t="s">
        <v>607</v>
      </c>
    </row>
    <row r="18" spans="1:1" x14ac:dyDescent="0.75">
      <c r="A18" t="s">
        <v>592</v>
      </c>
    </row>
    <row r="19" spans="1:1" x14ac:dyDescent="0.75">
      <c r="A19" t="s">
        <v>593</v>
      </c>
    </row>
    <row r="20" spans="1:1" x14ac:dyDescent="0.75">
      <c r="A20" t="s">
        <v>594</v>
      </c>
    </row>
    <row r="21" spans="1:1" x14ac:dyDescent="0.75">
      <c r="A21" t="s">
        <v>595</v>
      </c>
    </row>
    <row r="22" spans="1:1" x14ac:dyDescent="0.75">
      <c r="A22" t="s">
        <v>596</v>
      </c>
    </row>
    <row r="23" spans="1:1" x14ac:dyDescent="0.75">
      <c r="A23" t="s">
        <v>597</v>
      </c>
    </row>
    <row r="24" spans="1:1" x14ac:dyDescent="0.75">
      <c r="A24" t="s">
        <v>598</v>
      </c>
    </row>
    <row r="25" spans="1:1" x14ac:dyDescent="0.75">
      <c r="A25" t="s">
        <v>599</v>
      </c>
    </row>
    <row r="26" spans="1:1" x14ac:dyDescent="0.75">
      <c r="A26" t="s">
        <v>600</v>
      </c>
    </row>
    <row r="27" spans="1:1" x14ac:dyDescent="0.75">
      <c r="A27" t="s">
        <v>601</v>
      </c>
    </row>
    <row r="28" spans="1:1" x14ac:dyDescent="0.75">
      <c r="A28" t="s">
        <v>602</v>
      </c>
    </row>
    <row r="29" spans="1:1" x14ac:dyDescent="0.75">
      <c r="A29" t="s">
        <v>603</v>
      </c>
    </row>
    <row r="30" spans="1:1" x14ac:dyDescent="0.75">
      <c r="A30" t="s">
        <v>604</v>
      </c>
    </row>
    <row r="31" spans="1:1" x14ac:dyDescent="0.75">
      <c r="A31" t="s">
        <v>605</v>
      </c>
    </row>
    <row r="32" spans="1:1" x14ac:dyDescent="0.75">
      <c r="A32" t="s">
        <v>608</v>
      </c>
    </row>
    <row r="33" spans="1:1" x14ac:dyDescent="0.75">
      <c r="A33" t="s">
        <v>609</v>
      </c>
    </row>
    <row r="34" spans="1:1" x14ac:dyDescent="0.75">
      <c r="A34" t="s">
        <v>592</v>
      </c>
    </row>
    <row r="35" spans="1:1" x14ac:dyDescent="0.75">
      <c r="A35" t="s">
        <v>593</v>
      </c>
    </row>
    <row r="36" spans="1:1" x14ac:dyDescent="0.75">
      <c r="A36" t="s">
        <v>594</v>
      </c>
    </row>
    <row r="37" spans="1:1" x14ac:dyDescent="0.75">
      <c r="A37" t="s">
        <v>595</v>
      </c>
    </row>
    <row r="38" spans="1:1" x14ac:dyDescent="0.75">
      <c r="A38" t="s">
        <v>596</v>
      </c>
    </row>
    <row r="39" spans="1:1" x14ac:dyDescent="0.75">
      <c r="A39" t="s">
        <v>597</v>
      </c>
    </row>
    <row r="40" spans="1:1" x14ac:dyDescent="0.75">
      <c r="A40" t="s">
        <v>598</v>
      </c>
    </row>
    <row r="41" spans="1:1" x14ac:dyDescent="0.75">
      <c r="A41" t="s">
        <v>599</v>
      </c>
    </row>
    <row r="42" spans="1:1" x14ac:dyDescent="0.75">
      <c r="A42" t="s">
        <v>600</v>
      </c>
    </row>
    <row r="43" spans="1:1" x14ac:dyDescent="0.75">
      <c r="A43" t="s">
        <v>601</v>
      </c>
    </row>
    <row r="44" spans="1:1" x14ac:dyDescent="0.75">
      <c r="A44" t="s">
        <v>602</v>
      </c>
    </row>
    <row r="45" spans="1:1" x14ac:dyDescent="0.75">
      <c r="A45" t="s">
        <v>603</v>
      </c>
    </row>
    <row r="46" spans="1:1" x14ac:dyDescent="0.75">
      <c r="A46" t="s">
        <v>604</v>
      </c>
    </row>
    <row r="47" spans="1:1" x14ac:dyDescent="0.75">
      <c r="A47" t="s">
        <v>605</v>
      </c>
    </row>
    <row r="48" spans="1:1" x14ac:dyDescent="0.75">
      <c r="A48" t="s">
        <v>610</v>
      </c>
    </row>
    <row r="49" spans="1:1" x14ac:dyDescent="0.75">
      <c r="A49" t="s">
        <v>611</v>
      </c>
    </row>
    <row r="50" spans="1:1" x14ac:dyDescent="0.75">
      <c r="A50" t="s">
        <v>592</v>
      </c>
    </row>
    <row r="51" spans="1:1" x14ac:dyDescent="0.75">
      <c r="A51" t="s">
        <v>593</v>
      </c>
    </row>
    <row r="52" spans="1:1" x14ac:dyDescent="0.75">
      <c r="A52" t="s">
        <v>594</v>
      </c>
    </row>
    <row r="53" spans="1:1" x14ac:dyDescent="0.75">
      <c r="A53" t="s">
        <v>595</v>
      </c>
    </row>
    <row r="54" spans="1:1" x14ac:dyDescent="0.75">
      <c r="A54" t="s">
        <v>596</v>
      </c>
    </row>
    <row r="55" spans="1:1" x14ac:dyDescent="0.75">
      <c r="A55" t="s">
        <v>597</v>
      </c>
    </row>
    <row r="56" spans="1:1" x14ac:dyDescent="0.75">
      <c r="A56" t="s">
        <v>598</v>
      </c>
    </row>
    <row r="57" spans="1:1" x14ac:dyDescent="0.75">
      <c r="A57" t="s">
        <v>599</v>
      </c>
    </row>
    <row r="58" spans="1:1" x14ac:dyDescent="0.75">
      <c r="A58" t="s">
        <v>600</v>
      </c>
    </row>
    <row r="59" spans="1:1" x14ac:dyDescent="0.75">
      <c r="A59" t="s">
        <v>601</v>
      </c>
    </row>
    <row r="60" spans="1:1" x14ac:dyDescent="0.75">
      <c r="A60" t="s">
        <v>602</v>
      </c>
    </row>
    <row r="61" spans="1:1" x14ac:dyDescent="0.75">
      <c r="A61" t="s">
        <v>603</v>
      </c>
    </row>
    <row r="62" spans="1:1" x14ac:dyDescent="0.75">
      <c r="A62" t="s">
        <v>604</v>
      </c>
    </row>
    <row r="63" spans="1:1" x14ac:dyDescent="0.75">
      <c r="A63" t="s">
        <v>605</v>
      </c>
    </row>
    <row r="64" spans="1:1" x14ac:dyDescent="0.75">
      <c r="A64" t="s">
        <v>612</v>
      </c>
    </row>
    <row r="65" spans="1:1" x14ac:dyDescent="0.75">
      <c r="A65" t="s">
        <v>613</v>
      </c>
    </row>
    <row r="66" spans="1:1" x14ac:dyDescent="0.75">
      <c r="A66" t="s">
        <v>592</v>
      </c>
    </row>
    <row r="67" spans="1:1" x14ac:dyDescent="0.75">
      <c r="A67" t="s">
        <v>593</v>
      </c>
    </row>
    <row r="68" spans="1:1" x14ac:dyDescent="0.75">
      <c r="A68" t="s">
        <v>594</v>
      </c>
    </row>
    <row r="69" spans="1:1" x14ac:dyDescent="0.75">
      <c r="A69" t="s">
        <v>595</v>
      </c>
    </row>
    <row r="70" spans="1:1" x14ac:dyDescent="0.75">
      <c r="A70" t="s">
        <v>596</v>
      </c>
    </row>
    <row r="71" spans="1:1" x14ac:dyDescent="0.75">
      <c r="A71" t="s">
        <v>597</v>
      </c>
    </row>
    <row r="72" spans="1:1" x14ac:dyDescent="0.75">
      <c r="A72" t="s">
        <v>598</v>
      </c>
    </row>
    <row r="73" spans="1:1" x14ac:dyDescent="0.75">
      <c r="A73" t="s">
        <v>599</v>
      </c>
    </row>
    <row r="74" spans="1:1" x14ac:dyDescent="0.75">
      <c r="A74" t="s">
        <v>600</v>
      </c>
    </row>
    <row r="75" spans="1:1" x14ac:dyDescent="0.75">
      <c r="A75" t="s">
        <v>601</v>
      </c>
    </row>
    <row r="76" spans="1:1" x14ac:dyDescent="0.75">
      <c r="A76" t="s">
        <v>602</v>
      </c>
    </row>
    <row r="77" spans="1:1" x14ac:dyDescent="0.75">
      <c r="A77" t="s">
        <v>603</v>
      </c>
    </row>
    <row r="78" spans="1:1" x14ac:dyDescent="0.75">
      <c r="A78" t="s">
        <v>604</v>
      </c>
    </row>
    <row r="79" spans="1:1" x14ac:dyDescent="0.75">
      <c r="A79" t="s">
        <v>605</v>
      </c>
    </row>
    <row r="80" spans="1:1" x14ac:dyDescent="0.75">
      <c r="A80" t="s">
        <v>614</v>
      </c>
    </row>
    <row r="81" spans="1:1" x14ac:dyDescent="0.75">
      <c r="A81" t="s">
        <v>615</v>
      </c>
    </row>
    <row r="82" spans="1:1" x14ac:dyDescent="0.75">
      <c r="A82" t="s">
        <v>592</v>
      </c>
    </row>
    <row r="83" spans="1:1" x14ac:dyDescent="0.75">
      <c r="A83" t="s">
        <v>593</v>
      </c>
    </row>
    <row r="84" spans="1:1" x14ac:dyDescent="0.75">
      <c r="A84" t="s">
        <v>594</v>
      </c>
    </row>
    <row r="85" spans="1:1" x14ac:dyDescent="0.75">
      <c r="A85" t="s">
        <v>595</v>
      </c>
    </row>
    <row r="86" spans="1:1" x14ac:dyDescent="0.75">
      <c r="A86" t="s">
        <v>596</v>
      </c>
    </row>
    <row r="87" spans="1:1" x14ac:dyDescent="0.75">
      <c r="A87" t="s">
        <v>597</v>
      </c>
    </row>
    <row r="88" spans="1:1" x14ac:dyDescent="0.75">
      <c r="A88" t="s">
        <v>598</v>
      </c>
    </row>
    <row r="89" spans="1:1" x14ac:dyDescent="0.75">
      <c r="A89" t="s">
        <v>599</v>
      </c>
    </row>
    <row r="90" spans="1:1" x14ac:dyDescent="0.75">
      <c r="A90" t="s">
        <v>600</v>
      </c>
    </row>
    <row r="91" spans="1:1" x14ac:dyDescent="0.75">
      <c r="A91" t="s">
        <v>601</v>
      </c>
    </row>
    <row r="92" spans="1:1" x14ac:dyDescent="0.75">
      <c r="A92" t="s">
        <v>602</v>
      </c>
    </row>
    <row r="93" spans="1:1" x14ac:dyDescent="0.75">
      <c r="A93" t="s">
        <v>603</v>
      </c>
    </row>
    <row r="94" spans="1:1" x14ac:dyDescent="0.75">
      <c r="A94" t="s">
        <v>604</v>
      </c>
    </row>
    <row r="95" spans="1:1" x14ac:dyDescent="0.75">
      <c r="A95" t="s">
        <v>605</v>
      </c>
    </row>
    <row r="96" spans="1:1" x14ac:dyDescent="0.75">
      <c r="A96" t="s">
        <v>616</v>
      </c>
    </row>
    <row r="97" spans="1:1" x14ac:dyDescent="0.75">
      <c r="A97" t="s">
        <v>617</v>
      </c>
    </row>
    <row r="98" spans="1:1" x14ac:dyDescent="0.75">
      <c r="A98" t="s">
        <v>592</v>
      </c>
    </row>
    <row r="99" spans="1:1" x14ac:dyDescent="0.75">
      <c r="A99" t="s">
        <v>593</v>
      </c>
    </row>
    <row r="100" spans="1:1" x14ac:dyDescent="0.75">
      <c r="A100" t="s">
        <v>594</v>
      </c>
    </row>
    <row r="101" spans="1:1" x14ac:dyDescent="0.75">
      <c r="A101" t="s">
        <v>595</v>
      </c>
    </row>
    <row r="102" spans="1:1" x14ac:dyDescent="0.75">
      <c r="A102" t="s">
        <v>596</v>
      </c>
    </row>
    <row r="103" spans="1:1" x14ac:dyDescent="0.75">
      <c r="A103" t="s">
        <v>597</v>
      </c>
    </row>
    <row r="104" spans="1:1" x14ac:dyDescent="0.75">
      <c r="A104" t="s">
        <v>598</v>
      </c>
    </row>
    <row r="105" spans="1:1" x14ac:dyDescent="0.75">
      <c r="A105" t="s">
        <v>599</v>
      </c>
    </row>
    <row r="106" spans="1:1" x14ac:dyDescent="0.75">
      <c r="A106" t="s">
        <v>600</v>
      </c>
    </row>
    <row r="107" spans="1:1" x14ac:dyDescent="0.75">
      <c r="A107" t="s">
        <v>601</v>
      </c>
    </row>
    <row r="108" spans="1:1" x14ac:dyDescent="0.75">
      <c r="A108" t="s">
        <v>602</v>
      </c>
    </row>
    <row r="109" spans="1:1" x14ac:dyDescent="0.75">
      <c r="A109" t="s">
        <v>603</v>
      </c>
    </row>
    <row r="110" spans="1:1" x14ac:dyDescent="0.75">
      <c r="A110" t="s">
        <v>604</v>
      </c>
    </row>
    <row r="111" spans="1:1" x14ac:dyDescent="0.75">
      <c r="A111" t="s">
        <v>605</v>
      </c>
    </row>
    <row r="112" spans="1:1" x14ac:dyDescent="0.75">
      <c r="A112" t="s">
        <v>618</v>
      </c>
    </row>
    <row r="113" spans="1:1" x14ac:dyDescent="0.75">
      <c r="A113" t="s">
        <v>619</v>
      </c>
    </row>
    <row r="114" spans="1:1" x14ac:dyDescent="0.75">
      <c r="A114" t="s">
        <v>620</v>
      </c>
    </row>
    <row r="115" spans="1:1" x14ac:dyDescent="0.75">
      <c r="A115" t="s">
        <v>621</v>
      </c>
    </row>
    <row r="116" spans="1:1" x14ac:dyDescent="0.75">
      <c r="A116" t="s">
        <v>594</v>
      </c>
    </row>
    <row r="117" spans="1:1" x14ac:dyDescent="0.75">
      <c r="A117" t="s">
        <v>622</v>
      </c>
    </row>
    <row r="118" spans="1:1" x14ac:dyDescent="0.75">
      <c r="A118" t="s">
        <v>596</v>
      </c>
    </row>
    <row r="119" spans="1:1" x14ac:dyDescent="0.75">
      <c r="A119" t="s">
        <v>597</v>
      </c>
    </row>
    <row r="120" spans="1:1" x14ac:dyDescent="0.75">
      <c r="A120" t="s">
        <v>598</v>
      </c>
    </row>
    <row r="121" spans="1:1" x14ac:dyDescent="0.75">
      <c r="A121" t="s">
        <v>599</v>
      </c>
    </row>
    <row r="122" spans="1:1" x14ac:dyDescent="0.75">
      <c r="A122" t="s">
        <v>600</v>
      </c>
    </row>
    <row r="123" spans="1:1" x14ac:dyDescent="0.75">
      <c r="A123" t="s">
        <v>601</v>
      </c>
    </row>
    <row r="124" spans="1:1" x14ac:dyDescent="0.75">
      <c r="A124" t="s">
        <v>602</v>
      </c>
    </row>
    <row r="125" spans="1:1" x14ac:dyDescent="0.75">
      <c r="A125" t="s">
        <v>603</v>
      </c>
    </row>
    <row r="126" spans="1:1" x14ac:dyDescent="0.75">
      <c r="A126" t="s">
        <v>623</v>
      </c>
    </row>
    <row r="127" spans="1:1" x14ac:dyDescent="0.75">
      <c r="A127" t="s">
        <v>624</v>
      </c>
    </row>
    <row r="128" spans="1:1" x14ac:dyDescent="0.75">
      <c r="A128" t="s">
        <v>625</v>
      </c>
    </row>
    <row r="129" spans="1:1" x14ac:dyDescent="0.75">
      <c r="A129" t="s">
        <v>626</v>
      </c>
    </row>
    <row r="130" spans="1:1" x14ac:dyDescent="0.75">
      <c r="A130" t="s">
        <v>627</v>
      </c>
    </row>
    <row r="131" spans="1:1" x14ac:dyDescent="0.75">
      <c r="A131" t="s">
        <v>628</v>
      </c>
    </row>
    <row r="132" spans="1:1" x14ac:dyDescent="0.75">
      <c r="A132" t="s">
        <v>629</v>
      </c>
    </row>
    <row r="133" spans="1:1" x14ac:dyDescent="0.75">
      <c r="A133" t="s">
        <v>630</v>
      </c>
    </row>
    <row r="134" spans="1:1" x14ac:dyDescent="0.75">
      <c r="A134" t="s">
        <v>631</v>
      </c>
    </row>
    <row r="135" spans="1:1" x14ac:dyDescent="0.75">
      <c r="A135" t="s">
        <v>632</v>
      </c>
    </row>
    <row r="136" spans="1:1" x14ac:dyDescent="0.75">
      <c r="A136" t="s">
        <v>633</v>
      </c>
    </row>
    <row r="137" spans="1:1" x14ac:dyDescent="0.75">
      <c r="A137" s="54" t="s">
        <v>634</v>
      </c>
    </row>
    <row r="138" spans="1:1" x14ac:dyDescent="0.75">
      <c r="A138" t="s">
        <v>635</v>
      </c>
    </row>
    <row r="139" spans="1:1" x14ac:dyDescent="0.75">
      <c r="A139" t="s">
        <v>636</v>
      </c>
    </row>
    <row r="140" spans="1:1" x14ac:dyDescent="0.75">
      <c r="A140" t="s">
        <v>637</v>
      </c>
    </row>
    <row r="141" spans="1:1" x14ac:dyDescent="0.75">
      <c r="A141" t="s">
        <v>638</v>
      </c>
    </row>
    <row r="142" spans="1:1" x14ac:dyDescent="0.75">
      <c r="A142" t="s">
        <v>639</v>
      </c>
    </row>
    <row r="143" spans="1:1" x14ac:dyDescent="0.75">
      <c r="A143" t="s">
        <v>640</v>
      </c>
    </row>
    <row r="144" spans="1:1" x14ac:dyDescent="0.75">
      <c r="A144" t="s">
        <v>641</v>
      </c>
    </row>
    <row r="145" spans="1:1" x14ac:dyDescent="0.75">
      <c r="A145" t="s">
        <v>620</v>
      </c>
    </row>
    <row r="146" spans="1:1" x14ac:dyDescent="0.75">
      <c r="A146" t="s">
        <v>621</v>
      </c>
    </row>
    <row r="147" spans="1:1" x14ac:dyDescent="0.75">
      <c r="A147" t="s">
        <v>642</v>
      </c>
    </row>
    <row r="148" spans="1:1" x14ac:dyDescent="0.75">
      <c r="A148" t="s">
        <v>595</v>
      </c>
    </row>
    <row r="149" spans="1:1" x14ac:dyDescent="0.75">
      <c r="A149" t="s">
        <v>596</v>
      </c>
    </row>
    <row r="150" spans="1:1" x14ac:dyDescent="0.75">
      <c r="A150" t="s">
        <v>597</v>
      </c>
    </row>
    <row r="151" spans="1:1" x14ac:dyDescent="0.75">
      <c r="A151" t="s">
        <v>598</v>
      </c>
    </row>
    <row r="152" spans="1:1" x14ac:dyDescent="0.75">
      <c r="A152" t="s">
        <v>599</v>
      </c>
    </row>
    <row r="153" spans="1:1" x14ac:dyDescent="0.75">
      <c r="A153" t="s">
        <v>600</v>
      </c>
    </row>
    <row r="154" spans="1:1" x14ac:dyDescent="0.75">
      <c r="A154" t="s">
        <v>601</v>
      </c>
    </row>
    <row r="155" spans="1:1" x14ac:dyDescent="0.75">
      <c r="A155" t="s">
        <v>602</v>
      </c>
    </row>
    <row r="156" spans="1:1" x14ac:dyDescent="0.75">
      <c r="A156" t="s">
        <v>603</v>
      </c>
    </row>
    <row r="157" spans="1:1" x14ac:dyDescent="0.75">
      <c r="A157" t="s">
        <v>643</v>
      </c>
    </row>
    <row r="158" spans="1:1" x14ac:dyDescent="0.75">
      <c r="A158" t="s">
        <v>624</v>
      </c>
    </row>
    <row r="159" spans="1:1" x14ac:dyDescent="0.75">
      <c r="A159" t="s">
        <v>625</v>
      </c>
    </row>
    <row r="160" spans="1:1" x14ac:dyDescent="0.75">
      <c r="A160" t="s">
        <v>626</v>
      </c>
    </row>
    <row r="161" spans="1:1" x14ac:dyDescent="0.75">
      <c r="A161" t="s">
        <v>627</v>
      </c>
    </row>
    <row r="162" spans="1:1" x14ac:dyDescent="0.75">
      <c r="A162" s="54" t="s">
        <v>628</v>
      </c>
    </row>
    <row r="163" spans="1:1" x14ac:dyDescent="0.75">
      <c r="A163" t="s">
        <v>630</v>
      </c>
    </row>
    <row r="164" spans="1:1" x14ac:dyDescent="0.75">
      <c r="A164" t="s">
        <v>644</v>
      </c>
    </row>
    <row r="165" spans="1:1" x14ac:dyDescent="0.75">
      <c r="A165" t="s">
        <v>645</v>
      </c>
    </row>
    <row r="166" spans="1:1" x14ac:dyDescent="0.75">
      <c r="A166" t="s">
        <v>646</v>
      </c>
    </row>
    <row r="167" spans="1:1" x14ac:dyDescent="0.75">
      <c r="A167" t="s">
        <v>634</v>
      </c>
    </row>
    <row r="168" spans="1:1" x14ac:dyDescent="0.75">
      <c r="A168" t="s">
        <v>635</v>
      </c>
    </row>
    <row r="169" spans="1:1" x14ac:dyDescent="0.75">
      <c r="A169" t="s">
        <v>636</v>
      </c>
    </row>
    <row r="170" spans="1:1" x14ac:dyDescent="0.75">
      <c r="A170" t="s">
        <v>637</v>
      </c>
    </row>
    <row r="171" spans="1:1" x14ac:dyDescent="0.75">
      <c r="A171" t="s">
        <v>638</v>
      </c>
    </row>
    <row r="172" spans="1:1" x14ac:dyDescent="0.75">
      <c r="A172" t="s">
        <v>639</v>
      </c>
    </row>
    <row r="173" spans="1:1" x14ac:dyDescent="0.75">
      <c r="A173" t="s">
        <v>647</v>
      </c>
    </row>
    <row r="174" spans="1:1" x14ac:dyDescent="0.75">
      <c r="A174" t="s">
        <v>648</v>
      </c>
    </row>
    <row r="175" spans="1:1" x14ac:dyDescent="0.75">
      <c r="A175" t="s">
        <v>620</v>
      </c>
    </row>
    <row r="176" spans="1:1" x14ac:dyDescent="0.75">
      <c r="A176" t="s">
        <v>621</v>
      </c>
    </row>
    <row r="177" spans="1:1" x14ac:dyDescent="0.75">
      <c r="A177" t="s">
        <v>649</v>
      </c>
    </row>
    <row r="178" spans="1:1" x14ac:dyDescent="0.75">
      <c r="A178" t="s">
        <v>595</v>
      </c>
    </row>
    <row r="179" spans="1:1" x14ac:dyDescent="0.75">
      <c r="A179" t="s">
        <v>596</v>
      </c>
    </row>
    <row r="180" spans="1:1" x14ac:dyDescent="0.75">
      <c r="A180" t="s">
        <v>597</v>
      </c>
    </row>
    <row r="181" spans="1:1" x14ac:dyDescent="0.75">
      <c r="A181" t="s">
        <v>598</v>
      </c>
    </row>
    <row r="182" spans="1:1" x14ac:dyDescent="0.75">
      <c r="A182" t="s">
        <v>599</v>
      </c>
    </row>
    <row r="183" spans="1:1" x14ac:dyDescent="0.75">
      <c r="A183" t="s">
        <v>600</v>
      </c>
    </row>
    <row r="184" spans="1:1" x14ac:dyDescent="0.75">
      <c r="A184" t="s">
        <v>601</v>
      </c>
    </row>
    <row r="185" spans="1:1" x14ac:dyDescent="0.75">
      <c r="A185" t="s">
        <v>602</v>
      </c>
    </row>
    <row r="186" spans="1:1" x14ac:dyDescent="0.75">
      <c r="A186" t="s">
        <v>603</v>
      </c>
    </row>
    <row r="187" spans="1:1" x14ac:dyDescent="0.75">
      <c r="A187" t="s">
        <v>623</v>
      </c>
    </row>
    <row r="188" spans="1:1" x14ac:dyDescent="0.75">
      <c r="A188" s="54" t="s">
        <v>650</v>
      </c>
    </row>
    <row r="189" spans="1:1" x14ac:dyDescent="0.75">
      <c r="A189" t="s">
        <v>651</v>
      </c>
    </row>
    <row r="190" spans="1:1" x14ac:dyDescent="0.75">
      <c r="A190" t="s">
        <v>626</v>
      </c>
    </row>
    <row r="191" spans="1:1" x14ac:dyDescent="0.75">
      <c r="A191" t="s">
        <v>627</v>
      </c>
    </row>
    <row r="192" spans="1:1" x14ac:dyDescent="0.75">
      <c r="A192" t="s">
        <v>628</v>
      </c>
    </row>
    <row r="193" spans="1:1" x14ac:dyDescent="0.75">
      <c r="A193" t="s">
        <v>629</v>
      </c>
    </row>
    <row r="194" spans="1:1" x14ac:dyDescent="0.75">
      <c r="A194" t="s">
        <v>652</v>
      </c>
    </row>
    <row r="195" spans="1:1" x14ac:dyDescent="0.75">
      <c r="A195" t="s">
        <v>644</v>
      </c>
    </row>
    <row r="196" spans="1:1" x14ac:dyDescent="0.75">
      <c r="A196" t="s">
        <v>632</v>
      </c>
    </row>
    <row r="197" spans="1:1" x14ac:dyDescent="0.75">
      <c r="A197" t="s">
        <v>646</v>
      </c>
    </row>
    <row r="198" spans="1:1" x14ac:dyDescent="0.75">
      <c r="A198" t="s">
        <v>634</v>
      </c>
    </row>
    <row r="199" spans="1:1" x14ac:dyDescent="0.75">
      <c r="A199" t="s">
        <v>635</v>
      </c>
    </row>
    <row r="200" spans="1:1" x14ac:dyDescent="0.75">
      <c r="A200" t="s">
        <v>636</v>
      </c>
    </row>
    <row r="201" spans="1:1" x14ac:dyDescent="0.75">
      <c r="A201" t="s">
        <v>637</v>
      </c>
    </row>
    <row r="202" spans="1:1" x14ac:dyDescent="0.75">
      <c r="A202" t="s">
        <v>638</v>
      </c>
    </row>
    <row r="203" spans="1:1" x14ac:dyDescent="0.75">
      <c r="A203" t="s">
        <v>639</v>
      </c>
    </row>
    <row r="204" spans="1:1" x14ac:dyDescent="0.75">
      <c r="A204" t="s">
        <v>653</v>
      </c>
    </row>
    <row r="205" spans="1:1" x14ac:dyDescent="0.75">
      <c r="A205" t="s">
        <v>654</v>
      </c>
    </row>
    <row r="206" spans="1:1" x14ac:dyDescent="0.75">
      <c r="A206" t="s">
        <v>620</v>
      </c>
    </row>
    <row r="207" spans="1:1" x14ac:dyDescent="0.75">
      <c r="A207" t="s">
        <v>621</v>
      </c>
    </row>
    <row r="208" spans="1:1" x14ac:dyDescent="0.75">
      <c r="A208" t="s">
        <v>655</v>
      </c>
    </row>
    <row r="209" spans="1:1" x14ac:dyDescent="0.75">
      <c r="A209" t="s">
        <v>595</v>
      </c>
    </row>
    <row r="210" spans="1:1" x14ac:dyDescent="0.75">
      <c r="A210" t="s">
        <v>596</v>
      </c>
    </row>
    <row r="211" spans="1:1" x14ac:dyDescent="0.75">
      <c r="A211" t="s">
        <v>597</v>
      </c>
    </row>
    <row r="212" spans="1:1" x14ac:dyDescent="0.75">
      <c r="A212" t="s">
        <v>656</v>
      </c>
    </row>
    <row r="213" spans="1:1" x14ac:dyDescent="0.75">
      <c r="A213" s="54" t="s">
        <v>599</v>
      </c>
    </row>
    <row r="214" spans="1:1" x14ac:dyDescent="0.75">
      <c r="A214" t="s">
        <v>600</v>
      </c>
    </row>
    <row r="215" spans="1:1" x14ac:dyDescent="0.75">
      <c r="A215" t="s">
        <v>601</v>
      </c>
    </row>
    <row r="216" spans="1:1" x14ac:dyDescent="0.75">
      <c r="A216" t="s">
        <v>602</v>
      </c>
    </row>
    <row r="217" spans="1:1" x14ac:dyDescent="0.75">
      <c r="A217" t="s">
        <v>603</v>
      </c>
    </row>
    <row r="218" spans="1:1" x14ac:dyDescent="0.75">
      <c r="A218" t="s">
        <v>643</v>
      </c>
    </row>
    <row r="219" spans="1:1" x14ac:dyDescent="0.75">
      <c r="A219" t="s">
        <v>624</v>
      </c>
    </row>
    <row r="220" spans="1:1" x14ac:dyDescent="0.75">
      <c r="A220" t="s">
        <v>657</v>
      </c>
    </row>
    <row r="221" spans="1:1" x14ac:dyDescent="0.75">
      <c r="A221" t="s">
        <v>626</v>
      </c>
    </row>
    <row r="222" spans="1:1" x14ac:dyDescent="0.75">
      <c r="A222" t="s">
        <v>627</v>
      </c>
    </row>
    <row r="223" spans="1:1" x14ac:dyDescent="0.75">
      <c r="A223" t="s">
        <v>628</v>
      </c>
    </row>
    <row r="224" spans="1:1" x14ac:dyDescent="0.75">
      <c r="A224" t="s">
        <v>652</v>
      </c>
    </row>
    <row r="225" spans="1:1" x14ac:dyDescent="0.75">
      <c r="A225" t="s">
        <v>658</v>
      </c>
    </row>
    <row r="226" spans="1:1" x14ac:dyDescent="0.75">
      <c r="A226" t="s">
        <v>659</v>
      </c>
    </row>
    <row r="227" spans="1:1" x14ac:dyDescent="0.75">
      <c r="A227" t="s">
        <v>660</v>
      </c>
    </row>
    <row r="228" spans="1:1" x14ac:dyDescent="0.75">
      <c r="A228" t="s">
        <v>634</v>
      </c>
    </row>
    <row r="229" spans="1:1" x14ac:dyDescent="0.75">
      <c r="A229" t="s">
        <v>635</v>
      </c>
    </row>
    <row r="230" spans="1:1" x14ac:dyDescent="0.75">
      <c r="A230" t="s">
        <v>636</v>
      </c>
    </row>
    <row r="231" spans="1:1" x14ac:dyDescent="0.75">
      <c r="A231" t="s">
        <v>637</v>
      </c>
    </row>
    <row r="232" spans="1:1" x14ac:dyDescent="0.75">
      <c r="A232" t="s">
        <v>638</v>
      </c>
    </row>
    <row r="233" spans="1:1" x14ac:dyDescent="0.75">
      <c r="A233" t="s">
        <v>639</v>
      </c>
    </row>
    <row r="234" spans="1:1" x14ac:dyDescent="0.75">
      <c r="A234" t="s">
        <v>661</v>
      </c>
    </row>
    <row r="235" spans="1:1" x14ac:dyDescent="0.75">
      <c r="A235" t="s">
        <v>662</v>
      </c>
    </row>
    <row r="236" spans="1:1" x14ac:dyDescent="0.75">
      <c r="A236" t="s">
        <v>620</v>
      </c>
    </row>
    <row r="237" spans="1:1" x14ac:dyDescent="0.75">
      <c r="A237" t="s">
        <v>663</v>
      </c>
    </row>
    <row r="238" spans="1:1" x14ac:dyDescent="0.75">
      <c r="A238" s="54" t="s">
        <v>664</v>
      </c>
    </row>
    <row r="239" spans="1:1" x14ac:dyDescent="0.75">
      <c r="A239" t="s">
        <v>595</v>
      </c>
    </row>
    <row r="240" spans="1:1" x14ac:dyDescent="0.75">
      <c r="A240" t="s">
        <v>596</v>
      </c>
    </row>
    <row r="241" spans="1:1" x14ac:dyDescent="0.75">
      <c r="A241" t="s">
        <v>597</v>
      </c>
    </row>
    <row r="242" spans="1:1" x14ac:dyDescent="0.75">
      <c r="A242" t="s">
        <v>656</v>
      </c>
    </row>
    <row r="243" spans="1:1" x14ac:dyDescent="0.75">
      <c r="A243" t="s">
        <v>599</v>
      </c>
    </row>
    <row r="244" spans="1:1" x14ac:dyDescent="0.75">
      <c r="A244" t="s">
        <v>600</v>
      </c>
    </row>
    <row r="245" spans="1:1" x14ac:dyDescent="0.75">
      <c r="A245" t="s">
        <v>601</v>
      </c>
    </row>
    <row r="246" spans="1:1" x14ac:dyDescent="0.75">
      <c r="A246" t="s">
        <v>602</v>
      </c>
    </row>
    <row r="247" spans="1:1" x14ac:dyDescent="0.75">
      <c r="A247" t="s">
        <v>603</v>
      </c>
    </row>
    <row r="248" spans="1:1" x14ac:dyDescent="0.75">
      <c r="A248" t="s">
        <v>665</v>
      </c>
    </row>
    <row r="249" spans="1:1" x14ac:dyDescent="0.75">
      <c r="A249" t="s">
        <v>624</v>
      </c>
    </row>
    <row r="250" spans="1:1" x14ac:dyDescent="0.75">
      <c r="A250" t="s">
        <v>657</v>
      </c>
    </row>
    <row r="251" spans="1:1" x14ac:dyDescent="0.75">
      <c r="A251" t="s">
        <v>626</v>
      </c>
    </row>
    <row r="252" spans="1:1" x14ac:dyDescent="0.75">
      <c r="A252" t="s">
        <v>627</v>
      </c>
    </row>
    <row r="253" spans="1:1" x14ac:dyDescent="0.75">
      <c r="A253" t="s">
        <v>628</v>
      </c>
    </row>
    <row r="254" spans="1:1" x14ac:dyDescent="0.75">
      <c r="A254" t="s">
        <v>652</v>
      </c>
    </row>
    <row r="255" spans="1:1" x14ac:dyDescent="0.75">
      <c r="A255" t="s">
        <v>658</v>
      </c>
    </row>
    <row r="256" spans="1:1" x14ac:dyDescent="0.75">
      <c r="A256" t="s">
        <v>666</v>
      </c>
    </row>
    <row r="257" spans="1:1" x14ac:dyDescent="0.75">
      <c r="A257" t="s">
        <v>667</v>
      </c>
    </row>
    <row r="258" spans="1:1" x14ac:dyDescent="0.75">
      <c r="A258" t="s">
        <v>634</v>
      </c>
    </row>
    <row r="259" spans="1:1" x14ac:dyDescent="0.75">
      <c r="A259" t="s">
        <v>635</v>
      </c>
    </row>
    <row r="260" spans="1:1" x14ac:dyDescent="0.75">
      <c r="A260" t="s">
        <v>636</v>
      </c>
    </row>
    <row r="261" spans="1:1" x14ac:dyDescent="0.75">
      <c r="A261" t="s">
        <v>637</v>
      </c>
    </row>
    <row r="262" spans="1:1" x14ac:dyDescent="0.75">
      <c r="A262" s="54" t="s">
        <v>638</v>
      </c>
    </row>
    <row r="263" spans="1:1" x14ac:dyDescent="0.75">
      <c r="A263" t="s">
        <v>639</v>
      </c>
    </row>
    <row r="264" spans="1:1" x14ac:dyDescent="0.75">
      <c r="A264" t="s">
        <v>668</v>
      </c>
    </row>
    <row r="265" spans="1:1" x14ac:dyDescent="0.75">
      <c r="A265" t="s">
        <v>669</v>
      </c>
    </row>
    <row r="266" spans="1:1" x14ac:dyDescent="0.75">
      <c r="A266" t="s">
        <v>620</v>
      </c>
    </row>
    <row r="267" spans="1:1" x14ac:dyDescent="0.75">
      <c r="A267" t="s">
        <v>670</v>
      </c>
    </row>
    <row r="268" spans="1:1" x14ac:dyDescent="0.75">
      <c r="A268" t="s">
        <v>671</v>
      </c>
    </row>
    <row r="269" spans="1:1" x14ac:dyDescent="0.75">
      <c r="A269" t="s">
        <v>595</v>
      </c>
    </row>
    <row r="270" spans="1:1" x14ac:dyDescent="0.75">
      <c r="A270" t="s">
        <v>596</v>
      </c>
    </row>
    <row r="271" spans="1:1" x14ac:dyDescent="0.75">
      <c r="A271" t="s">
        <v>597</v>
      </c>
    </row>
    <row r="272" spans="1:1" x14ac:dyDescent="0.75">
      <c r="A272" t="s">
        <v>598</v>
      </c>
    </row>
    <row r="273" spans="1:1" x14ac:dyDescent="0.75">
      <c r="A273" t="s">
        <v>599</v>
      </c>
    </row>
    <row r="274" spans="1:1" x14ac:dyDescent="0.75">
      <c r="A274" t="s">
        <v>600</v>
      </c>
    </row>
    <row r="275" spans="1:1" x14ac:dyDescent="0.75">
      <c r="A275" t="s">
        <v>601</v>
      </c>
    </row>
    <row r="276" spans="1:1" x14ac:dyDescent="0.75">
      <c r="A276" t="s">
        <v>602</v>
      </c>
    </row>
    <row r="277" spans="1:1" x14ac:dyDescent="0.75">
      <c r="A277" t="s">
        <v>603</v>
      </c>
    </row>
    <row r="278" spans="1:1" x14ac:dyDescent="0.75">
      <c r="A278" t="s">
        <v>672</v>
      </c>
    </row>
    <row r="279" spans="1:1" x14ac:dyDescent="0.75">
      <c r="A279" t="s">
        <v>624</v>
      </c>
    </row>
    <row r="280" spans="1:1" x14ac:dyDescent="0.75">
      <c r="A280" t="s">
        <v>657</v>
      </c>
    </row>
    <row r="281" spans="1:1" x14ac:dyDescent="0.75">
      <c r="A281" t="s">
        <v>626</v>
      </c>
    </row>
    <row r="282" spans="1:1" x14ac:dyDescent="0.75">
      <c r="A282" t="s">
        <v>627</v>
      </c>
    </row>
    <row r="283" spans="1:1" x14ac:dyDescent="0.75">
      <c r="A283" t="s">
        <v>628</v>
      </c>
    </row>
    <row r="284" spans="1:1" x14ac:dyDescent="0.75">
      <c r="A284" t="s">
        <v>673</v>
      </c>
    </row>
    <row r="285" spans="1:1" x14ac:dyDescent="0.75">
      <c r="A285" t="s">
        <v>674</v>
      </c>
    </row>
    <row r="286" spans="1:1" x14ac:dyDescent="0.75">
      <c r="A286" t="s">
        <v>675</v>
      </c>
    </row>
    <row r="287" spans="1:1" x14ac:dyDescent="0.75">
      <c r="A287" s="54" t="s">
        <v>634</v>
      </c>
    </row>
    <row r="288" spans="1:1" x14ac:dyDescent="0.75">
      <c r="A288" t="s">
        <v>635</v>
      </c>
    </row>
    <row r="289" spans="1:1" x14ac:dyDescent="0.75">
      <c r="A289" t="s">
        <v>636</v>
      </c>
    </row>
    <row r="290" spans="1:1" x14ac:dyDescent="0.75">
      <c r="A290" t="s">
        <v>637</v>
      </c>
    </row>
    <row r="291" spans="1:1" x14ac:dyDescent="0.75">
      <c r="A291" t="s">
        <v>638</v>
      </c>
    </row>
    <row r="292" spans="1:1" x14ac:dyDescent="0.75">
      <c r="A292" t="s">
        <v>639</v>
      </c>
    </row>
    <row r="293" spans="1:1" x14ac:dyDescent="0.75">
      <c r="A293" t="s">
        <v>676</v>
      </c>
    </row>
    <row r="294" spans="1:1" x14ac:dyDescent="0.75">
      <c r="A294" t="s">
        <v>677</v>
      </c>
    </row>
    <row r="295" spans="1:1" x14ac:dyDescent="0.75">
      <c r="A295" t="s">
        <v>678</v>
      </c>
    </row>
    <row r="296" spans="1:1" x14ac:dyDescent="0.75">
      <c r="A296" t="s">
        <v>679</v>
      </c>
    </row>
    <row r="297" spans="1:1" x14ac:dyDescent="0.75">
      <c r="A297" t="s">
        <v>594</v>
      </c>
    </row>
    <row r="298" spans="1:1" x14ac:dyDescent="0.75">
      <c r="A298" t="s">
        <v>595</v>
      </c>
    </row>
    <row r="299" spans="1:1" x14ac:dyDescent="0.75">
      <c r="A299" t="s">
        <v>596</v>
      </c>
    </row>
    <row r="300" spans="1:1" x14ac:dyDescent="0.75">
      <c r="A300" t="s">
        <v>597</v>
      </c>
    </row>
    <row r="301" spans="1:1" x14ac:dyDescent="0.75">
      <c r="A301" t="s">
        <v>598</v>
      </c>
    </row>
    <row r="302" spans="1:1" x14ac:dyDescent="0.75">
      <c r="A302" t="s">
        <v>599</v>
      </c>
    </row>
    <row r="303" spans="1:1" x14ac:dyDescent="0.75">
      <c r="A303" t="s">
        <v>600</v>
      </c>
    </row>
    <row r="304" spans="1:1" x14ac:dyDescent="0.75">
      <c r="A304" t="s">
        <v>680</v>
      </c>
    </row>
    <row r="305" spans="1:1" x14ac:dyDescent="0.75">
      <c r="A305" t="s">
        <v>602</v>
      </c>
    </row>
    <row r="306" spans="1:1" x14ac:dyDescent="0.75">
      <c r="A306" t="s">
        <v>603</v>
      </c>
    </row>
    <row r="307" spans="1:1" x14ac:dyDescent="0.75">
      <c r="A307" t="s">
        <v>665</v>
      </c>
    </row>
    <row r="308" spans="1:1" x14ac:dyDescent="0.75">
      <c r="A308" t="s">
        <v>624</v>
      </c>
    </row>
    <row r="309" spans="1:1" x14ac:dyDescent="0.75">
      <c r="A309" t="s">
        <v>651</v>
      </c>
    </row>
    <row r="310" spans="1:1" x14ac:dyDescent="0.75">
      <c r="A310" s="54" t="s">
        <v>626</v>
      </c>
    </row>
    <row r="311" spans="1:1" x14ac:dyDescent="0.75">
      <c r="A311" t="s">
        <v>627</v>
      </c>
    </row>
    <row r="312" spans="1:1" x14ac:dyDescent="0.75">
      <c r="A312" t="s">
        <v>628</v>
      </c>
    </row>
    <row r="313" spans="1:1" x14ac:dyDescent="0.75">
      <c r="A313" t="s">
        <v>652</v>
      </c>
    </row>
    <row r="314" spans="1:1" x14ac:dyDescent="0.75">
      <c r="A314" t="s">
        <v>673</v>
      </c>
    </row>
    <row r="315" spans="1:1" x14ac:dyDescent="0.75">
      <c r="A315" t="s">
        <v>681</v>
      </c>
    </row>
    <row r="316" spans="1:1" x14ac:dyDescent="0.75">
      <c r="A316" t="s">
        <v>682</v>
      </c>
    </row>
    <row r="317" spans="1:1" x14ac:dyDescent="0.75">
      <c r="A317" t="s">
        <v>634</v>
      </c>
    </row>
    <row r="318" spans="1:1" x14ac:dyDescent="0.75">
      <c r="A318" t="s">
        <v>635</v>
      </c>
    </row>
    <row r="319" spans="1:1" x14ac:dyDescent="0.75">
      <c r="A319" t="s">
        <v>636</v>
      </c>
    </row>
    <row r="320" spans="1:1" x14ac:dyDescent="0.75">
      <c r="A320" t="s">
        <v>637</v>
      </c>
    </row>
    <row r="321" spans="1:1" x14ac:dyDescent="0.75">
      <c r="A321" t="s">
        <v>638</v>
      </c>
    </row>
    <row r="322" spans="1:1" x14ac:dyDescent="0.75">
      <c r="A322" t="s">
        <v>639</v>
      </c>
    </row>
    <row r="323" spans="1:1" x14ac:dyDescent="0.75">
      <c r="A323" t="s">
        <v>683</v>
      </c>
    </row>
    <row r="324" spans="1:1" x14ac:dyDescent="0.75">
      <c r="A324" t="s">
        <v>684</v>
      </c>
    </row>
    <row r="325" spans="1:1" x14ac:dyDescent="0.75">
      <c r="A325" t="s">
        <v>678</v>
      </c>
    </row>
    <row r="326" spans="1:1" x14ac:dyDescent="0.75">
      <c r="A326" t="s">
        <v>593</v>
      </c>
    </row>
    <row r="327" spans="1:1" x14ac:dyDescent="0.75">
      <c r="A327" t="s">
        <v>594</v>
      </c>
    </row>
    <row r="328" spans="1:1" x14ac:dyDescent="0.75">
      <c r="A328" t="s">
        <v>595</v>
      </c>
    </row>
    <row r="329" spans="1:1" x14ac:dyDescent="0.75">
      <c r="A329" t="s">
        <v>596</v>
      </c>
    </row>
    <row r="330" spans="1:1" x14ac:dyDescent="0.75">
      <c r="A330" t="s">
        <v>597</v>
      </c>
    </row>
    <row r="331" spans="1:1" x14ac:dyDescent="0.75">
      <c r="A331" t="s">
        <v>598</v>
      </c>
    </row>
    <row r="332" spans="1:1" x14ac:dyDescent="0.75">
      <c r="A332" t="s">
        <v>599</v>
      </c>
    </row>
    <row r="333" spans="1:1" x14ac:dyDescent="0.75">
      <c r="A333" s="54" t="s">
        <v>600</v>
      </c>
    </row>
    <row r="334" spans="1:1" x14ac:dyDescent="0.75">
      <c r="A334" t="s">
        <v>601</v>
      </c>
    </row>
    <row r="335" spans="1:1" x14ac:dyDescent="0.75">
      <c r="A335" t="s">
        <v>602</v>
      </c>
    </row>
    <row r="336" spans="1:1" x14ac:dyDescent="0.75">
      <c r="A336" t="s">
        <v>603</v>
      </c>
    </row>
    <row r="337" spans="1:1" x14ac:dyDescent="0.75">
      <c r="A337" t="s">
        <v>685</v>
      </c>
    </row>
    <row r="338" spans="1:1" x14ac:dyDescent="0.75">
      <c r="A338" t="s">
        <v>686</v>
      </c>
    </row>
    <row r="339" spans="1:1" x14ac:dyDescent="0.75">
      <c r="A339" t="s">
        <v>651</v>
      </c>
    </row>
    <row r="340" spans="1:1" x14ac:dyDescent="0.75">
      <c r="A340" t="s">
        <v>626</v>
      </c>
    </row>
    <row r="341" spans="1:1" x14ac:dyDescent="0.75">
      <c r="A341" t="s">
        <v>627</v>
      </c>
    </row>
    <row r="342" spans="1:1" x14ac:dyDescent="0.75">
      <c r="A342" t="s">
        <v>628</v>
      </c>
    </row>
    <row r="343" spans="1:1" x14ac:dyDescent="0.75">
      <c r="A343" t="s">
        <v>681</v>
      </c>
    </row>
    <row r="344" spans="1:1" x14ac:dyDescent="0.75">
      <c r="A344" t="s">
        <v>667</v>
      </c>
    </row>
    <row r="345" spans="1:1" x14ac:dyDescent="0.75">
      <c r="A345" t="s">
        <v>634</v>
      </c>
    </row>
    <row r="346" spans="1:1" x14ac:dyDescent="0.75">
      <c r="A346" t="s">
        <v>635</v>
      </c>
    </row>
    <row r="347" spans="1:1" x14ac:dyDescent="0.75">
      <c r="A347" t="s">
        <v>636</v>
      </c>
    </row>
    <row r="348" spans="1:1" x14ac:dyDescent="0.75">
      <c r="A348" t="s">
        <v>637</v>
      </c>
    </row>
    <row r="349" spans="1:1" x14ac:dyDescent="0.75">
      <c r="A349" t="s">
        <v>638</v>
      </c>
    </row>
    <row r="350" spans="1:1" x14ac:dyDescent="0.75">
      <c r="A350" t="s">
        <v>639</v>
      </c>
    </row>
    <row r="351" spans="1:1" x14ac:dyDescent="0.75">
      <c r="A351" t="s">
        <v>687</v>
      </c>
    </row>
    <row r="352" spans="1:1" x14ac:dyDescent="0.75">
      <c r="A352" t="s">
        <v>688</v>
      </c>
    </row>
    <row r="353" spans="1:1" x14ac:dyDescent="0.75">
      <c r="A353" t="s">
        <v>620</v>
      </c>
    </row>
    <row r="354" spans="1:1" x14ac:dyDescent="0.75">
      <c r="A354" t="s">
        <v>621</v>
      </c>
    </row>
    <row r="355" spans="1:1" x14ac:dyDescent="0.75">
      <c r="A355" t="s">
        <v>649</v>
      </c>
    </row>
    <row r="356" spans="1:1" x14ac:dyDescent="0.75">
      <c r="A356" t="s">
        <v>595</v>
      </c>
    </row>
    <row r="357" spans="1:1" x14ac:dyDescent="0.75">
      <c r="A357" t="s">
        <v>596</v>
      </c>
    </row>
    <row r="358" spans="1:1" x14ac:dyDescent="0.75">
      <c r="A358" t="s">
        <v>597</v>
      </c>
    </row>
    <row r="359" spans="1:1" x14ac:dyDescent="0.75">
      <c r="A359" t="s">
        <v>598</v>
      </c>
    </row>
    <row r="360" spans="1:1" x14ac:dyDescent="0.75">
      <c r="A360" t="s">
        <v>599</v>
      </c>
    </row>
    <row r="361" spans="1:1" x14ac:dyDescent="0.75">
      <c r="A361" t="s">
        <v>600</v>
      </c>
    </row>
    <row r="362" spans="1:1" x14ac:dyDescent="0.75">
      <c r="A362" s="54" t="s">
        <v>601</v>
      </c>
    </row>
    <row r="363" spans="1:1" x14ac:dyDescent="0.75">
      <c r="A363" t="s">
        <v>602</v>
      </c>
    </row>
    <row r="364" spans="1:1" x14ac:dyDescent="0.75">
      <c r="A364" t="s">
        <v>603</v>
      </c>
    </row>
    <row r="365" spans="1:1" x14ac:dyDescent="0.75">
      <c r="A365" t="s">
        <v>623</v>
      </c>
    </row>
    <row r="366" spans="1:1" x14ac:dyDescent="0.75">
      <c r="A366" t="s">
        <v>650</v>
      </c>
    </row>
    <row r="367" spans="1:1" x14ac:dyDescent="0.75">
      <c r="A367" t="s">
        <v>651</v>
      </c>
    </row>
    <row r="368" spans="1:1" x14ac:dyDescent="0.75">
      <c r="A368" t="s">
        <v>626</v>
      </c>
    </row>
    <row r="369" spans="1:1" x14ac:dyDescent="0.75">
      <c r="A369" t="s">
        <v>627</v>
      </c>
    </row>
    <row r="370" spans="1:1" x14ac:dyDescent="0.75">
      <c r="A370" t="s">
        <v>628</v>
      </c>
    </row>
    <row r="371" spans="1:1" x14ac:dyDescent="0.75">
      <c r="A371" t="s">
        <v>632</v>
      </c>
    </row>
    <row r="372" spans="1:1" x14ac:dyDescent="0.75">
      <c r="A372" t="s">
        <v>689</v>
      </c>
    </row>
    <row r="373" spans="1:1" x14ac:dyDescent="0.75">
      <c r="A373" t="s">
        <v>634</v>
      </c>
    </row>
    <row r="374" spans="1:1" x14ac:dyDescent="0.75">
      <c r="A374" t="s">
        <v>635</v>
      </c>
    </row>
    <row r="375" spans="1:1" x14ac:dyDescent="0.75">
      <c r="A375" t="s">
        <v>636</v>
      </c>
    </row>
    <row r="376" spans="1:1" x14ac:dyDescent="0.75">
      <c r="A376" t="s">
        <v>637</v>
      </c>
    </row>
    <row r="377" spans="1:1" x14ac:dyDescent="0.75">
      <c r="A377" t="s">
        <v>638</v>
      </c>
    </row>
    <row r="378" spans="1:1" x14ac:dyDescent="0.75">
      <c r="A378" s="54" t="s">
        <v>639</v>
      </c>
    </row>
    <row r="379" spans="1:1" x14ac:dyDescent="0.75">
      <c r="A379" t="s">
        <v>690</v>
      </c>
    </row>
    <row r="380" spans="1:1" x14ac:dyDescent="0.75">
      <c r="A380" t="s">
        <v>691</v>
      </c>
    </row>
    <row r="381" spans="1:1" x14ac:dyDescent="0.75">
      <c r="A381" t="s">
        <v>692</v>
      </c>
    </row>
    <row r="382" spans="1:1" x14ac:dyDescent="0.75">
      <c r="A382" t="s">
        <v>670</v>
      </c>
    </row>
    <row r="383" spans="1:1" x14ac:dyDescent="0.75">
      <c r="A383" t="s">
        <v>664</v>
      </c>
    </row>
    <row r="384" spans="1:1" x14ac:dyDescent="0.75">
      <c r="A384" t="s">
        <v>595</v>
      </c>
    </row>
    <row r="385" spans="1:1" x14ac:dyDescent="0.75">
      <c r="A385" t="s">
        <v>596</v>
      </c>
    </row>
    <row r="386" spans="1:1" x14ac:dyDescent="0.75">
      <c r="A386" t="s">
        <v>597</v>
      </c>
    </row>
    <row r="387" spans="1:1" x14ac:dyDescent="0.75">
      <c r="A387" t="s">
        <v>598</v>
      </c>
    </row>
    <row r="388" spans="1:1" x14ac:dyDescent="0.75">
      <c r="A388" t="s">
        <v>599</v>
      </c>
    </row>
    <row r="389" spans="1:1" x14ac:dyDescent="0.75">
      <c r="A389" t="s">
        <v>600</v>
      </c>
    </row>
    <row r="390" spans="1:1" x14ac:dyDescent="0.75">
      <c r="A390" t="s">
        <v>601</v>
      </c>
    </row>
    <row r="391" spans="1:1" x14ac:dyDescent="0.75">
      <c r="A391" t="s">
        <v>602</v>
      </c>
    </row>
    <row r="392" spans="1:1" x14ac:dyDescent="0.75">
      <c r="A392" t="s">
        <v>603</v>
      </c>
    </row>
    <row r="393" spans="1:1" x14ac:dyDescent="0.75">
      <c r="A393" t="s">
        <v>643</v>
      </c>
    </row>
    <row r="394" spans="1:1" x14ac:dyDescent="0.75">
      <c r="A394" t="s">
        <v>693</v>
      </c>
    </row>
    <row r="395" spans="1:1" x14ac:dyDescent="0.75">
      <c r="A395" t="s">
        <v>694</v>
      </c>
    </row>
    <row r="396" spans="1:1" x14ac:dyDescent="0.75">
      <c r="A396" t="s">
        <v>695</v>
      </c>
    </row>
    <row r="397" spans="1:1" x14ac:dyDescent="0.75">
      <c r="A397" t="s">
        <v>696</v>
      </c>
    </row>
    <row r="398" spans="1:1" x14ac:dyDescent="0.75">
      <c r="A398" t="s">
        <v>697</v>
      </c>
    </row>
    <row r="399" spans="1:1" x14ac:dyDescent="0.75">
      <c r="A399" t="s">
        <v>698</v>
      </c>
    </row>
    <row r="400" spans="1:1" x14ac:dyDescent="0.75">
      <c r="A400" t="s">
        <v>699</v>
      </c>
    </row>
    <row r="401" spans="1:1" x14ac:dyDescent="0.75">
      <c r="A401" t="s">
        <v>700</v>
      </c>
    </row>
    <row r="402" spans="1:1" x14ac:dyDescent="0.75">
      <c r="A402" s="54" t="s">
        <v>629</v>
      </c>
    </row>
    <row r="403" spans="1:1" x14ac:dyDescent="0.75">
      <c r="A403" t="s">
        <v>630</v>
      </c>
    </row>
    <row r="404" spans="1:1" x14ac:dyDescent="0.75">
      <c r="A404" t="s">
        <v>631</v>
      </c>
    </row>
    <row r="405" spans="1:1" x14ac:dyDescent="0.75">
      <c r="A405" t="s">
        <v>701</v>
      </c>
    </row>
    <row r="406" spans="1:1" x14ac:dyDescent="0.75">
      <c r="A406" t="s">
        <v>702</v>
      </c>
    </row>
    <row r="407" spans="1:1" x14ac:dyDescent="0.75">
      <c r="A407" t="s">
        <v>634</v>
      </c>
    </row>
    <row r="408" spans="1:1" x14ac:dyDescent="0.75">
      <c r="A408" t="s">
        <v>635</v>
      </c>
    </row>
    <row r="409" spans="1:1" x14ac:dyDescent="0.75">
      <c r="A409" t="s">
        <v>636</v>
      </c>
    </row>
    <row r="410" spans="1:1" x14ac:dyDescent="0.75">
      <c r="A410" t="s">
        <v>637</v>
      </c>
    </row>
    <row r="411" spans="1:1" x14ac:dyDescent="0.75">
      <c r="A411" t="s">
        <v>638</v>
      </c>
    </row>
    <row r="412" spans="1:1" x14ac:dyDescent="0.75">
      <c r="A412" t="s">
        <v>639</v>
      </c>
    </row>
    <row r="413" spans="1:1" x14ac:dyDescent="0.75">
      <c r="A413" t="s">
        <v>703</v>
      </c>
    </row>
    <row r="414" spans="1:1" x14ac:dyDescent="0.75">
      <c r="A414" t="s">
        <v>704</v>
      </c>
    </row>
    <row r="415" spans="1:1" x14ac:dyDescent="0.75">
      <c r="A415" t="s">
        <v>620</v>
      </c>
    </row>
    <row r="416" spans="1:1" x14ac:dyDescent="0.75">
      <c r="A416" t="s">
        <v>679</v>
      </c>
    </row>
    <row r="417" spans="1:1" x14ac:dyDescent="0.75">
      <c r="A417" t="s">
        <v>705</v>
      </c>
    </row>
    <row r="418" spans="1:1" x14ac:dyDescent="0.75">
      <c r="A418" t="s">
        <v>706</v>
      </c>
    </row>
    <row r="419" spans="1:1" x14ac:dyDescent="0.75">
      <c r="A419" t="s">
        <v>707</v>
      </c>
    </row>
    <row r="420" spans="1:1" x14ac:dyDescent="0.75">
      <c r="A420" t="s">
        <v>708</v>
      </c>
    </row>
    <row r="421" spans="1:1" x14ac:dyDescent="0.75">
      <c r="A421" t="s">
        <v>709</v>
      </c>
    </row>
    <row r="422" spans="1:1" x14ac:dyDescent="0.75">
      <c r="A422" t="s">
        <v>710</v>
      </c>
    </row>
    <row r="423" spans="1:1" x14ac:dyDescent="0.75">
      <c r="A423" t="s">
        <v>600</v>
      </c>
    </row>
    <row r="424" spans="1:1" x14ac:dyDescent="0.75">
      <c r="A424" t="s">
        <v>711</v>
      </c>
    </row>
    <row r="425" spans="1:1" x14ac:dyDescent="0.75">
      <c r="A425" t="s">
        <v>712</v>
      </c>
    </row>
    <row r="426" spans="1:1" x14ac:dyDescent="0.75">
      <c r="A426" t="s">
        <v>713</v>
      </c>
    </row>
    <row r="427" spans="1:1" x14ac:dyDescent="0.75">
      <c r="A427" s="54" t="s">
        <v>672</v>
      </c>
    </row>
    <row r="428" spans="1:1" x14ac:dyDescent="0.75">
      <c r="A428" t="s">
        <v>714</v>
      </c>
    </row>
    <row r="429" spans="1:1" x14ac:dyDescent="0.75">
      <c r="A429" t="s">
        <v>715</v>
      </c>
    </row>
    <row r="430" spans="1:1" x14ac:dyDescent="0.75">
      <c r="A430" t="s">
        <v>716</v>
      </c>
    </row>
    <row r="431" spans="1:1" x14ac:dyDescent="0.75">
      <c r="A431" t="s">
        <v>717</v>
      </c>
    </row>
    <row r="432" spans="1:1" x14ac:dyDescent="0.75">
      <c r="A432" t="s">
        <v>718</v>
      </c>
    </row>
    <row r="433" spans="1:1" x14ac:dyDescent="0.75">
      <c r="A433" t="s">
        <v>719</v>
      </c>
    </row>
    <row r="434" spans="1:1" x14ac:dyDescent="0.75">
      <c r="A434" t="s">
        <v>720</v>
      </c>
    </row>
    <row r="435" spans="1:1" x14ac:dyDescent="0.75">
      <c r="A435" t="s">
        <v>721</v>
      </c>
    </row>
    <row r="436" spans="1:1" x14ac:dyDescent="0.75">
      <c r="A436" t="s">
        <v>620</v>
      </c>
    </row>
    <row r="437" spans="1:1" x14ac:dyDescent="0.75">
      <c r="A437" t="s">
        <v>621</v>
      </c>
    </row>
    <row r="438" spans="1:1" x14ac:dyDescent="0.75">
      <c r="A438" t="s">
        <v>642</v>
      </c>
    </row>
    <row r="439" spans="1:1" x14ac:dyDescent="0.75">
      <c r="A439" t="s">
        <v>722</v>
      </c>
    </row>
    <row r="440" spans="1:1" x14ac:dyDescent="0.75">
      <c r="A440" t="s">
        <v>596</v>
      </c>
    </row>
    <row r="441" spans="1:1" x14ac:dyDescent="0.75">
      <c r="A441" t="s">
        <v>723</v>
      </c>
    </row>
    <row r="442" spans="1:1" x14ac:dyDescent="0.75">
      <c r="A442" t="s">
        <v>598</v>
      </c>
    </row>
    <row r="443" spans="1:1" x14ac:dyDescent="0.75">
      <c r="A443" t="s">
        <v>599</v>
      </c>
    </row>
    <row r="444" spans="1:1" x14ac:dyDescent="0.75">
      <c r="A444" t="s">
        <v>600</v>
      </c>
    </row>
    <row r="445" spans="1:1" x14ac:dyDescent="0.75">
      <c r="A445" t="s">
        <v>601</v>
      </c>
    </row>
    <row r="446" spans="1:1" x14ac:dyDescent="0.75">
      <c r="A446" t="s">
        <v>602</v>
      </c>
    </row>
    <row r="447" spans="1:1" x14ac:dyDescent="0.75">
      <c r="A447" t="s">
        <v>603</v>
      </c>
    </row>
    <row r="448" spans="1:1" x14ac:dyDescent="0.75">
      <c r="A448" t="s">
        <v>643</v>
      </c>
    </row>
    <row r="449" spans="1:1" x14ac:dyDescent="0.75">
      <c r="A449" t="s">
        <v>650</v>
      </c>
    </row>
    <row r="450" spans="1:1" x14ac:dyDescent="0.75">
      <c r="A450" t="s">
        <v>724</v>
      </c>
    </row>
    <row r="451" spans="1:1" x14ac:dyDescent="0.75">
      <c r="A451" t="s">
        <v>725</v>
      </c>
    </row>
    <row r="452" spans="1:1" x14ac:dyDescent="0.75">
      <c r="A452" s="54" t="s">
        <v>726</v>
      </c>
    </row>
    <row r="453" spans="1:1" x14ac:dyDescent="0.75">
      <c r="A453" t="s">
        <v>727</v>
      </c>
    </row>
    <row r="454" spans="1:1" x14ac:dyDescent="0.75">
      <c r="A454" t="s">
        <v>728</v>
      </c>
    </row>
    <row r="455" spans="1:1" x14ac:dyDescent="0.75">
      <c r="A455" t="s">
        <v>673</v>
      </c>
    </row>
    <row r="456" spans="1:1" x14ac:dyDescent="0.75">
      <c r="A456" t="s">
        <v>729</v>
      </c>
    </row>
    <row r="457" spans="1:1" x14ac:dyDescent="0.75">
      <c r="A457" t="s">
        <v>634</v>
      </c>
    </row>
    <row r="458" spans="1:1" x14ac:dyDescent="0.75">
      <c r="A458" t="s">
        <v>635</v>
      </c>
    </row>
    <row r="459" spans="1:1" x14ac:dyDescent="0.75">
      <c r="A459" t="s">
        <v>636</v>
      </c>
    </row>
    <row r="460" spans="1:1" x14ac:dyDescent="0.75">
      <c r="A460" t="s">
        <v>637</v>
      </c>
    </row>
    <row r="461" spans="1:1" x14ac:dyDescent="0.75">
      <c r="A461" t="s">
        <v>638</v>
      </c>
    </row>
    <row r="462" spans="1:1" x14ac:dyDescent="0.75">
      <c r="A462" t="s">
        <v>639</v>
      </c>
    </row>
    <row r="463" spans="1:1" x14ac:dyDescent="0.75">
      <c r="A463" t="s">
        <v>730</v>
      </c>
    </row>
    <row r="464" spans="1:1" x14ac:dyDescent="0.75">
      <c r="A464" t="s">
        <v>731</v>
      </c>
    </row>
    <row r="465" spans="1:1" x14ac:dyDescent="0.75">
      <c r="A465" t="s">
        <v>620</v>
      </c>
    </row>
    <row r="466" spans="1:1" x14ac:dyDescent="0.75">
      <c r="A466" t="s">
        <v>670</v>
      </c>
    </row>
    <row r="467" spans="1:1" x14ac:dyDescent="0.75">
      <c r="A467" t="s">
        <v>732</v>
      </c>
    </row>
    <row r="468" spans="1:1" x14ac:dyDescent="0.75">
      <c r="A468" t="s">
        <v>595</v>
      </c>
    </row>
    <row r="469" spans="1:1" x14ac:dyDescent="0.75">
      <c r="A469" t="s">
        <v>596</v>
      </c>
    </row>
    <row r="470" spans="1:1" x14ac:dyDescent="0.75">
      <c r="A470" t="s">
        <v>597</v>
      </c>
    </row>
    <row r="471" spans="1:1" x14ac:dyDescent="0.75">
      <c r="A471" t="s">
        <v>598</v>
      </c>
    </row>
    <row r="472" spans="1:1" x14ac:dyDescent="0.75">
      <c r="A472" t="s">
        <v>599</v>
      </c>
    </row>
    <row r="473" spans="1:1" x14ac:dyDescent="0.75">
      <c r="A473" t="s">
        <v>600</v>
      </c>
    </row>
    <row r="474" spans="1:1" x14ac:dyDescent="0.75">
      <c r="A474" t="s">
        <v>601</v>
      </c>
    </row>
    <row r="475" spans="1:1" x14ac:dyDescent="0.75">
      <c r="A475" t="s">
        <v>602</v>
      </c>
    </row>
    <row r="476" spans="1:1" x14ac:dyDescent="0.75">
      <c r="A476" t="s">
        <v>603</v>
      </c>
    </row>
    <row r="477" spans="1:1" x14ac:dyDescent="0.75">
      <c r="A477" t="s">
        <v>665</v>
      </c>
    </row>
    <row r="478" spans="1:1" x14ac:dyDescent="0.75">
      <c r="A478" t="s">
        <v>650</v>
      </c>
    </row>
    <row r="479" spans="1:1" x14ac:dyDescent="0.75">
      <c r="A479" s="54" t="s">
        <v>724</v>
      </c>
    </row>
    <row r="480" spans="1:1" x14ac:dyDescent="0.75">
      <c r="A480" t="s">
        <v>733</v>
      </c>
    </row>
    <row r="481" spans="1:1" x14ac:dyDescent="0.75">
      <c r="A481" t="s">
        <v>734</v>
      </c>
    </row>
    <row r="482" spans="1:1" x14ac:dyDescent="0.75">
      <c r="A482" t="s">
        <v>735</v>
      </c>
    </row>
    <row r="483" spans="1:1" x14ac:dyDescent="0.75">
      <c r="A483" t="s">
        <v>630</v>
      </c>
    </row>
    <row r="484" spans="1:1" x14ac:dyDescent="0.75">
      <c r="A484" t="s">
        <v>644</v>
      </c>
    </row>
    <row r="485" spans="1:1" x14ac:dyDescent="0.75">
      <c r="A485" t="s">
        <v>736</v>
      </c>
    </row>
    <row r="486" spans="1:1" x14ac:dyDescent="0.75">
      <c r="A486" t="s">
        <v>682</v>
      </c>
    </row>
    <row r="487" spans="1:1" x14ac:dyDescent="0.75">
      <c r="A487" t="s">
        <v>634</v>
      </c>
    </row>
    <row r="488" spans="1:1" x14ac:dyDescent="0.75">
      <c r="A488" t="s">
        <v>635</v>
      </c>
    </row>
    <row r="489" spans="1:1" x14ac:dyDescent="0.75">
      <c r="A489" t="s">
        <v>636</v>
      </c>
    </row>
    <row r="490" spans="1:1" x14ac:dyDescent="0.75">
      <c r="A490" t="s">
        <v>637</v>
      </c>
    </row>
    <row r="491" spans="1:1" x14ac:dyDescent="0.75">
      <c r="A491" t="s">
        <v>638</v>
      </c>
    </row>
    <row r="492" spans="1:1" x14ac:dyDescent="0.75">
      <c r="A492" t="s">
        <v>639</v>
      </c>
    </row>
    <row r="493" spans="1:1" x14ac:dyDescent="0.75">
      <c r="A493" t="s">
        <v>737</v>
      </c>
    </row>
    <row r="494" spans="1:1" x14ac:dyDescent="0.75">
      <c r="A494" t="s">
        <v>738</v>
      </c>
    </row>
    <row r="495" spans="1:1" x14ac:dyDescent="0.75">
      <c r="A495" t="s">
        <v>620</v>
      </c>
    </row>
    <row r="496" spans="1:1" x14ac:dyDescent="0.75">
      <c r="A496" t="s">
        <v>670</v>
      </c>
    </row>
    <row r="497" spans="1:1" x14ac:dyDescent="0.75">
      <c r="A497" t="s">
        <v>732</v>
      </c>
    </row>
    <row r="498" spans="1:1" x14ac:dyDescent="0.75">
      <c r="A498" t="s">
        <v>595</v>
      </c>
    </row>
    <row r="499" spans="1:1" x14ac:dyDescent="0.75">
      <c r="A499" t="s">
        <v>596</v>
      </c>
    </row>
    <row r="500" spans="1:1" x14ac:dyDescent="0.75">
      <c r="A500" t="s">
        <v>597</v>
      </c>
    </row>
    <row r="501" spans="1:1" x14ac:dyDescent="0.75">
      <c r="A501" t="s">
        <v>598</v>
      </c>
    </row>
    <row r="502" spans="1:1" x14ac:dyDescent="0.75">
      <c r="A502" t="s">
        <v>599</v>
      </c>
    </row>
    <row r="503" spans="1:1" x14ac:dyDescent="0.75">
      <c r="A503" t="s">
        <v>600</v>
      </c>
    </row>
    <row r="504" spans="1:1" x14ac:dyDescent="0.75">
      <c r="A504" s="54" t="s">
        <v>601</v>
      </c>
    </row>
    <row r="505" spans="1:1" x14ac:dyDescent="0.75">
      <c r="A505" t="s">
        <v>602</v>
      </c>
    </row>
    <row r="506" spans="1:1" x14ac:dyDescent="0.75">
      <c r="A506" t="s">
        <v>603</v>
      </c>
    </row>
    <row r="507" spans="1:1" x14ac:dyDescent="0.75">
      <c r="A507" t="s">
        <v>665</v>
      </c>
    </row>
    <row r="508" spans="1:1" x14ac:dyDescent="0.75">
      <c r="A508" t="s">
        <v>650</v>
      </c>
    </row>
    <row r="509" spans="1:1" x14ac:dyDescent="0.75">
      <c r="A509" t="s">
        <v>724</v>
      </c>
    </row>
    <row r="510" spans="1:1" x14ac:dyDescent="0.75">
      <c r="A510" t="s">
        <v>733</v>
      </c>
    </row>
    <row r="511" spans="1:1" x14ac:dyDescent="0.75">
      <c r="A511" t="s">
        <v>734</v>
      </c>
    </row>
    <row r="512" spans="1:1" x14ac:dyDescent="0.75">
      <c r="A512" t="s">
        <v>735</v>
      </c>
    </row>
    <row r="513" spans="1:1" x14ac:dyDescent="0.75">
      <c r="A513" t="s">
        <v>630</v>
      </c>
    </row>
    <row r="514" spans="1:1" x14ac:dyDescent="0.75">
      <c r="A514" t="s">
        <v>644</v>
      </c>
    </row>
    <row r="515" spans="1:1" x14ac:dyDescent="0.75">
      <c r="A515" t="s">
        <v>736</v>
      </c>
    </row>
    <row r="516" spans="1:1" x14ac:dyDescent="0.75">
      <c r="A516" t="s">
        <v>682</v>
      </c>
    </row>
    <row r="517" spans="1:1" x14ac:dyDescent="0.75">
      <c r="A517" t="s">
        <v>634</v>
      </c>
    </row>
    <row r="518" spans="1:1" x14ac:dyDescent="0.75">
      <c r="A518" t="s">
        <v>635</v>
      </c>
    </row>
    <row r="519" spans="1:1" x14ac:dyDescent="0.75">
      <c r="A519" t="s">
        <v>636</v>
      </c>
    </row>
    <row r="520" spans="1:1" x14ac:dyDescent="0.75">
      <c r="A520" t="s">
        <v>637</v>
      </c>
    </row>
    <row r="521" spans="1:1" x14ac:dyDescent="0.75">
      <c r="A521" t="s">
        <v>638</v>
      </c>
    </row>
    <row r="522" spans="1:1" x14ac:dyDescent="0.75">
      <c r="A522" t="s">
        <v>639</v>
      </c>
    </row>
    <row r="523" spans="1:1" x14ac:dyDescent="0.75">
      <c r="A523" t="s">
        <v>739</v>
      </c>
    </row>
    <row r="524" spans="1:1" x14ac:dyDescent="0.75">
      <c r="A524" t="s">
        <v>740</v>
      </c>
    </row>
    <row r="525" spans="1:1" x14ac:dyDescent="0.75">
      <c r="A525" t="s">
        <v>678</v>
      </c>
    </row>
    <row r="526" spans="1:1" x14ac:dyDescent="0.75">
      <c r="A526" t="s">
        <v>593</v>
      </c>
    </row>
    <row r="527" spans="1:1" x14ac:dyDescent="0.75">
      <c r="A527" s="54" t="s">
        <v>594</v>
      </c>
    </row>
    <row r="528" spans="1:1" x14ac:dyDescent="0.75">
      <c r="A528" t="s">
        <v>722</v>
      </c>
    </row>
    <row r="529" spans="1:1" x14ac:dyDescent="0.75">
      <c r="A529" t="s">
        <v>596</v>
      </c>
    </row>
    <row r="530" spans="1:1" x14ac:dyDescent="0.75">
      <c r="A530" t="s">
        <v>597</v>
      </c>
    </row>
    <row r="531" spans="1:1" x14ac:dyDescent="0.75">
      <c r="A531" t="s">
        <v>598</v>
      </c>
    </row>
    <row r="532" spans="1:1" x14ac:dyDescent="0.75">
      <c r="A532" t="s">
        <v>741</v>
      </c>
    </row>
    <row r="533" spans="1:1" x14ac:dyDescent="0.75">
      <c r="A533" t="s">
        <v>600</v>
      </c>
    </row>
    <row r="534" spans="1:1" x14ac:dyDescent="0.75">
      <c r="A534" t="s">
        <v>711</v>
      </c>
    </row>
    <row r="535" spans="1:1" x14ac:dyDescent="0.75">
      <c r="A535" t="s">
        <v>602</v>
      </c>
    </row>
    <row r="536" spans="1:1" x14ac:dyDescent="0.75">
      <c r="A536" t="s">
        <v>603</v>
      </c>
    </row>
    <row r="537" spans="1:1" x14ac:dyDescent="0.75">
      <c r="A537" t="s">
        <v>604</v>
      </c>
    </row>
    <row r="538" spans="1:1" x14ac:dyDescent="0.75">
      <c r="A538" t="s">
        <v>742</v>
      </c>
    </row>
    <row r="539" spans="1:1" x14ac:dyDescent="0.75">
      <c r="A539" t="s">
        <v>743</v>
      </c>
    </row>
    <row r="540" spans="1:1" x14ac:dyDescent="0.75">
      <c r="A540" t="s">
        <v>744</v>
      </c>
    </row>
    <row r="541" spans="1:1" x14ac:dyDescent="0.75">
      <c r="A541" t="s">
        <v>745</v>
      </c>
    </row>
    <row r="542" spans="1:1" x14ac:dyDescent="0.75">
      <c r="A542" t="s">
        <v>746</v>
      </c>
    </row>
    <row r="543" spans="1:1" x14ac:dyDescent="0.75">
      <c r="A543" t="s">
        <v>747</v>
      </c>
    </row>
    <row r="544" spans="1:1" x14ac:dyDescent="0.75">
      <c r="A544" t="s">
        <v>629</v>
      </c>
    </row>
    <row r="545" spans="1:1" x14ac:dyDescent="0.75">
      <c r="A545" t="s">
        <v>748</v>
      </c>
    </row>
    <row r="546" spans="1:1" x14ac:dyDescent="0.75">
      <c r="A546" t="s">
        <v>749</v>
      </c>
    </row>
    <row r="547" spans="1:1" x14ac:dyDescent="0.75">
      <c r="A547" t="s">
        <v>750</v>
      </c>
    </row>
    <row r="548" spans="1:1" x14ac:dyDescent="0.75">
      <c r="A548" s="54" t="s">
        <v>729</v>
      </c>
    </row>
    <row r="549" spans="1:1" x14ac:dyDescent="0.75">
      <c r="A549" t="s">
        <v>751</v>
      </c>
    </row>
    <row r="550" spans="1:1" x14ac:dyDescent="0.75">
      <c r="A550" t="s">
        <v>752</v>
      </c>
    </row>
    <row r="551" spans="1:1" x14ac:dyDescent="0.75">
      <c r="A551" t="s">
        <v>753</v>
      </c>
    </row>
    <row r="552" spans="1:1" x14ac:dyDescent="0.75">
      <c r="A552" t="s">
        <v>754</v>
      </c>
    </row>
    <row r="553" spans="1:1" x14ac:dyDescent="0.75">
      <c r="A553" t="s">
        <v>755</v>
      </c>
    </row>
    <row r="554" spans="1:1" x14ac:dyDescent="0.75">
      <c r="A554" t="s">
        <v>756</v>
      </c>
    </row>
    <row r="555" spans="1:1" x14ac:dyDescent="0.75">
      <c r="A555" t="s">
        <v>757</v>
      </c>
    </row>
    <row r="556" spans="1:1" x14ac:dyDescent="0.75">
      <c r="A556" t="s">
        <v>758</v>
      </c>
    </row>
    <row r="557" spans="1:1" x14ac:dyDescent="0.75">
      <c r="A557" t="s">
        <v>678</v>
      </c>
    </row>
    <row r="558" spans="1:1" x14ac:dyDescent="0.75">
      <c r="A558" t="s">
        <v>621</v>
      </c>
    </row>
    <row r="559" spans="1:1" x14ac:dyDescent="0.75">
      <c r="A559" t="s">
        <v>649</v>
      </c>
    </row>
    <row r="560" spans="1:1" x14ac:dyDescent="0.75">
      <c r="A560" t="s">
        <v>595</v>
      </c>
    </row>
    <row r="561" spans="1:1" x14ac:dyDescent="0.75">
      <c r="A561" t="s">
        <v>596</v>
      </c>
    </row>
    <row r="562" spans="1:1" x14ac:dyDescent="0.75">
      <c r="A562" t="s">
        <v>597</v>
      </c>
    </row>
    <row r="563" spans="1:1" x14ac:dyDescent="0.75">
      <c r="A563" t="s">
        <v>598</v>
      </c>
    </row>
    <row r="564" spans="1:1" x14ac:dyDescent="0.75">
      <c r="A564" t="s">
        <v>599</v>
      </c>
    </row>
    <row r="565" spans="1:1" x14ac:dyDescent="0.75">
      <c r="A565" t="s">
        <v>600</v>
      </c>
    </row>
    <row r="566" spans="1:1" x14ac:dyDescent="0.75">
      <c r="A566" t="s">
        <v>601</v>
      </c>
    </row>
    <row r="567" spans="1:1" x14ac:dyDescent="0.75">
      <c r="A567" t="s">
        <v>602</v>
      </c>
    </row>
    <row r="568" spans="1:1" x14ac:dyDescent="0.75">
      <c r="A568" t="s">
        <v>603</v>
      </c>
    </row>
    <row r="569" spans="1:1" x14ac:dyDescent="0.75">
      <c r="A569" t="s">
        <v>665</v>
      </c>
    </row>
    <row r="570" spans="1:1" x14ac:dyDescent="0.75">
      <c r="A570" t="s">
        <v>624</v>
      </c>
    </row>
    <row r="571" spans="1:1" x14ac:dyDescent="0.75">
      <c r="A571" t="s">
        <v>696</v>
      </c>
    </row>
    <row r="572" spans="1:1" x14ac:dyDescent="0.75">
      <c r="A572" t="s">
        <v>697</v>
      </c>
    </row>
    <row r="573" spans="1:1" x14ac:dyDescent="0.75">
      <c r="A573" t="s">
        <v>626</v>
      </c>
    </row>
    <row r="574" spans="1:1" x14ac:dyDescent="0.75">
      <c r="A574" t="s">
        <v>627</v>
      </c>
    </row>
    <row r="575" spans="1:1" x14ac:dyDescent="0.75">
      <c r="A575" t="s">
        <v>628</v>
      </c>
    </row>
    <row r="576" spans="1:1" x14ac:dyDescent="0.75">
      <c r="A576" t="s">
        <v>630</v>
      </c>
    </row>
    <row r="577" spans="1:1" x14ac:dyDescent="0.75">
      <c r="A577" s="54" t="s">
        <v>749</v>
      </c>
    </row>
    <row r="578" spans="1:1" x14ac:dyDescent="0.75">
      <c r="A578" t="s">
        <v>759</v>
      </c>
    </row>
    <row r="579" spans="1:1" x14ac:dyDescent="0.75">
      <c r="A579" t="s">
        <v>634</v>
      </c>
    </row>
    <row r="580" spans="1:1" x14ac:dyDescent="0.75">
      <c r="A580" t="s">
        <v>635</v>
      </c>
    </row>
    <row r="581" spans="1:1" x14ac:dyDescent="0.75">
      <c r="A581" t="s">
        <v>636</v>
      </c>
    </row>
    <row r="582" spans="1:1" x14ac:dyDescent="0.75">
      <c r="A582" t="s">
        <v>637</v>
      </c>
    </row>
    <row r="583" spans="1:1" x14ac:dyDescent="0.75">
      <c r="A583" t="s">
        <v>638</v>
      </c>
    </row>
    <row r="584" spans="1:1" x14ac:dyDescent="0.75">
      <c r="A584" t="s">
        <v>639</v>
      </c>
    </row>
    <row r="585" spans="1:1" x14ac:dyDescent="0.75">
      <c r="A585" t="s">
        <v>760</v>
      </c>
    </row>
    <row r="586" spans="1:1" x14ac:dyDescent="0.75">
      <c r="A586" t="s">
        <v>761</v>
      </c>
    </row>
    <row r="587" spans="1:1" x14ac:dyDescent="0.75">
      <c r="A587" t="s">
        <v>762</v>
      </c>
    </row>
    <row r="588" spans="1:1" x14ac:dyDescent="0.75">
      <c r="A588" t="s">
        <v>670</v>
      </c>
    </row>
    <row r="589" spans="1:1" x14ac:dyDescent="0.75">
      <c r="A589" t="s">
        <v>594</v>
      </c>
    </row>
    <row r="590" spans="1:1" x14ac:dyDescent="0.75">
      <c r="A590" t="s">
        <v>595</v>
      </c>
    </row>
    <row r="591" spans="1:1" x14ac:dyDescent="0.75">
      <c r="A591" t="s">
        <v>596</v>
      </c>
    </row>
    <row r="592" spans="1:1" x14ac:dyDescent="0.75">
      <c r="A592" t="s">
        <v>597</v>
      </c>
    </row>
    <row r="593" spans="1:1" x14ac:dyDescent="0.75">
      <c r="A593" t="s">
        <v>598</v>
      </c>
    </row>
    <row r="594" spans="1:1" x14ac:dyDescent="0.75">
      <c r="A594" t="s">
        <v>599</v>
      </c>
    </row>
    <row r="595" spans="1:1" x14ac:dyDescent="0.75">
      <c r="A595" t="s">
        <v>600</v>
      </c>
    </row>
    <row r="596" spans="1:1" x14ac:dyDescent="0.75">
      <c r="A596" t="s">
        <v>601</v>
      </c>
    </row>
    <row r="597" spans="1:1" x14ac:dyDescent="0.75">
      <c r="A597" t="s">
        <v>602</v>
      </c>
    </row>
    <row r="598" spans="1:1" x14ac:dyDescent="0.75">
      <c r="A598" t="s">
        <v>603</v>
      </c>
    </row>
    <row r="599" spans="1:1" x14ac:dyDescent="0.75">
      <c r="A599" t="s">
        <v>665</v>
      </c>
    </row>
    <row r="600" spans="1:1" x14ac:dyDescent="0.75">
      <c r="A600" t="s">
        <v>742</v>
      </c>
    </row>
    <row r="601" spans="1:1" x14ac:dyDescent="0.75">
      <c r="A601" s="54" t="s">
        <v>650</v>
      </c>
    </row>
    <row r="602" spans="1:1" x14ac:dyDescent="0.75">
      <c r="A602" t="s">
        <v>744</v>
      </c>
    </row>
    <row r="603" spans="1:1" x14ac:dyDescent="0.75">
      <c r="A603" t="s">
        <v>763</v>
      </c>
    </row>
    <row r="604" spans="1:1" x14ac:dyDescent="0.75">
      <c r="A604" t="s">
        <v>725</v>
      </c>
    </row>
    <row r="605" spans="1:1" x14ac:dyDescent="0.75">
      <c r="A605" t="s">
        <v>726</v>
      </c>
    </row>
    <row r="606" spans="1:1" x14ac:dyDescent="0.75">
      <c r="A606" t="s">
        <v>727</v>
      </c>
    </row>
    <row r="607" spans="1:1" x14ac:dyDescent="0.75">
      <c r="A607" t="s">
        <v>714</v>
      </c>
    </row>
    <row r="608" spans="1:1" x14ac:dyDescent="0.75">
      <c r="A608" t="s">
        <v>715</v>
      </c>
    </row>
    <row r="609" spans="1:1" x14ac:dyDescent="0.75">
      <c r="A609" t="s">
        <v>716</v>
      </c>
    </row>
    <row r="610" spans="1:1" x14ac:dyDescent="0.75">
      <c r="A610" t="s">
        <v>717</v>
      </c>
    </row>
    <row r="611" spans="1:1" x14ac:dyDescent="0.75">
      <c r="A611" t="s">
        <v>718</v>
      </c>
    </row>
    <row r="612" spans="1:1" x14ac:dyDescent="0.75">
      <c r="A612" t="s">
        <v>719</v>
      </c>
    </row>
    <row r="613" spans="1:1" x14ac:dyDescent="0.75">
      <c r="A613" t="s">
        <v>764</v>
      </c>
    </row>
    <row r="614" spans="1:1" x14ac:dyDescent="0.75">
      <c r="A614" t="s">
        <v>765</v>
      </c>
    </row>
    <row r="615" spans="1:1" x14ac:dyDescent="0.75">
      <c r="A615" t="s">
        <v>620</v>
      </c>
    </row>
    <row r="616" spans="1:1" x14ac:dyDescent="0.75">
      <c r="A616" t="s">
        <v>663</v>
      </c>
    </row>
    <row r="617" spans="1:1" x14ac:dyDescent="0.75">
      <c r="A617" t="s">
        <v>642</v>
      </c>
    </row>
    <row r="618" spans="1:1" x14ac:dyDescent="0.75">
      <c r="A618" t="s">
        <v>766</v>
      </c>
    </row>
    <row r="619" spans="1:1" x14ac:dyDescent="0.75">
      <c r="A619" t="s">
        <v>596</v>
      </c>
    </row>
    <row r="620" spans="1:1" x14ac:dyDescent="0.75">
      <c r="A620" t="s">
        <v>767</v>
      </c>
    </row>
    <row r="621" spans="1:1" x14ac:dyDescent="0.75">
      <c r="A621" t="s">
        <v>598</v>
      </c>
    </row>
    <row r="622" spans="1:1" x14ac:dyDescent="0.75">
      <c r="A622" t="s">
        <v>599</v>
      </c>
    </row>
    <row r="623" spans="1:1" x14ac:dyDescent="0.75">
      <c r="A623" t="s">
        <v>600</v>
      </c>
    </row>
    <row r="624" spans="1:1" x14ac:dyDescent="0.75">
      <c r="A624" t="s">
        <v>601</v>
      </c>
    </row>
    <row r="625" spans="1:1" x14ac:dyDescent="0.75">
      <c r="A625" s="54" t="s">
        <v>602</v>
      </c>
    </row>
    <row r="626" spans="1:1" x14ac:dyDescent="0.75">
      <c r="A626" t="s">
        <v>603</v>
      </c>
    </row>
    <row r="627" spans="1:1" x14ac:dyDescent="0.75">
      <c r="A627" t="s">
        <v>623</v>
      </c>
    </row>
    <row r="628" spans="1:1" x14ac:dyDescent="0.75">
      <c r="A628" t="s">
        <v>624</v>
      </c>
    </row>
    <row r="629" spans="1:1" x14ac:dyDescent="0.75">
      <c r="A629" t="s">
        <v>625</v>
      </c>
    </row>
    <row r="630" spans="1:1" x14ac:dyDescent="0.75">
      <c r="A630" t="s">
        <v>768</v>
      </c>
    </row>
    <row r="631" spans="1:1" x14ac:dyDescent="0.75">
      <c r="A631" t="s">
        <v>769</v>
      </c>
    </row>
    <row r="632" spans="1:1" x14ac:dyDescent="0.75">
      <c r="A632" t="s">
        <v>770</v>
      </c>
    </row>
    <row r="633" spans="1:1" x14ac:dyDescent="0.75">
      <c r="A633" t="s">
        <v>714</v>
      </c>
    </row>
    <row r="634" spans="1:1" x14ac:dyDescent="0.75">
      <c r="A634" t="s">
        <v>715</v>
      </c>
    </row>
    <row r="635" spans="1:1" x14ac:dyDescent="0.75">
      <c r="A635" t="s">
        <v>716</v>
      </c>
    </row>
    <row r="636" spans="1:1" x14ac:dyDescent="0.75">
      <c r="A636" t="s">
        <v>717</v>
      </c>
    </row>
    <row r="637" spans="1:1" x14ac:dyDescent="0.75">
      <c r="A637" t="s">
        <v>718</v>
      </c>
    </row>
    <row r="638" spans="1:1" x14ac:dyDescent="0.75">
      <c r="A638" t="s">
        <v>719</v>
      </c>
    </row>
    <row r="639" spans="1:1" x14ac:dyDescent="0.75">
      <c r="A639" t="s">
        <v>771</v>
      </c>
    </row>
    <row r="640" spans="1:1" x14ac:dyDescent="0.75">
      <c r="A640" t="s">
        <v>772</v>
      </c>
    </row>
    <row r="641" spans="1:1" x14ac:dyDescent="0.75">
      <c r="A641" t="s">
        <v>620</v>
      </c>
    </row>
    <row r="642" spans="1:1" x14ac:dyDescent="0.75">
      <c r="A642" t="s">
        <v>663</v>
      </c>
    </row>
    <row r="643" spans="1:1" x14ac:dyDescent="0.75">
      <c r="A643" t="s">
        <v>642</v>
      </c>
    </row>
    <row r="644" spans="1:1" x14ac:dyDescent="0.75">
      <c r="A644" t="s">
        <v>595</v>
      </c>
    </row>
    <row r="645" spans="1:1" x14ac:dyDescent="0.75">
      <c r="A645" t="s">
        <v>596</v>
      </c>
    </row>
    <row r="646" spans="1:1" x14ac:dyDescent="0.75">
      <c r="A646" t="s">
        <v>597</v>
      </c>
    </row>
    <row r="647" spans="1:1" x14ac:dyDescent="0.75">
      <c r="A647" s="54" t="s">
        <v>598</v>
      </c>
    </row>
    <row r="648" spans="1:1" x14ac:dyDescent="0.75">
      <c r="A648" t="s">
        <v>599</v>
      </c>
    </row>
    <row r="649" spans="1:1" x14ac:dyDescent="0.75">
      <c r="A649" t="s">
        <v>600</v>
      </c>
    </row>
    <row r="650" spans="1:1" x14ac:dyDescent="0.75">
      <c r="A650" t="s">
        <v>601</v>
      </c>
    </row>
    <row r="651" spans="1:1" x14ac:dyDescent="0.75">
      <c r="A651" t="s">
        <v>602</v>
      </c>
    </row>
    <row r="652" spans="1:1" x14ac:dyDescent="0.75">
      <c r="A652" t="s">
        <v>603</v>
      </c>
    </row>
    <row r="653" spans="1:1" x14ac:dyDescent="0.75">
      <c r="A653" t="s">
        <v>604</v>
      </c>
    </row>
    <row r="654" spans="1:1" x14ac:dyDescent="0.75">
      <c r="A654" t="s">
        <v>624</v>
      </c>
    </row>
    <row r="655" spans="1:1" x14ac:dyDescent="0.75">
      <c r="A655" t="s">
        <v>625</v>
      </c>
    </row>
    <row r="656" spans="1:1" x14ac:dyDescent="0.75">
      <c r="A656" t="s">
        <v>725</v>
      </c>
    </row>
    <row r="657" spans="1:1" x14ac:dyDescent="0.75">
      <c r="A657" t="s">
        <v>726</v>
      </c>
    </row>
    <row r="658" spans="1:1" x14ac:dyDescent="0.75">
      <c r="A658" t="s">
        <v>727</v>
      </c>
    </row>
    <row r="659" spans="1:1" x14ac:dyDescent="0.75">
      <c r="A659" t="s">
        <v>773</v>
      </c>
    </row>
    <row r="660" spans="1:1" x14ac:dyDescent="0.75">
      <c r="A660" t="s">
        <v>774</v>
      </c>
    </row>
    <row r="661" spans="1:1" x14ac:dyDescent="0.75">
      <c r="A661" t="s">
        <v>714</v>
      </c>
    </row>
    <row r="662" spans="1:1" x14ac:dyDescent="0.75">
      <c r="A662" t="s">
        <v>715</v>
      </c>
    </row>
    <row r="663" spans="1:1" x14ac:dyDescent="0.75">
      <c r="A663" t="s">
        <v>716</v>
      </c>
    </row>
    <row r="664" spans="1:1" x14ac:dyDescent="0.75">
      <c r="A664" t="s">
        <v>717</v>
      </c>
    </row>
    <row r="665" spans="1:1" x14ac:dyDescent="0.75">
      <c r="A665" t="s">
        <v>718</v>
      </c>
    </row>
    <row r="666" spans="1:1" x14ac:dyDescent="0.75">
      <c r="A666" t="s">
        <v>719</v>
      </c>
    </row>
    <row r="667" spans="1:1" x14ac:dyDescent="0.75">
      <c r="A667" t="s">
        <v>775</v>
      </c>
    </row>
    <row r="668" spans="1:1" x14ac:dyDescent="0.75">
      <c r="A668" t="s">
        <v>776</v>
      </c>
    </row>
    <row r="669" spans="1:1" x14ac:dyDescent="0.75">
      <c r="A669" t="s">
        <v>620</v>
      </c>
    </row>
    <row r="670" spans="1:1" x14ac:dyDescent="0.75">
      <c r="A670" t="s">
        <v>670</v>
      </c>
    </row>
    <row r="671" spans="1:1" x14ac:dyDescent="0.75">
      <c r="A671" t="s">
        <v>655</v>
      </c>
    </row>
    <row r="672" spans="1:1" x14ac:dyDescent="0.75">
      <c r="A672" s="54" t="s">
        <v>595</v>
      </c>
    </row>
    <row r="673" spans="1:1" x14ac:dyDescent="0.75">
      <c r="A673" t="s">
        <v>596</v>
      </c>
    </row>
    <row r="674" spans="1:1" x14ac:dyDescent="0.75">
      <c r="A674" t="s">
        <v>597</v>
      </c>
    </row>
    <row r="675" spans="1:1" x14ac:dyDescent="0.75">
      <c r="A675" t="s">
        <v>709</v>
      </c>
    </row>
    <row r="676" spans="1:1" x14ac:dyDescent="0.75">
      <c r="A676" t="s">
        <v>599</v>
      </c>
    </row>
    <row r="677" spans="1:1" x14ac:dyDescent="0.75">
      <c r="A677" t="s">
        <v>600</v>
      </c>
    </row>
    <row r="678" spans="1:1" x14ac:dyDescent="0.75">
      <c r="A678" t="s">
        <v>601</v>
      </c>
    </row>
    <row r="679" spans="1:1" x14ac:dyDescent="0.75">
      <c r="A679" t="s">
        <v>602</v>
      </c>
    </row>
    <row r="680" spans="1:1" x14ac:dyDescent="0.75">
      <c r="A680" t="s">
        <v>603</v>
      </c>
    </row>
    <row r="681" spans="1:1" x14ac:dyDescent="0.75">
      <c r="A681" t="s">
        <v>643</v>
      </c>
    </row>
    <row r="682" spans="1:1" x14ac:dyDescent="0.75">
      <c r="A682" t="s">
        <v>693</v>
      </c>
    </row>
    <row r="683" spans="1:1" x14ac:dyDescent="0.75">
      <c r="A683" t="s">
        <v>694</v>
      </c>
    </row>
    <row r="684" spans="1:1" x14ac:dyDescent="0.75">
      <c r="A684" t="s">
        <v>624</v>
      </c>
    </row>
    <row r="685" spans="1:1" x14ac:dyDescent="0.75">
      <c r="A685" t="s">
        <v>696</v>
      </c>
    </row>
    <row r="686" spans="1:1" x14ac:dyDescent="0.75">
      <c r="A686" t="s">
        <v>777</v>
      </c>
    </row>
    <row r="687" spans="1:1" x14ac:dyDescent="0.75">
      <c r="A687" t="s">
        <v>778</v>
      </c>
    </row>
    <row r="688" spans="1:1" x14ac:dyDescent="0.75">
      <c r="A688" t="s">
        <v>699</v>
      </c>
    </row>
    <row r="689" spans="1:1" x14ac:dyDescent="0.75">
      <c r="A689" t="s">
        <v>700</v>
      </c>
    </row>
    <row r="690" spans="1:1" x14ac:dyDescent="0.75">
      <c r="A690" t="s">
        <v>629</v>
      </c>
    </row>
    <row r="691" spans="1:1" x14ac:dyDescent="0.75">
      <c r="A691" t="s">
        <v>652</v>
      </c>
    </row>
    <row r="692" spans="1:1" x14ac:dyDescent="0.75">
      <c r="A692" t="s">
        <v>658</v>
      </c>
    </row>
    <row r="693" spans="1:1" x14ac:dyDescent="0.75">
      <c r="A693" t="s">
        <v>779</v>
      </c>
    </row>
    <row r="694" spans="1:1" x14ac:dyDescent="0.75">
      <c r="A694" s="54" t="s">
        <v>729</v>
      </c>
    </row>
    <row r="695" spans="1:1" x14ac:dyDescent="0.75">
      <c r="A695" t="s">
        <v>714</v>
      </c>
    </row>
    <row r="696" spans="1:1" x14ac:dyDescent="0.75">
      <c r="A696" t="s">
        <v>715</v>
      </c>
    </row>
    <row r="697" spans="1:1" x14ac:dyDescent="0.75">
      <c r="A697" t="s">
        <v>716</v>
      </c>
    </row>
    <row r="698" spans="1:1" x14ac:dyDescent="0.75">
      <c r="A698" t="s">
        <v>717</v>
      </c>
    </row>
    <row r="699" spans="1:1" x14ac:dyDescent="0.75">
      <c r="A699" t="s">
        <v>718</v>
      </c>
    </row>
    <row r="700" spans="1:1" x14ac:dyDescent="0.75">
      <c r="A700" t="s">
        <v>719</v>
      </c>
    </row>
    <row r="701" spans="1:1" x14ac:dyDescent="0.75">
      <c r="A701" t="s">
        <v>780</v>
      </c>
    </row>
    <row r="702" spans="1:1" x14ac:dyDescent="0.75">
      <c r="A702" t="s">
        <v>781</v>
      </c>
    </row>
    <row r="703" spans="1:1" x14ac:dyDescent="0.75">
      <c r="A703" t="s">
        <v>620</v>
      </c>
    </row>
    <row r="704" spans="1:1" x14ac:dyDescent="0.75">
      <c r="A704" t="s">
        <v>621</v>
      </c>
    </row>
    <row r="705" spans="1:1" x14ac:dyDescent="0.75">
      <c r="A705" t="s">
        <v>664</v>
      </c>
    </row>
    <row r="706" spans="1:1" x14ac:dyDescent="0.75">
      <c r="A706" t="s">
        <v>722</v>
      </c>
    </row>
    <row r="707" spans="1:1" x14ac:dyDescent="0.75">
      <c r="A707" t="s">
        <v>707</v>
      </c>
    </row>
    <row r="708" spans="1:1" x14ac:dyDescent="0.75">
      <c r="A708" t="s">
        <v>782</v>
      </c>
    </row>
    <row r="709" spans="1:1" x14ac:dyDescent="0.75">
      <c r="A709" t="s">
        <v>598</v>
      </c>
    </row>
    <row r="710" spans="1:1" x14ac:dyDescent="0.75">
      <c r="A710" t="s">
        <v>599</v>
      </c>
    </row>
    <row r="711" spans="1:1" x14ac:dyDescent="0.75">
      <c r="A711" t="s">
        <v>600</v>
      </c>
    </row>
    <row r="712" spans="1:1" x14ac:dyDescent="0.75">
      <c r="A712" t="s">
        <v>601</v>
      </c>
    </row>
    <row r="713" spans="1:1" x14ac:dyDescent="0.75">
      <c r="A713" t="s">
        <v>602</v>
      </c>
    </row>
    <row r="714" spans="1:1" x14ac:dyDescent="0.75">
      <c r="A714" t="s">
        <v>603</v>
      </c>
    </row>
    <row r="715" spans="1:1" x14ac:dyDescent="0.75">
      <c r="A715" t="s">
        <v>643</v>
      </c>
    </row>
    <row r="716" spans="1:1" x14ac:dyDescent="0.75">
      <c r="A716" s="54" t="s">
        <v>650</v>
      </c>
    </row>
    <row r="717" spans="1:1" x14ac:dyDescent="0.75">
      <c r="A717" t="s">
        <v>724</v>
      </c>
    </row>
    <row r="718" spans="1:1" x14ac:dyDescent="0.75">
      <c r="A718" t="s">
        <v>783</v>
      </c>
    </row>
    <row r="719" spans="1:1" x14ac:dyDescent="0.75">
      <c r="A719" t="s">
        <v>784</v>
      </c>
    </row>
    <row r="720" spans="1:1" x14ac:dyDescent="0.75">
      <c r="A720" t="s">
        <v>770</v>
      </c>
    </row>
    <row r="721" spans="1:1" x14ac:dyDescent="0.75">
      <c r="A721" t="s">
        <v>785</v>
      </c>
    </row>
    <row r="722" spans="1:1" x14ac:dyDescent="0.75">
      <c r="A722" t="s">
        <v>673</v>
      </c>
    </row>
    <row r="723" spans="1:1" x14ac:dyDescent="0.75">
      <c r="A723" t="s">
        <v>667</v>
      </c>
    </row>
    <row r="724" spans="1:1" x14ac:dyDescent="0.75">
      <c r="A724" t="s">
        <v>714</v>
      </c>
    </row>
    <row r="725" spans="1:1" x14ac:dyDescent="0.75">
      <c r="A725" t="s">
        <v>715</v>
      </c>
    </row>
    <row r="726" spans="1:1" x14ac:dyDescent="0.75">
      <c r="A726" t="s">
        <v>716</v>
      </c>
    </row>
    <row r="727" spans="1:1" x14ac:dyDescent="0.75">
      <c r="A727" t="s">
        <v>717</v>
      </c>
    </row>
    <row r="728" spans="1:1" x14ac:dyDescent="0.75">
      <c r="A728" t="s">
        <v>718</v>
      </c>
    </row>
    <row r="729" spans="1:1" x14ac:dyDescent="0.75">
      <c r="A729" t="s">
        <v>719</v>
      </c>
    </row>
    <row r="730" spans="1:1" x14ac:dyDescent="0.75">
      <c r="A730" t="s">
        <v>786</v>
      </c>
    </row>
    <row r="731" spans="1:1" x14ac:dyDescent="0.75">
      <c r="A731" t="s">
        <v>787</v>
      </c>
    </row>
    <row r="732" spans="1:1" x14ac:dyDescent="0.75">
      <c r="A732" t="s">
        <v>620</v>
      </c>
    </row>
    <row r="733" spans="1:1" x14ac:dyDescent="0.75">
      <c r="A733" t="s">
        <v>679</v>
      </c>
    </row>
    <row r="734" spans="1:1" x14ac:dyDescent="0.75">
      <c r="A734" t="s">
        <v>664</v>
      </c>
    </row>
    <row r="735" spans="1:1" x14ac:dyDescent="0.75">
      <c r="A735" t="s">
        <v>722</v>
      </c>
    </row>
    <row r="736" spans="1:1" x14ac:dyDescent="0.75">
      <c r="A736" t="s">
        <v>596</v>
      </c>
    </row>
    <row r="737" spans="1:1" x14ac:dyDescent="0.75">
      <c r="A737" t="s">
        <v>782</v>
      </c>
    </row>
    <row r="738" spans="1:1" x14ac:dyDescent="0.75">
      <c r="A738" t="s">
        <v>598</v>
      </c>
    </row>
    <row r="739" spans="1:1" x14ac:dyDescent="0.75">
      <c r="A739" t="s">
        <v>599</v>
      </c>
    </row>
    <row r="740" spans="1:1" x14ac:dyDescent="0.75">
      <c r="A740" s="54" t="s">
        <v>600</v>
      </c>
    </row>
    <row r="741" spans="1:1" x14ac:dyDescent="0.75">
      <c r="A741" t="s">
        <v>601</v>
      </c>
    </row>
    <row r="742" spans="1:1" x14ac:dyDescent="0.75">
      <c r="A742" t="s">
        <v>602</v>
      </c>
    </row>
    <row r="743" spans="1:1" x14ac:dyDescent="0.75">
      <c r="A743" t="s">
        <v>603</v>
      </c>
    </row>
    <row r="744" spans="1:1" x14ac:dyDescent="0.75">
      <c r="A744" t="s">
        <v>643</v>
      </c>
    </row>
    <row r="745" spans="1:1" x14ac:dyDescent="0.75">
      <c r="A745" t="s">
        <v>650</v>
      </c>
    </row>
    <row r="746" spans="1:1" x14ac:dyDescent="0.75">
      <c r="A746" t="s">
        <v>724</v>
      </c>
    </row>
    <row r="747" spans="1:1" x14ac:dyDescent="0.75">
      <c r="A747" t="s">
        <v>783</v>
      </c>
    </row>
    <row r="748" spans="1:1" x14ac:dyDescent="0.75">
      <c r="A748" t="s">
        <v>784</v>
      </c>
    </row>
    <row r="749" spans="1:1" x14ac:dyDescent="0.75">
      <c r="A749" t="s">
        <v>770</v>
      </c>
    </row>
    <row r="750" spans="1:1" x14ac:dyDescent="0.75">
      <c r="A750" t="s">
        <v>788</v>
      </c>
    </row>
    <row r="751" spans="1:1" x14ac:dyDescent="0.75">
      <c r="A751" t="s">
        <v>673</v>
      </c>
    </row>
    <row r="752" spans="1:1" x14ac:dyDescent="0.75">
      <c r="A752" t="s">
        <v>789</v>
      </c>
    </row>
    <row r="753" spans="1:1" x14ac:dyDescent="0.75">
      <c r="A753" t="s">
        <v>714</v>
      </c>
    </row>
    <row r="754" spans="1:1" x14ac:dyDescent="0.75">
      <c r="A754" t="s">
        <v>715</v>
      </c>
    </row>
    <row r="755" spans="1:1" x14ac:dyDescent="0.75">
      <c r="A755" t="s">
        <v>716</v>
      </c>
    </row>
    <row r="756" spans="1:1" x14ac:dyDescent="0.75">
      <c r="A756" t="s">
        <v>717</v>
      </c>
    </row>
    <row r="757" spans="1:1" x14ac:dyDescent="0.75">
      <c r="A757" t="s">
        <v>718</v>
      </c>
    </row>
    <row r="758" spans="1:1" x14ac:dyDescent="0.75">
      <c r="A758" t="s">
        <v>719</v>
      </c>
    </row>
    <row r="759" spans="1:1" x14ac:dyDescent="0.75">
      <c r="A759" t="s">
        <v>790</v>
      </c>
    </row>
    <row r="760" spans="1:1" x14ac:dyDescent="0.75">
      <c r="A760" t="s">
        <v>791</v>
      </c>
    </row>
    <row r="761" spans="1:1" x14ac:dyDescent="0.75">
      <c r="A761" t="s">
        <v>620</v>
      </c>
    </row>
    <row r="762" spans="1:1" x14ac:dyDescent="0.75">
      <c r="A762" t="s">
        <v>621</v>
      </c>
    </row>
    <row r="763" spans="1:1" x14ac:dyDescent="0.75">
      <c r="A763" t="s">
        <v>655</v>
      </c>
    </row>
    <row r="764" spans="1:1" x14ac:dyDescent="0.75">
      <c r="A764" t="s">
        <v>792</v>
      </c>
    </row>
    <row r="765" spans="1:1" x14ac:dyDescent="0.75">
      <c r="A765" s="54" t="s">
        <v>596</v>
      </c>
    </row>
    <row r="766" spans="1:1" x14ac:dyDescent="0.75">
      <c r="A766" t="s">
        <v>597</v>
      </c>
    </row>
    <row r="767" spans="1:1" x14ac:dyDescent="0.75">
      <c r="A767" t="s">
        <v>598</v>
      </c>
    </row>
    <row r="768" spans="1:1" x14ac:dyDescent="0.75">
      <c r="A768" t="s">
        <v>599</v>
      </c>
    </row>
    <row r="769" spans="1:1" x14ac:dyDescent="0.75">
      <c r="A769" t="s">
        <v>600</v>
      </c>
    </row>
    <row r="770" spans="1:1" x14ac:dyDescent="0.75">
      <c r="A770" t="s">
        <v>601</v>
      </c>
    </row>
    <row r="771" spans="1:1" x14ac:dyDescent="0.75">
      <c r="A771" t="s">
        <v>602</v>
      </c>
    </row>
    <row r="772" spans="1:1" x14ac:dyDescent="0.75">
      <c r="A772" t="s">
        <v>603</v>
      </c>
    </row>
    <row r="773" spans="1:1" x14ac:dyDescent="0.75">
      <c r="A773" t="s">
        <v>643</v>
      </c>
    </row>
    <row r="774" spans="1:1" x14ac:dyDescent="0.75">
      <c r="A774" t="s">
        <v>650</v>
      </c>
    </row>
    <row r="775" spans="1:1" x14ac:dyDescent="0.75">
      <c r="A775" t="s">
        <v>724</v>
      </c>
    </row>
    <row r="776" spans="1:1" x14ac:dyDescent="0.75">
      <c r="A776" t="s">
        <v>725</v>
      </c>
    </row>
    <row r="777" spans="1:1" x14ac:dyDescent="0.75">
      <c r="A777" t="s">
        <v>726</v>
      </c>
    </row>
    <row r="778" spans="1:1" x14ac:dyDescent="0.75">
      <c r="A778" t="s">
        <v>727</v>
      </c>
    </row>
    <row r="779" spans="1:1" x14ac:dyDescent="0.75">
      <c r="A779" t="s">
        <v>789</v>
      </c>
    </row>
    <row r="780" spans="1:1" x14ac:dyDescent="0.75">
      <c r="A780" t="s">
        <v>714</v>
      </c>
    </row>
    <row r="781" spans="1:1" x14ac:dyDescent="0.75">
      <c r="A781" t="s">
        <v>715</v>
      </c>
    </row>
    <row r="782" spans="1:1" x14ac:dyDescent="0.75">
      <c r="A782" t="s">
        <v>716</v>
      </c>
    </row>
    <row r="783" spans="1:1" x14ac:dyDescent="0.75">
      <c r="A783" t="s">
        <v>717</v>
      </c>
    </row>
    <row r="784" spans="1:1" x14ac:dyDescent="0.75">
      <c r="A784" t="s">
        <v>718</v>
      </c>
    </row>
    <row r="785" spans="1:1" x14ac:dyDescent="0.75">
      <c r="A785" t="s">
        <v>719</v>
      </c>
    </row>
    <row r="786" spans="1:1" x14ac:dyDescent="0.75">
      <c r="A786" t="s">
        <v>793</v>
      </c>
    </row>
    <row r="787" spans="1:1" x14ac:dyDescent="0.75">
      <c r="A787" t="s">
        <v>794</v>
      </c>
    </row>
    <row r="788" spans="1:1" x14ac:dyDescent="0.75">
      <c r="A788" s="54" t="s">
        <v>620</v>
      </c>
    </row>
    <row r="789" spans="1:1" x14ac:dyDescent="0.75">
      <c r="A789" t="s">
        <v>621</v>
      </c>
    </row>
    <row r="790" spans="1:1" x14ac:dyDescent="0.75">
      <c r="A790" t="s">
        <v>655</v>
      </c>
    </row>
    <row r="791" spans="1:1" x14ac:dyDescent="0.75">
      <c r="A791" t="s">
        <v>795</v>
      </c>
    </row>
    <row r="792" spans="1:1" x14ac:dyDescent="0.75">
      <c r="A792" t="s">
        <v>596</v>
      </c>
    </row>
    <row r="793" spans="1:1" x14ac:dyDescent="0.75">
      <c r="A793" t="s">
        <v>597</v>
      </c>
    </row>
    <row r="794" spans="1:1" x14ac:dyDescent="0.75">
      <c r="A794" t="s">
        <v>598</v>
      </c>
    </row>
    <row r="795" spans="1:1" x14ac:dyDescent="0.75">
      <c r="A795" t="s">
        <v>599</v>
      </c>
    </row>
    <row r="796" spans="1:1" x14ac:dyDescent="0.75">
      <c r="A796" t="s">
        <v>600</v>
      </c>
    </row>
    <row r="797" spans="1:1" x14ac:dyDescent="0.75">
      <c r="A797" t="s">
        <v>601</v>
      </c>
    </row>
    <row r="798" spans="1:1" x14ac:dyDescent="0.75">
      <c r="A798" t="s">
        <v>602</v>
      </c>
    </row>
    <row r="799" spans="1:1" x14ac:dyDescent="0.75">
      <c r="A799" t="s">
        <v>603</v>
      </c>
    </row>
    <row r="800" spans="1:1" x14ac:dyDescent="0.75">
      <c r="A800" t="s">
        <v>643</v>
      </c>
    </row>
    <row r="801" spans="1:1" x14ac:dyDescent="0.75">
      <c r="A801" t="s">
        <v>650</v>
      </c>
    </row>
    <row r="802" spans="1:1" x14ac:dyDescent="0.75">
      <c r="A802" t="s">
        <v>724</v>
      </c>
    </row>
    <row r="803" spans="1:1" x14ac:dyDescent="0.75">
      <c r="A803" t="s">
        <v>725</v>
      </c>
    </row>
    <row r="804" spans="1:1" x14ac:dyDescent="0.75">
      <c r="A804" s="54" t="s">
        <v>726</v>
      </c>
    </row>
    <row r="805" spans="1:1" x14ac:dyDescent="0.75">
      <c r="A805" t="s">
        <v>727</v>
      </c>
    </row>
    <row r="806" spans="1:1" x14ac:dyDescent="0.75">
      <c r="A806" t="s">
        <v>629</v>
      </c>
    </row>
    <row r="807" spans="1:1" x14ac:dyDescent="0.75">
      <c r="A807" t="s">
        <v>728</v>
      </c>
    </row>
    <row r="808" spans="1:1" x14ac:dyDescent="0.75">
      <c r="A808" t="s">
        <v>644</v>
      </c>
    </row>
    <row r="809" spans="1:1" x14ac:dyDescent="0.75">
      <c r="A809" t="s">
        <v>682</v>
      </c>
    </row>
    <row r="810" spans="1:1" x14ac:dyDescent="0.75">
      <c r="A810" t="s">
        <v>714</v>
      </c>
    </row>
    <row r="811" spans="1:1" x14ac:dyDescent="0.75">
      <c r="A811" t="s">
        <v>715</v>
      </c>
    </row>
    <row r="812" spans="1:1" x14ac:dyDescent="0.75">
      <c r="A812" t="s">
        <v>716</v>
      </c>
    </row>
    <row r="813" spans="1:1" x14ac:dyDescent="0.75">
      <c r="A813" t="s">
        <v>717</v>
      </c>
    </row>
    <row r="814" spans="1:1" x14ac:dyDescent="0.75">
      <c r="A814" t="s">
        <v>718</v>
      </c>
    </row>
    <row r="815" spans="1:1" x14ac:dyDescent="0.75">
      <c r="A815" t="s">
        <v>719</v>
      </c>
    </row>
    <row r="816" spans="1:1" x14ac:dyDescent="0.75">
      <c r="A816" t="s">
        <v>796</v>
      </c>
    </row>
    <row r="817" spans="1:1" x14ac:dyDescent="0.75">
      <c r="A817" t="s">
        <v>797</v>
      </c>
    </row>
    <row r="818" spans="1:1" x14ac:dyDescent="0.75">
      <c r="A818" t="s">
        <v>678</v>
      </c>
    </row>
    <row r="819" spans="1:1" x14ac:dyDescent="0.75">
      <c r="A819" t="s">
        <v>593</v>
      </c>
    </row>
    <row r="820" spans="1:1" x14ac:dyDescent="0.75">
      <c r="A820" s="54" t="s">
        <v>594</v>
      </c>
    </row>
    <row r="821" spans="1:1" x14ac:dyDescent="0.75">
      <c r="A821" t="s">
        <v>792</v>
      </c>
    </row>
    <row r="822" spans="1:1" x14ac:dyDescent="0.75">
      <c r="A822" t="s">
        <v>798</v>
      </c>
    </row>
    <row r="823" spans="1:1" x14ac:dyDescent="0.75">
      <c r="A823" t="s">
        <v>799</v>
      </c>
    </row>
    <row r="824" spans="1:1" x14ac:dyDescent="0.75">
      <c r="A824" t="s">
        <v>598</v>
      </c>
    </row>
    <row r="825" spans="1:1" x14ac:dyDescent="0.75">
      <c r="A825" t="s">
        <v>599</v>
      </c>
    </row>
    <row r="826" spans="1:1" x14ac:dyDescent="0.75">
      <c r="A826" t="s">
        <v>600</v>
      </c>
    </row>
    <row r="827" spans="1:1" x14ac:dyDescent="0.75">
      <c r="A827" t="s">
        <v>601</v>
      </c>
    </row>
    <row r="828" spans="1:1" x14ac:dyDescent="0.75">
      <c r="A828" t="s">
        <v>602</v>
      </c>
    </row>
    <row r="829" spans="1:1" x14ac:dyDescent="0.75">
      <c r="A829" t="s">
        <v>603</v>
      </c>
    </row>
    <row r="830" spans="1:1" x14ac:dyDescent="0.75">
      <c r="A830" t="s">
        <v>604</v>
      </c>
    </row>
    <row r="831" spans="1:1" x14ac:dyDescent="0.75">
      <c r="A831" t="s">
        <v>697</v>
      </c>
    </row>
    <row r="832" spans="1:1" x14ac:dyDescent="0.75">
      <c r="A832" t="s">
        <v>800</v>
      </c>
    </row>
    <row r="833" spans="1:1" x14ac:dyDescent="0.75">
      <c r="A833" t="s">
        <v>801</v>
      </c>
    </row>
    <row r="834" spans="1:1" x14ac:dyDescent="0.75">
      <c r="A834" t="s">
        <v>802</v>
      </c>
    </row>
    <row r="835" spans="1:1" x14ac:dyDescent="0.75">
      <c r="A835" t="s">
        <v>803</v>
      </c>
    </row>
    <row r="836" spans="1:1" x14ac:dyDescent="0.75">
      <c r="A836" s="54" t="s">
        <v>804</v>
      </c>
    </row>
    <row r="837" spans="1:1" x14ac:dyDescent="0.75">
      <c r="A837" t="s">
        <v>714</v>
      </c>
    </row>
    <row r="838" spans="1:1" x14ac:dyDescent="0.75">
      <c r="A838" t="s">
        <v>715</v>
      </c>
    </row>
    <row r="839" spans="1:1" x14ac:dyDescent="0.75">
      <c r="A839" t="s">
        <v>716</v>
      </c>
    </row>
    <row r="840" spans="1:1" x14ac:dyDescent="0.75">
      <c r="A840" t="s">
        <v>717</v>
      </c>
    </row>
    <row r="841" spans="1:1" x14ac:dyDescent="0.75">
      <c r="A841" t="s">
        <v>718</v>
      </c>
    </row>
    <row r="842" spans="1:1" x14ac:dyDescent="0.75">
      <c r="A842" t="s">
        <v>719</v>
      </c>
    </row>
    <row r="843" spans="1:1" x14ac:dyDescent="0.75">
      <c r="A843" t="s">
        <v>805</v>
      </c>
    </row>
    <row r="844" spans="1:1" x14ac:dyDescent="0.75">
      <c r="A844" t="s">
        <v>806</v>
      </c>
    </row>
    <row r="845" spans="1:1" x14ac:dyDescent="0.75">
      <c r="A845" t="s">
        <v>620</v>
      </c>
    </row>
    <row r="846" spans="1:1" x14ac:dyDescent="0.75">
      <c r="A846" t="s">
        <v>670</v>
      </c>
    </row>
    <row r="847" spans="1:1" x14ac:dyDescent="0.75">
      <c r="A847" t="s">
        <v>642</v>
      </c>
    </row>
    <row r="848" spans="1:1" x14ac:dyDescent="0.75">
      <c r="A848" t="s">
        <v>795</v>
      </c>
    </row>
    <row r="849" spans="1:1" x14ac:dyDescent="0.75">
      <c r="A849" t="s">
        <v>807</v>
      </c>
    </row>
    <row r="850" spans="1:1" x14ac:dyDescent="0.75">
      <c r="A850" t="s">
        <v>708</v>
      </c>
    </row>
    <row r="851" spans="1:1" x14ac:dyDescent="0.75">
      <c r="A851" t="s">
        <v>598</v>
      </c>
    </row>
    <row r="852" spans="1:1" x14ac:dyDescent="0.75">
      <c r="A852" s="54" t="s">
        <v>599</v>
      </c>
    </row>
    <row r="853" spans="1:1" x14ac:dyDescent="0.75">
      <c r="A853" t="s">
        <v>600</v>
      </c>
    </row>
    <row r="854" spans="1:1" x14ac:dyDescent="0.75">
      <c r="A854" t="s">
        <v>601</v>
      </c>
    </row>
    <row r="855" spans="1:1" x14ac:dyDescent="0.75">
      <c r="A855" t="s">
        <v>602</v>
      </c>
    </row>
    <row r="856" spans="1:1" x14ac:dyDescent="0.75">
      <c r="A856" t="s">
        <v>603</v>
      </c>
    </row>
    <row r="857" spans="1:1" x14ac:dyDescent="0.75">
      <c r="A857" t="s">
        <v>672</v>
      </c>
    </row>
    <row r="858" spans="1:1" x14ac:dyDescent="0.75">
      <c r="A858" t="s">
        <v>650</v>
      </c>
    </row>
    <row r="859" spans="1:1" x14ac:dyDescent="0.75">
      <c r="A859" t="s">
        <v>763</v>
      </c>
    </row>
    <row r="860" spans="1:1" x14ac:dyDescent="0.75">
      <c r="A860" t="s">
        <v>745</v>
      </c>
    </row>
    <row r="861" spans="1:1" x14ac:dyDescent="0.75">
      <c r="A861" t="s">
        <v>748</v>
      </c>
    </row>
    <row r="862" spans="1:1" x14ac:dyDescent="0.75">
      <c r="A862" t="s">
        <v>749</v>
      </c>
    </row>
    <row r="863" spans="1:1" x14ac:dyDescent="0.75">
      <c r="A863" t="s">
        <v>808</v>
      </c>
    </row>
    <row r="864" spans="1:1" x14ac:dyDescent="0.75">
      <c r="A864" t="s">
        <v>714</v>
      </c>
    </row>
    <row r="865" spans="1:1" x14ac:dyDescent="0.75">
      <c r="A865" t="s">
        <v>715</v>
      </c>
    </row>
    <row r="866" spans="1:1" x14ac:dyDescent="0.75">
      <c r="A866" t="s">
        <v>716</v>
      </c>
    </row>
    <row r="867" spans="1:1" x14ac:dyDescent="0.75">
      <c r="A867" t="s">
        <v>717</v>
      </c>
    </row>
    <row r="868" spans="1:1" x14ac:dyDescent="0.75">
      <c r="A868" t="s">
        <v>718</v>
      </c>
    </row>
    <row r="869" spans="1:1" x14ac:dyDescent="0.75">
      <c r="A869" t="s">
        <v>719</v>
      </c>
    </row>
    <row r="870" spans="1:1" x14ac:dyDescent="0.75">
      <c r="A870" t="s">
        <v>809</v>
      </c>
    </row>
    <row r="871" spans="1:1" x14ac:dyDescent="0.75">
      <c r="A871" t="s">
        <v>810</v>
      </c>
    </row>
    <row r="872" spans="1:1" x14ac:dyDescent="0.75">
      <c r="A872" t="s">
        <v>620</v>
      </c>
    </row>
    <row r="873" spans="1:1" x14ac:dyDescent="0.75">
      <c r="A873" t="s">
        <v>621</v>
      </c>
    </row>
    <row r="874" spans="1:1" x14ac:dyDescent="0.75">
      <c r="A874" t="s">
        <v>655</v>
      </c>
    </row>
    <row r="875" spans="1:1" x14ac:dyDescent="0.75">
      <c r="A875" s="54" t="s">
        <v>766</v>
      </c>
    </row>
    <row r="876" spans="1:1" x14ac:dyDescent="0.75">
      <c r="A876" t="s">
        <v>596</v>
      </c>
    </row>
    <row r="877" spans="1:1" x14ac:dyDescent="0.75">
      <c r="A877" t="s">
        <v>597</v>
      </c>
    </row>
    <row r="878" spans="1:1" x14ac:dyDescent="0.75">
      <c r="A878" t="s">
        <v>709</v>
      </c>
    </row>
    <row r="879" spans="1:1" x14ac:dyDescent="0.75">
      <c r="A879" t="s">
        <v>811</v>
      </c>
    </row>
    <row r="880" spans="1:1" x14ac:dyDescent="0.75">
      <c r="A880" t="s">
        <v>600</v>
      </c>
    </row>
    <row r="881" spans="1:1" x14ac:dyDescent="0.75">
      <c r="A881" t="s">
        <v>601</v>
      </c>
    </row>
    <row r="882" spans="1:1" x14ac:dyDescent="0.75">
      <c r="A882" t="s">
        <v>602</v>
      </c>
    </row>
    <row r="883" spans="1:1" x14ac:dyDescent="0.75">
      <c r="A883" t="s">
        <v>603</v>
      </c>
    </row>
    <row r="884" spans="1:1" x14ac:dyDescent="0.75">
      <c r="A884" t="s">
        <v>643</v>
      </c>
    </row>
    <row r="885" spans="1:1" x14ac:dyDescent="0.75">
      <c r="A885" t="s">
        <v>742</v>
      </c>
    </row>
    <row r="886" spans="1:1" x14ac:dyDescent="0.75">
      <c r="A886" t="s">
        <v>624</v>
      </c>
    </row>
    <row r="887" spans="1:1" x14ac:dyDescent="0.75">
      <c r="A887" t="s">
        <v>657</v>
      </c>
    </row>
    <row r="888" spans="1:1" x14ac:dyDescent="0.75">
      <c r="A888" t="s">
        <v>725</v>
      </c>
    </row>
    <row r="889" spans="1:1" x14ac:dyDescent="0.75">
      <c r="A889" t="s">
        <v>784</v>
      </c>
    </row>
    <row r="890" spans="1:1" x14ac:dyDescent="0.75">
      <c r="A890" t="s">
        <v>770</v>
      </c>
    </row>
    <row r="891" spans="1:1" x14ac:dyDescent="0.75">
      <c r="A891" t="s">
        <v>773</v>
      </c>
    </row>
    <row r="892" spans="1:1" x14ac:dyDescent="0.75">
      <c r="A892" t="s">
        <v>812</v>
      </c>
    </row>
    <row r="893" spans="1:1" x14ac:dyDescent="0.75">
      <c r="A893" t="s">
        <v>714</v>
      </c>
    </row>
    <row r="894" spans="1:1" x14ac:dyDescent="0.75">
      <c r="A894" t="s">
        <v>715</v>
      </c>
    </row>
    <row r="895" spans="1:1" x14ac:dyDescent="0.75">
      <c r="A895" t="s">
        <v>716</v>
      </c>
    </row>
    <row r="896" spans="1:1" x14ac:dyDescent="0.75">
      <c r="A896" t="s">
        <v>717</v>
      </c>
    </row>
    <row r="897" spans="1:1" x14ac:dyDescent="0.75">
      <c r="A897" t="s">
        <v>718</v>
      </c>
    </row>
    <row r="898" spans="1:1" x14ac:dyDescent="0.75">
      <c r="A898" s="54" t="s">
        <v>719</v>
      </c>
    </row>
    <row r="899" spans="1:1" x14ac:dyDescent="0.75">
      <c r="A899" t="s">
        <v>813</v>
      </c>
    </row>
    <row r="900" spans="1:1" x14ac:dyDescent="0.75">
      <c r="A900" t="s">
        <v>814</v>
      </c>
    </row>
    <row r="901" spans="1:1" x14ac:dyDescent="0.75">
      <c r="A901" t="s">
        <v>620</v>
      </c>
    </row>
    <row r="902" spans="1:1" x14ac:dyDescent="0.75">
      <c r="A902" t="s">
        <v>679</v>
      </c>
    </row>
    <row r="903" spans="1:1" x14ac:dyDescent="0.75">
      <c r="A903" t="s">
        <v>594</v>
      </c>
    </row>
    <row r="904" spans="1:1" x14ac:dyDescent="0.75">
      <c r="A904" t="s">
        <v>795</v>
      </c>
    </row>
    <row r="905" spans="1:1" x14ac:dyDescent="0.75">
      <c r="A905" t="s">
        <v>707</v>
      </c>
    </row>
    <row r="906" spans="1:1" x14ac:dyDescent="0.75">
      <c r="A906" t="s">
        <v>597</v>
      </c>
    </row>
    <row r="907" spans="1:1" x14ac:dyDescent="0.75">
      <c r="A907" t="s">
        <v>709</v>
      </c>
    </row>
    <row r="908" spans="1:1" x14ac:dyDescent="0.75">
      <c r="A908" t="s">
        <v>811</v>
      </c>
    </row>
    <row r="909" spans="1:1" x14ac:dyDescent="0.75">
      <c r="A909" t="s">
        <v>600</v>
      </c>
    </row>
    <row r="910" spans="1:1" x14ac:dyDescent="0.75">
      <c r="A910" t="s">
        <v>601</v>
      </c>
    </row>
    <row r="911" spans="1:1" x14ac:dyDescent="0.75">
      <c r="A911" t="s">
        <v>602</v>
      </c>
    </row>
    <row r="912" spans="1:1" x14ac:dyDescent="0.75">
      <c r="A912" t="s">
        <v>603</v>
      </c>
    </row>
    <row r="913" spans="1:1" x14ac:dyDescent="0.75">
      <c r="A913" t="s">
        <v>643</v>
      </c>
    </row>
    <row r="914" spans="1:1" x14ac:dyDescent="0.75">
      <c r="A914" t="s">
        <v>624</v>
      </c>
    </row>
    <row r="915" spans="1:1" x14ac:dyDescent="0.75">
      <c r="A915" t="s">
        <v>657</v>
      </c>
    </row>
    <row r="916" spans="1:1" x14ac:dyDescent="0.75">
      <c r="A916" t="s">
        <v>783</v>
      </c>
    </row>
    <row r="917" spans="1:1" x14ac:dyDescent="0.75">
      <c r="A917" t="s">
        <v>769</v>
      </c>
    </row>
    <row r="918" spans="1:1" x14ac:dyDescent="0.75">
      <c r="A918" t="s">
        <v>815</v>
      </c>
    </row>
    <row r="919" spans="1:1" x14ac:dyDescent="0.75">
      <c r="A919" t="s">
        <v>785</v>
      </c>
    </row>
    <row r="920" spans="1:1" x14ac:dyDescent="0.75">
      <c r="A920" s="54" t="s">
        <v>652</v>
      </c>
    </row>
    <row r="921" spans="1:1" x14ac:dyDescent="0.75">
      <c r="A921" t="s">
        <v>816</v>
      </c>
    </row>
    <row r="922" spans="1:1" x14ac:dyDescent="0.75">
      <c r="A922" t="s">
        <v>817</v>
      </c>
    </row>
    <row r="923" spans="1:1" x14ac:dyDescent="0.75">
      <c r="A923" t="s">
        <v>714</v>
      </c>
    </row>
    <row r="924" spans="1:1" x14ac:dyDescent="0.75">
      <c r="A924" t="s">
        <v>715</v>
      </c>
    </row>
    <row r="925" spans="1:1" x14ac:dyDescent="0.75">
      <c r="A925" t="s">
        <v>716</v>
      </c>
    </row>
    <row r="926" spans="1:1" x14ac:dyDescent="0.75">
      <c r="A926" t="s">
        <v>717</v>
      </c>
    </row>
    <row r="927" spans="1:1" x14ac:dyDescent="0.75">
      <c r="A927" t="s">
        <v>718</v>
      </c>
    </row>
    <row r="928" spans="1:1" x14ac:dyDescent="0.75">
      <c r="A928" t="s">
        <v>719</v>
      </c>
    </row>
    <row r="929" spans="1:1" x14ac:dyDescent="0.75">
      <c r="A929" t="s">
        <v>818</v>
      </c>
    </row>
    <row r="930" spans="1:1" x14ac:dyDescent="0.75">
      <c r="A930" t="s">
        <v>819</v>
      </c>
    </row>
    <row r="931" spans="1:1" x14ac:dyDescent="0.75">
      <c r="A931" t="s">
        <v>620</v>
      </c>
    </row>
    <row r="932" spans="1:1" x14ac:dyDescent="0.75">
      <c r="A932" t="s">
        <v>670</v>
      </c>
    </row>
    <row r="933" spans="1:1" x14ac:dyDescent="0.75">
      <c r="A933" t="s">
        <v>655</v>
      </c>
    </row>
    <row r="934" spans="1:1" x14ac:dyDescent="0.75">
      <c r="A934" t="s">
        <v>595</v>
      </c>
    </row>
    <row r="935" spans="1:1" x14ac:dyDescent="0.75">
      <c r="A935" t="s">
        <v>596</v>
      </c>
    </row>
    <row r="936" spans="1:1" x14ac:dyDescent="0.75">
      <c r="A936" t="s">
        <v>597</v>
      </c>
    </row>
    <row r="937" spans="1:1" x14ac:dyDescent="0.75">
      <c r="A937" t="s">
        <v>598</v>
      </c>
    </row>
    <row r="938" spans="1:1" x14ac:dyDescent="0.75">
      <c r="A938" t="s">
        <v>599</v>
      </c>
    </row>
    <row r="939" spans="1:1" x14ac:dyDescent="0.75">
      <c r="A939" t="s">
        <v>600</v>
      </c>
    </row>
    <row r="940" spans="1:1" x14ac:dyDescent="0.75">
      <c r="A940" t="s">
        <v>601</v>
      </c>
    </row>
    <row r="941" spans="1:1" x14ac:dyDescent="0.75">
      <c r="A941" t="s">
        <v>602</v>
      </c>
    </row>
    <row r="942" spans="1:1" x14ac:dyDescent="0.75">
      <c r="A942" s="54" t="s">
        <v>603</v>
      </c>
    </row>
    <row r="943" spans="1:1" x14ac:dyDescent="0.75">
      <c r="A943" t="s">
        <v>643</v>
      </c>
    </row>
    <row r="944" spans="1:1" x14ac:dyDescent="0.75">
      <c r="A944" t="s">
        <v>624</v>
      </c>
    </row>
    <row r="945" spans="1:1" x14ac:dyDescent="0.75">
      <c r="A945" t="s">
        <v>625</v>
      </c>
    </row>
    <row r="946" spans="1:1" x14ac:dyDescent="0.75">
      <c r="A946" t="s">
        <v>725</v>
      </c>
    </row>
    <row r="947" spans="1:1" x14ac:dyDescent="0.75">
      <c r="A947" t="s">
        <v>726</v>
      </c>
    </row>
    <row r="948" spans="1:1" x14ac:dyDescent="0.75">
      <c r="A948" t="s">
        <v>727</v>
      </c>
    </row>
    <row r="949" spans="1:1" x14ac:dyDescent="0.75">
      <c r="A949" t="s">
        <v>773</v>
      </c>
    </row>
    <row r="950" spans="1:1" x14ac:dyDescent="0.75">
      <c r="A950" t="s">
        <v>682</v>
      </c>
    </row>
    <row r="951" spans="1:1" x14ac:dyDescent="0.75">
      <c r="A951" t="s">
        <v>714</v>
      </c>
    </row>
    <row r="952" spans="1:1" x14ac:dyDescent="0.75">
      <c r="A952" t="s">
        <v>715</v>
      </c>
    </row>
    <row r="953" spans="1:1" x14ac:dyDescent="0.75">
      <c r="A953" t="s">
        <v>716</v>
      </c>
    </row>
    <row r="954" spans="1:1" x14ac:dyDescent="0.75">
      <c r="A954" t="s">
        <v>717</v>
      </c>
    </row>
    <row r="955" spans="1:1" x14ac:dyDescent="0.75">
      <c r="A955" t="s">
        <v>718</v>
      </c>
    </row>
    <row r="956" spans="1:1" x14ac:dyDescent="0.75">
      <c r="A956" t="s">
        <v>719</v>
      </c>
    </row>
    <row r="957" spans="1:1" x14ac:dyDescent="0.75">
      <c r="A957" t="s">
        <v>820</v>
      </c>
    </row>
    <row r="958" spans="1:1" x14ac:dyDescent="0.75">
      <c r="A958" t="s">
        <v>821</v>
      </c>
    </row>
    <row r="959" spans="1:1" x14ac:dyDescent="0.75">
      <c r="A959" t="s">
        <v>592</v>
      </c>
    </row>
    <row r="960" spans="1:1" x14ac:dyDescent="0.75">
      <c r="A960" t="s">
        <v>593</v>
      </c>
    </row>
    <row r="961" spans="1:1" x14ac:dyDescent="0.75">
      <c r="A961" t="s">
        <v>594</v>
      </c>
    </row>
    <row r="962" spans="1:1" x14ac:dyDescent="0.75">
      <c r="A962" t="s">
        <v>595</v>
      </c>
    </row>
    <row r="963" spans="1:1" x14ac:dyDescent="0.75">
      <c r="A963" t="s">
        <v>596</v>
      </c>
    </row>
    <row r="964" spans="1:1" x14ac:dyDescent="0.75">
      <c r="A964" t="s">
        <v>597</v>
      </c>
    </row>
    <row r="965" spans="1:1" x14ac:dyDescent="0.75">
      <c r="A965" t="s">
        <v>598</v>
      </c>
    </row>
    <row r="966" spans="1:1" x14ac:dyDescent="0.75">
      <c r="A966" s="54" t="s">
        <v>599</v>
      </c>
    </row>
    <row r="967" spans="1:1" x14ac:dyDescent="0.75">
      <c r="A967" t="s">
        <v>600</v>
      </c>
    </row>
    <row r="968" spans="1:1" x14ac:dyDescent="0.75">
      <c r="A968" t="s">
        <v>601</v>
      </c>
    </row>
    <row r="969" spans="1:1" x14ac:dyDescent="0.75">
      <c r="A969" t="s">
        <v>602</v>
      </c>
    </row>
    <row r="970" spans="1:1" x14ac:dyDescent="0.75">
      <c r="A970" t="s">
        <v>603</v>
      </c>
    </row>
    <row r="971" spans="1:1" x14ac:dyDescent="0.75">
      <c r="A971" t="s">
        <v>604</v>
      </c>
    </row>
    <row r="972" spans="1:1" x14ac:dyDescent="0.75">
      <c r="A972" t="s">
        <v>751</v>
      </c>
    </row>
    <row r="973" spans="1:1" x14ac:dyDescent="0.75">
      <c r="A973" t="s">
        <v>752</v>
      </c>
    </row>
    <row r="974" spans="1:1" x14ac:dyDescent="0.75">
      <c r="A974" t="s">
        <v>753</v>
      </c>
    </row>
    <row r="975" spans="1:1" x14ac:dyDescent="0.75">
      <c r="A975" t="s">
        <v>754</v>
      </c>
    </row>
    <row r="976" spans="1:1" x14ac:dyDescent="0.75">
      <c r="A976" t="s">
        <v>755</v>
      </c>
    </row>
    <row r="977" spans="1:1" x14ac:dyDescent="0.75">
      <c r="A977" t="s">
        <v>756</v>
      </c>
    </row>
    <row r="978" spans="1:1" x14ac:dyDescent="0.75">
      <c r="A978" t="s">
        <v>822</v>
      </c>
    </row>
    <row r="979" spans="1:1" x14ac:dyDescent="0.75">
      <c r="A979" t="s">
        <v>823</v>
      </c>
    </row>
    <row r="980" spans="1:1" x14ac:dyDescent="0.75">
      <c r="A980" t="s">
        <v>592</v>
      </c>
    </row>
    <row r="981" spans="1:1" x14ac:dyDescent="0.75">
      <c r="A981" t="s">
        <v>593</v>
      </c>
    </row>
    <row r="982" spans="1:1" x14ac:dyDescent="0.75">
      <c r="A982" t="s">
        <v>594</v>
      </c>
    </row>
    <row r="983" spans="1:1" x14ac:dyDescent="0.75">
      <c r="A983" t="s">
        <v>595</v>
      </c>
    </row>
    <row r="984" spans="1:1" x14ac:dyDescent="0.75">
      <c r="A984" t="s">
        <v>596</v>
      </c>
    </row>
    <row r="985" spans="1:1" x14ac:dyDescent="0.75">
      <c r="A985" t="s">
        <v>597</v>
      </c>
    </row>
    <row r="986" spans="1:1" x14ac:dyDescent="0.75">
      <c r="A986" s="54" t="s">
        <v>598</v>
      </c>
    </row>
    <row r="987" spans="1:1" x14ac:dyDescent="0.75">
      <c r="A987" t="s">
        <v>599</v>
      </c>
    </row>
    <row r="988" spans="1:1" x14ac:dyDescent="0.75">
      <c r="A988" t="s">
        <v>600</v>
      </c>
    </row>
    <row r="989" spans="1:1" x14ac:dyDescent="0.75">
      <c r="A989" t="s">
        <v>601</v>
      </c>
    </row>
    <row r="990" spans="1:1" x14ac:dyDescent="0.75">
      <c r="A990" t="s">
        <v>602</v>
      </c>
    </row>
    <row r="991" spans="1:1" x14ac:dyDescent="0.75">
      <c r="A991" t="s">
        <v>603</v>
      </c>
    </row>
    <row r="992" spans="1:1" x14ac:dyDescent="0.75">
      <c r="A992" t="s">
        <v>604</v>
      </c>
    </row>
    <row r="993" spans="1:1" x14ac:dyDescent="0.75">
      <c r="A993" t="s">
        <v>824</v>
      </c>
    </row>
    <row r="994" spans="1:1" x14ac:dyDescent="0.75">
      <c r="A994" t="s">
        <v>825</v>
      </c>
    </row>
    <row r="995" spans="1:1" x14ac:dyDescent="0.75">
      <c r="A995" t="s">
        <v>826</v>
      </c>
    </row>
    <row r="996" spans="1:1" x14ac:dyDescent="0.75">
      <c r="A996" t="s">
        <v>827</v>
      </c>
    </row>
    <row r="997" spans="1:1" x14ac:dyDescent="0.75">
      <c r="A997" t="s">
        <v>828</v>
      </c>
    </row>
    <row r="998" spans="1:1" x14ac:dyDescent="0.75">
      <c r="A998" t="s">
        <v>829</v>
      </c>
    </row>
    <row r="999" spans="1:1" x14ac:dyDescent="0.75">
      <c r="A999" t="s">
        <v>830</v>
      </c>
    </row>
    <row r="1000" spans="1:1" x14ac:dyDescent="0.75">
      <c r="A1000" t="s">
        <v>831</v>
      </c>
    </row>
    <row r="1001" spans="1:1" x14ac:dyDescent="0.75">
      <c r="A1001" t="s">
        <v>592</v>
      </c>
    </row>
    <row r="1002" spans="1:1" x14ac:dyDescent="0.75">
      <c r="A1002" t="s">
        <v>593</v>
      </c>
    </row>
    <row r="1003" spans="1:1" x14ac:dyDescent="0.75">
      <c r="A1003" t="s">
        <v>594</v>
      </c>
    </row>
    <row r="1004" spans="1:1" x14ac:dyDescent="0.75">
      <c r="A1004" t="s">
        <v>595</v>
      </c>
    </row>
    <row r="1005" spans="1:1" x14ac:dyDescent="0.75">
      <c r="A1005" t="s">
        <v>596</v>
      </c>
    </row>
    <row r="1006" spans="1:1" x14ac:dyDescent="0.75">
      <c r="A1006" t="s">
        <v>597</v>
      </c>
    </row>
    <row r="1007" spans="1:1" x14ac:dyDescent="0.75">
      <c r="A1007" t="s">
        <v>598</v>
      </c>
    </row>
    <row r="1008" spans="1:1" x14ac:dyDescent="0.75">
      <c r="A1008" t="s">
        <v>599</v>
      </c>
    </row>
    <row r="1009" spans="1:1" x14ac:dyDescent="0.75">
      <c r="A1009" t="s">
        <v>600</v>
      </c>
    </row>
    <row r="1010" spans="1:1" x14ac:dyDescent="0.75">
      <c r="A1010" t="s">
        <v>601</v>
      </c>
    </row>
    <row r="1011" spans="1:1" x14ac:dyDescent="0.75">
      <c r="A1011" t="s">
        <v>602</v>
      </c>
    </row>
    <row r="1012" spans="1:1" x14ac:dyDescent="0.75">
      <c r="A1012" t="s">
        <v>603</v>
      </c>
    </row>
    <row r="1013" spans="1:1" x14ac:dyDescent="0.75">
      <c r="A1013" t="s">
        <v>604</v>
      </c>
    </row>
    <row r="1014" spans="1:1" ht="29.5" x14ac:dyDescent="0.75">
      <c r="A1014" s="54" t="s">
        <v>714</v>
      </c>
    </row>
    <row r="1015" spans="1:1" x14ac:dyDescent="0.75">
      <c r="A1015" t="s">
        <v>715</v>
      </c>
    </row>
    <row r="1016" spans="1:1" x14ac:dyDescent="0.75">
      <c r="A1016" t="s">
        <v>716</v>
      </c>
    </row>
    <row r="1017" spans="1:1" x14ac:dyDescent="0.75">
      <c r="A1017" t="s">
        <v>717</v>
      </c>
    </row>
    <row r="1018" spans="1:1" x14ac:dyDescent="0.75">
      <c r="A1018" t="s">
        <v>718</v>
      </c>
    </row>
    <row r="1019" spans="1:1" x14ac:dyDescent="0.75">
      <c r="A1019" t="s">
        <v>719</v>
      </c>
    </row>
    <row r="1020" spans="1:1" x14ac:dyDescent="0.75">
      <c r="A1020" t="s">
        <v>832</v>
      </c>
    </row>
    <row r="1021" spans="1:1" x14ac:dyDescent="0.75">
      <c r="A1021" t="s">
        <v>833</v>
      </c>
    </row>
    <row r="1022" spans="1:1" x14ac:dyDescent="0.75">
      <c r="A1022" t="s">
        <v>592</v>
      </c>
    </row>
    <row r="1023" spans="1:1" x14ac:dyDescent="0.75">
      <c r="A1023" t="s">
        <v>593</v>
      </c>
    </row>
    <row r="1024" spans="1:1" x14ac:dyDescent="0.75">
      <c r="A1024" t="s">
        <v>594</v>
      </c>
    </row>
    <row r="1025" spans="1:1" x14ac:dyDescent="0.75">
      <c r="A1025" t="s">
        <v>595</v>
      </c>
    </row>
    <row r="1026" spans="1:1" x14ac:dyDescent="0.75">
      <c r="A1026" t="s">
        <v>596</v>
      </c>
    </row>
    <row r="1027" spans="1:1" x14ac:dyDescent="0.75">
      <c r="A1027" t="s">
        <v>597</v>
      </c>
    </row>
    <row r="1028" spans="1:1" x14ac:dyDescent="0.75">
      <c r="A1028" t="s">
        <v>598</v>
      </c>
    </row>
    <row r="1029" spans="1:1" x14ac:dyDescent="0.75">
      <c r="A1029" t="s">
        <v>599</v>
      </c>
    </row>
    <row r="1030" spans="1:1" x14ac:dyDescent="0.75">
      <c r="A1030" t="s">
        <v>600</v>
      </c>
    </row>
    <row r="1031" spans="1:1" x14ac:dyDescent="0.75">
      <c r="A1031" t="s">
        <v>601</v>
      </c>
    </row>
    <row r="1032" spans="1:1" x14ac:dyDescent="0.75">
      <c r="A1032" t="s">
        <v>602</v>
      </c>
    </row>
    <row r="1033" spans="1:1" x14ac:dyDescent="0.75">
      <c r="A1033" t="s">
        <v>603</v>
      </c>
    </row>
    <row r="1034" spans="1:1" x14ac:dyDescent="0.75">
      <c r="A1034" t="s">
        <v>604</v>
      </c>
    </row>
    <row r="1035" spans="1:1" x14ac:dyDescent="0.75">
      <c r="A1035" t="s">
        <v>634</v>
      </c>
    </row>
    <row r="1036" spans="1:1" x14ac:dyDescent="0.75">
      <c r="A1036" t="s">
        <v>635</v>
      </c>
    </row>
    <row r="1037" spans="1:1" x14ac:dyDescent="0.75">
      <c r="A1037" t="s">
        <v>636</v>
      </c>
    </row>
    <row r="1038" spans="1:1" x14ac:dyDescent="0.75">
      <c r="A1038" t="s">
        <v>637</v>
      </c>
    </row>
    <row r="1039" spans="1:1" x14ac:dyDescent="0.75">
      <c r="A1039" t="s">
        <v>638</v>
      </c>
    </row>
    <row r="1040" spans="1:1" x14ac:dyDescent="0.75">
      <c r="A1040" s="54" t="s">
        <v>639</v>
      </c>
    </row>
    <row r="1041" spans="1:1" x14ac:dyDescent="0.75">
      <c r="A1041" t="s">
        <v>834</v>
      </c>
    </row>
    <row r="1042" spans="1:1" x14ac:dyDescent="0.75">
      <c r="A1042" t="s">
        <v>835</v>
      </c>
    </row>
    <row r="1043" spans="1:1" x14ac:dyDescent="0.75">
      <c r="A1043" t="s">
        <v>592</v>
      </c>
    </row>
    <row r="1044" spans="1:1" x14ac:dyDescent="0.75">
      <c r="A1044" t="s">
        <v>593</v>
      </c>
    </row>
    <row r="1045" spans="1:1" x14ac:dyDescent="0.75">
      <c r="A1045" t="s">
        <v>594</v>
      </c>
    </row>
    <row r="1046" spans="1:1" x14ac:dyDescent="0.75">
      <c r="A1046" t="s">
        <v>595</v>
      </c>
    </row>
    <row r="1047" spans="1:1" x14ac:dyDescent="0.75">
      <c r="A1047" t="s">
        <v>596</v>
      </c>
    </row>
    <row r="1048" spans="1:1" x14ac:dyDescent="0.75">
      <c r="A1048" t="s">
        <v>597</v>
      </c>
    </row>
    <row r="1049" spans="1:1" x14ac:dyDescent="0.75">
      <c r="A1049" t="s">
        <v>598</v>
      </c>
    </row>
    <row r="1050" spans="1:1" x14ac:dyDescent="0.75">
      <c r="A1050" t="s">
        <v>599</v>
      </c>
    </row>
    <row r="1051" spans="1:1" x14ac:dyDescent="0.75">
      <c r="A1051" t="s">
        <v>600</v>
      </c>
    </row>
    <row r="1052" spans="1:1" x14ac:dyDescent="0.75">
      <c r="A1052" t="s">
        <v>601</v>
      </c>
    </row>
    <row r="1053" spans="1:1" x14ac:dyDescent="0.75">
      <c r="A1053" t="s">
        <v>602</v>
      </c>
    </row>
    <row r="1054" spans="1:1" x14ac:dyDescent="0.75">
      <c r="A1054" t="s">
        <v>603</v>
      </c>
    </row>
    <row r="1055" spans="1:1" x14ac:dyDescent="0.75">
      <c r="A1055" t="s">
        <v>604</v>
      </c>
    </row>
    <row r="1056" spans="1:1" x14ac:dyDescent="0.75">
      <c r="A1056" t="s">
        <v>836</v>
      </c>
    </row>
    <row r="1057" spans="1:1" x14ac:dyDescent="0.75">
      <c r="A1057" t="s">
        <v>837</v>
      </c>
    </row>
    <row r="1058" spans="1:1" x14ac:dyDescent="0.75">
      <c r="A1058" t="s">
        <v>838</v>
      </c>
    </row>
    <row r="1059" spans="1:1" x14ac:dyDescent="0.75">
      <c r="A1059" t="s">
        <v>839</v>
      </c>
    </row>
    <row r="1060" spans="1:1" x14ac:dyDescent="0.75">
      <c r="A1060" t="s">
        <v>840</v>
      </c>
    </row>
    <row r="1061" spans="1:1" x14ac:dyDescent="0.75">
      <c r="A1061" t="s">
        <v>841</v>
      </c>
    </row>
    <row r="1062" spans="1:1" x14ac:dyDescent="0.75">
      <c r="A1062" t="s">
        <v>842</v>
      </c>
    </row>
    <row r="1063" spans="1:1" x14ac:dyDescent="0.75">
      <c r="A1063" t="s">
        <v>843</v>
      </c>
    </row>
    <row r="1064" spans="1:1" x14ac:dyDescent="0.75">
      <c r="A1064" t="s">
        <v>592</v>
      </c>
    </row>
    <row r="1065" spans="1:1" x14ac:dyDescent="0.75">
      <c r="A1065" s="54" t="s">
        <v>593</v>
      </c>
    </row>
    <row r="1066" spans="1:1" x14ac:dyDescent="0.75">
      <c r="A1066" t="s">
        <v>594</v>
      </c>
    </row>
    <row r="1067" spans="1:1" x14ac:dyDescent="0.75">
      <c r="A1067" t="s">
        <v>595</v>
      </c>
    </row>
    <row r="1068" spans="1:1" x14ac:dyDescent="0.75">
      <c r="A1068" t="s">
        <v>596</v>
      </c>
    </row>
    <row r="1069" spans="1:1" x14ac:dyDescent="0.75">
      <c r="A1069" t="s">
        <v>597</v>
      </c>
    </row>
    <row r="1070" spans="1:1" x14ac:dyDescent="0.75">
      <c r="A1070" t="s">
        <v>598</v>
      </c>
    </row>
    <row r="1071" spans="1:1" x14ac:dyDescent="0.75">
      <c r="A1071" t="s">
        <v>599</v>
      </c>
    </row>
    <row r="1072" spans="1:1" x14ac:dyDescent="0.75">
      <c r="A1072" t="s">
        <v>600</v>
      </c>
    </row>
    <row r="1073" spans="1:1" x14ac:dyDescent="0.75">
      <c r="A1073" t="s">
        <v>601</v>
      </c>
    </row>
    <row r="1074" spans="1:1" x14ac:dyDescent="0.75">
      <c r="A1074" t="s">
        <v>602</v>
      </c>
    </row>
    <row r="1075" spans="1:1" x14ac:dyDescent="0.75">
      <c r="A1075" t="s">
        <v>603</v>
      </c>
    </row>
    <row r="1076" spans="1:1" x14ac:dyDescent="0.75">
      <c r="A1076" t="s">
        <v>604</v>
      </c>
    </row>
    <row r="1077" spans="1:1" x14ac:dyDescent="0.75">
      <c r="A1077" t="s">
        <v>751</v>
      </c>
    </row>
    <row r="1078" spans="1:1" x14ac:dyDescent="0.75">
      <c r="A1078" t="s">
        <v>752</v>
      </c>
    </row>
    <row r="1079" spans="1:1" x14ac:dyDescent="0.75">
      <c r="A1079" t="s">
        <v>753</v>
      </c>
    </row>
    <row r="1080" spans="1:1" x14ac:dyDescent="0.75">
      <c r="A1080" t="s">
        <v>754</v>
      </c>
    </row>
    <row r="1081" spans="1:1" x14ac:dyDescent="0.75">
      <c r="A1081" t="s">
        <v>755</v>
      </c>
    </row>
    <row r="1082" spans="1:1" x14ac:dyDescent="0.75">
      <c r="A1082" t="s">
        <v>756</v>
      </c>
    </row>
    <row r="1083" spans="1:1" x14ac:dyDescent="0.75">
      <c r="A1083" t="s">
        <v>844</v>
      </c>
    </row>
    <row r="1084" spans="1:1" x14ac:dyDescent="0.75">
      <c r="A1084" s="54" t="s">
        <v>845</v>
      </c>
    </row>
    <row r="1085" spans="1:1" x14ac:dyDescent="0.75">
      <c r="A1085" t="s">
        <v>592</v>
      </c>
    </row>
    <row r="1086" spans="1:1" x14ac:dyDescent="0.75">
      <c r="A1086" t="s">
        <v>593</v>
      </c>
    </row>
    <row r="1087" spans="1:1" x14ac:dyDescent="0.75">
      <c r="A1087" t="s">
        <v>594</v>
      </c>
    </row>
    <row r="1088" spans="1:1" x14ac:dyDescent="0.75">
      <c r="A1088" t="s">
        <v>595</v>
      </c>
    </row>
    <row r="1089" spans="1:1" x14ac:dyDescent="0.75">
      <c r="A1089" t="s">
        <v>596</v>
      </c>
    </row>
    <row r="1090" spans="1:1" x14ac:dyDescent="0.75">
      <c r="A1090" t="s">
        <v>597</v>
      </c>
    </row>
    <row r="1091" spans="1:1" x14ac:dyDescent="0.75">
      <c r="A1091" t="s">
        <v>598</v>
      </c>
    </row>
    <row r="1092" spans="1:1" x14ac:dyDescent="0.75">
      <c r="A1092" t="s">
        <v>599</v>
      </c>
    </row>
    <row r="1093" spans="1:1" x14ac:dyDescent="0.75">
      <c r="A1093" t="s">
        <v>600</v>
      </c>
    </row>
    <row r="1094" spans="1:1" x14ac:dyDescent="0.75">
      <c r="A1094" t="s">
        <v>601</v>
      </c>
    </row>
    <row r="1095" spans="1:1" x14ac:dyDescent="0.75">
      <c r="A1095" t="s">
        <v>602</v>
      </c>
    </row>
    <row r="1096" spans="1:1" x14ac:dyDescent="0.75">
      <c r="A1096" t="s">
        <v>603</v>
      </c>
    </row>
    <row r="1097" spans="1:1" x14ac:dyDescent="0.75">
      <c r="A1097" t="s">
        <v>604</v>
      </c>
    </row>
    <row r="1098" spans="1:1" x14ac:dyDescent="0.75">
      <c r="A1098" t="s">
        <v>824</v>
      </c>
    </row>
    <row r="1099" spans="1:1" x14ac:dyDescent="0.75">
      <c r="A1099" t="s">
        <v>825</v>
      </c>
    </row>
    <row r="1100" spans="1:1" x14ac:dyDescent="0.75">
      <c r="A1100" t="s">
        <v>826</v>
      </c>
    </row>
    <row r="1101" spans="1:1" x14ac:dyDescent="0.75">
      <c r="A1101" t="s">
        <v>827</v>
      </c>
    </row>
    <row r="1102" spans="1:1" x14ac:dyDescent="0.75">
      <c r="A1102" t="s">
        <v>828</v>
      </c>
    </row>
    <row r="1103" spans="1:1" x14ac:dyDescent="0.75">
      <c r="A1103" t="s">
        <v>829</v>
      </c>
    </row>
    <row r="1104" spans="1:1" x14ac:dyDescent="0.75">
      <c r="A1104" t="s">
        <v>846</v>
      </c>
    </row>
    <row r="1105" spans="1:1" x14ac:dyDescent="0.75">
      <c r="A1105" s="54" t="s">
        <v>847</v>
      </c>
    </row>
    <row r="1106" spans="1:1" x14ac:dyDescent="0.75">
      <c r="A1106" t="s">
        <v>592</v>
      </c>
    </row>
    <row r="1107" spans="1:1" x14ac:dyDescent="0.75">
      <c r="A1107" t="s">
        <v>593</v>
      </c>
    </row>
    <row r="1108" spans="1:1" x14ac:dyDescent="0.75">
      <c r="A1108" t="s">
        <v>594</v>
      </c>
    </row>
    <row r="1109" spans="1:1" x14ac:dyDescent="0.75">
      <c r="A1109" t="s">
        <v>595</v>
      </c>
    </row>
    <row r="1110" spans="1:1" x14ac:dyDescent="0.75">
      <c r="A1110" t="s">
        <v>596</v>
      </c>
    </row>
    <row r="1111" spans="1:1" x14ac:dyDescent="0.75">
      <c r="A1111" t="s">
        <v>597</v>
      </c>
    </row>
    <row r="1112" spans="1:1" x14ac:dyDescent="0.75">
      <c r="A1112" t="s">
        <v>598</v>
      </c>
    </row>
    <row r="1113" spans="1:1" x14ac:dyDescent="0.75">
      <c r="A1113" t="s">
        <v>599</v>
      </c>
    </row>
    <row r="1114" spans="1:1" x14ac:dyDescent="0.75">
      <c r="A1114" t="s">
        <v>600</v>
      </c>
    </row>
    <row r="1115" spans="1:1" x14ac:dyDescent="0.75">
      <c r="A1115" t="s">
        <v>601</v>
      </c>
    </row>
    <row r="1116" spans="1:1" x14ac:dyDescent="0.75">
      <c r="A1116" t="s">
        <v>602</v>
      </c>
    </row>
    <row r="1117" spans="1:1" x14ac:dyDescent="0.75">
      <c r="A1117" t="s">
        <v>603</v>
      </c>
    </row>
    <row r="1118" spans="1:1" x14ac:dyDescent="0.75">
      <c r="A1118" t="s">
        <v>604</v>
      </c>
    </row>
    <row r="1119" spans="1:1" x14ac:dyDescent="0.75">
      <c r="A1119" t="s">
        <v>714</v>
      </c>
    </row>
    <row r="1120" spans="1:1" x14ac:dyDescent="0.75">
      <c r="A1120" t="s">
        <v>715</v>
      </c>
    </row>
    <row r="1121" spans="1:1" x14ac:dyDescent="0.75">
      <c r="A1121" t="s">
        <v>716</v>
      </c>
    </row>
    <row r="1122" spans="1:1" x14ac:dyDescent="0.75">
      <c r="A1122" t="s">
        <v>717</v>
      </c>
    </row>
    <row r="1123" spans="1:1" x14ac:dyDescent="0.75">
      <c r="A1123" t="s">
        <v>718</v>
      </c>
    </row>
    <row r="1124" spans="1:1" x14ac:dyDescent="0.75">
      <c r="A1124" t="s">
        <v>719</v>
      </c>
    </row>
    <row r="1125" spans="1:1" x14ac:dyDescent="0.75">
      <c r="A1125" t="s">
        <v>848</v>
      </c>
    </row>
    <row r="1126" spans="1:1" x14ac:dyDescent="0.75">
      <c r="A1126" s="54" t="s">
        <v>849</v>
      </c>
    </row>
    <row r="1127" spans="1:1" x14ac:dyDescent="0.75">
      <c r="A1127" t="s">
        <v>592</v>
      </c>
    </row>
    <row r="1128" spans="1:1" x14ac:dyDescent="0.75">
      <c r="A1128" t="s">
        <v>593</v>
      </c>
    </row>
    <row r="1129" spans="1:1" x14ac:dyDescent="0.75">
      <c r="A1129" t="s">
        <v>594</v>
      </c>
    </row>
    <row r="1130" spans="1:1" x14ac:dyDescent="0.75">
      <c r="A1130" t="s">
        <v>595</v>
      </c>
    </row>
    <row r="1131" spans="1:1" x14ac:dyDescent="0.75">
      <c r="A1131" t="s">
        <v>596</v>
      </c>
    </row>
    <row r="1132" spans="1:1" x14ac:dyDescent="0.75">
      <c r="A1132" t="s">
        <v>597</v>
      </c>
    </row>
    <row r="1133" spans="1:1" x14ac:dyDescent="0.75">
      <c r="A1133" t="s">
        <v>598</v>
      </c>
    </row>
    <row r="1134" spans="1:1" x14ac:dyDescent="0.75">
      <c r="A1134" t="s">
        <v>599</v>
      </c>
    </row>
    <row r="1135" spans="1:1" x14ac:dyDescent="0.75">
      <c r="A1135" t="s">
        <v>600</v>
      </c>
    </row>
    <row r="1136" spans="1:1" x14ac:dyDescent="0.75">
      <c r="A1136" t="s">
        <v>601</v>
      </c>
    </row>
    <row r="1137" spans="1:1" x14ac:dyDescent="0.75">
      <c r="A1137" t="s">
        <v>602</v>
      </c>
    </row>
    <row r="1138" spans="1:1" x14ac:dyDescent="0.75">
      <c r="A1138" t="s">
        <v>603</v>
      </c>
    </row>
    <row r="1139" spans="1:1" x14ac:dyDescent="0.75">
      <c r="A1139" t="s">
        <v>604</v>
      </c>
    </row>
    <row r="1140" spans="1:1" x14ac:dyDescent="0.75">
      <c r="A1140" t="s">
        <v>634</v>
      </c>
    </row>
    <row r="1141" spans="1:1" x14ac:dyDescent="0.75">
      <c r="A1141" t="s">
        <v>635</v>
      </c>
    </row>
    <row r="1142" spans="1:1" x14ac:dyDescent="0.75">
      <c r="A1142" t="s">
        <v>636</v>
      </c>
    </row>
    <row r="1143" spans="1:1" x14ac:dyDescent="0.75">
      <c r="A1143" t="s">
        <v>637</v>
      </c>
    </row>
    <row r="1144" spans="1:1" x14ac:dyDescent="0.75">
      <c r="A1144" t="s">
        <v>638</v>
      </c>
    </row>
    <row r="1145" spans="1:1" x14ac:dyDescent="0.75">
      <c r="A1145" t="s">
        <v>639</v>
      </c>
    </row>
    <row r="1146" spans="1:1" x14ac:dyDescent="0.75">
      <c r="A1146" t="s">
        <v>850</v>
      </c>
    </row>
    <row r="1147" spans="1:1" x14ac:dyDescent="0.75">
      <c r="A1147" s="54" t="s">
        <v>851</v>
      </c>
    </row>
    <row r="1148" spans="1:1" x14ac:dyDescent="0.75">
      <c r="A1148" t="s">
        <v>592</v>
      </c>
    </row>
    <row r="1149" spans="1:1" x14ac:dyDescent="0.75">
      <c r="A1149" t="s">
        <v>593</v>
      </c>
    </row>
    <row r="1150" spans="1:1" x14ac:dyDescent="0.75">
      <c r="A1150" t="s">
        <v>594</v>
      </c>
    </row>
    <row r="1151" spans="1:1" x14ac:dyDescent="0.75">
      <c r="A1151" t="s">
        <v>595</v>
      </c>
    </row>
    <row r="1152" spans="1:1" x14ac:dyDescent="0.75">
      <c r="A1152" t="s">
        <v>596</v>
      </c>
    </row>
    <row r="1153" spans="1:1" x14ac:dyDescent="0.75">
      <c r="A1153" t="s">
        <v>597</v>
      </c>
    </row>
    <row r="1154" spans="1:1" x14ac:dyDescent="0.75">
      <c r="A1154" t="s">
        <v>598</v>
      </c>
    </row>
    <row r="1155" spans="1:1" x14ac:dyDescent="0.75">
      <c r="A1155" t="s">
        <v>599</v>
      </c>
    </row>
    <row r="1156" spans="1:1" x14ac:dyDescent="0.75">
      <c r="A1156" t="s">
        <v>600</v>
      </c>
    </row>
    <row r="1157" spans="1:1" x14ac:dyDescent="0.75">
      <c r="A1157" t="s">
        <v>601</v>
      </c>
    </row>
    <row r="1158" spans="1:1" x14ac:dyDescent="0.75">
      <c r="A1158" t="s">
        <v>602</v>
      </c>
    </row>
    <row r="1159" spans="1:1" x14ac:dyDescent="0.75">
      <c r="A1159" t="s">
        <v>603</v>
      </c>
    </row>
    <row r="1160" spans="1:1" x14ac:dyDescent="0.75">
      <c r="A1160" t="s">
        <v>604</v>
      </c>
    </row>
    <row r="1161" spans="1:1" x14ac:dyDescent="0.75">
      <c r="A1161" t="s">
        <v>836</v>
      </c>
    </row>
    <row r="1162" spans="1:1" x14ac:dyDescent="0.75">
      <c r="A1162" t="s">
        <v>837</v>
      </c>
    </row>
    <row r="1163" spans="1:1" x14ac:dyDescent="0.75">
      <c r="A1163" t="s">
        <v>838</v>
      </c>
    </row>
    <row r="1164" spans="1:1" x14ac:dyDescent="0.75">
      <c r="A1164" t="s">
        <v>839</v>
      </c>
    </row>
    <row r="1165" spans="1:1" x14ac:dyDescent="0.75">
      <c r="A1165" t="s">
        <v>840</v>
      </c>
    </row>
    <row r="1166" spans="1:1" x14ac:dyDescent="0.75">
      <c r="A1166" t="s">
        <v>841</v>
      </c>
    </row>
    <row r="1167" spans="1:1" x14ac:dyDescent="0.75">
      <c r="A1167" t="s">
        <v>852</v>
      </c>
    </row>
    <row r="1168" spans="1:1" x14ac:dyDescent="0.75">
      <c r="A1168" t="s">
        <v>853</v>
      </c>
    </row>
    <row r="1169" spans="1:1" x14ac:dyDescent="0.75">
      <c r="A1169" t="s">
        <v>592</v>
      </c>
    </row>
    <row r="1170" spans="1:1" x14ac:dyDescent="0.75">
      <c r="A1170" t="s">
        <v>593</v>
      </c>
    </row>
    <row r="1171" spans="1:1" x14ac:dyDescent="0.75">
      <c r="A1171" t="s">
        <v>594</v>
      </c>
    </row>
    <row r="1172" spans="1:1" x14ac:dyDescent="0.75">
      <c r="A1172" t="s">
        <v>595</v>
      </c>
    </row>
    <row r="1173" spans="1:1" x14ac:dyDescent="0.75">
      <c r="A1173" t="s">
        <v>596</v>
      </c>
    </row>
    <row r="1174" spans="1:1" x14ac:dyDescent="0.75">
      <c r="A1174" t="s">
        <v>597</v>
      </c>
    </row>
    <row r="1175" spans="1:1" x14ac:dyDescent="0.75">
      <c r="A1175" t="s">
        <v>598</v>
      </c>
    </row>
    <row r="1176" spans="1:1" x14ac:dyDescent="0.75">
      <c r="A1176" t="s">
        <v>599</v>
      </c>
    </row>
    <row r="1177" spans="1:1" x14ac:dyDescent="0.75">
      <c r="A1177" t="s">
        <v>600</v>
      </c>
    </row>
    <row r="1178" spans="1:1" x14ac:dyDescent="0.75">
      <c r="A1178" t="s">
        <v>601</v>
      </c>
    </row>
    <row r="1179" spans="1:1" x14ac:dyDescent="0.75">
      <c r="A1179" t="s">
        <v>602</v>
      </c>
    </row>
    <row r="1180" spans="1:1" x14ac:dyDescent="0.75">
      <c r="A1180" t="s">
        <v>603</v>
      </c>
    </row>
    <row r="1181" spans="1:1" x14ac:dyDescent="0.75">
      <c r="A1181" t="s">
        <v>604</v>
      </c>
    </row>
    <row r="1182" spans="1:1" x14ac:dyDescent="0.75">
      <c r="A1182" t="s">
        <v>751</v>
      </c>
    </row>
    <row r="1183" spans="1:1" x14ac:dyDescent="0.75">
      <c r="A1183" t="s">
        <v>752</v>
      </c>
    </row>
    <row r="1184" spans="1:1" x14ac:dyDescent="0.75">
      <c r="A1184" t="s">
        <v>753</v>
      </c>
    </row>
    <row r="1185" spans="1:1" x14ac:dyDescent="0.75">
      <c r="A1185" t="s">
        <v>754</v>
      </c>
    </row>
    <row r="1186" spans="1:1" x14ac:dyDescent="0.75">
      <c r="A1186" t="s">
        <v>755</v>
      </c>
    </row>
    <row r="1187" spans="1:1" x14ac:dyDescent="0.75">
      <c r="A1187" t="s">
        <v>756</v>
      </c>
    </row>
    <row r="1188" spans="1:1" x14ac:dyDescent="0.75">
      <c r="A1188" t="s">
        <v>854</v>
      </c>
    </row>
    <row r="1189" spans="1:1" x14ac:dyDescent="0.75">
      <c r="A1189" t="s">
        <v>855</v>
      </c>
    </row>
    <row r="1190" spans="1:1" x14ac:dyDescent="0.75">
      <c r="A1190" t="s">
        <v>592</v>
      </c>
    </row>
    <row r="1191" spans="1:1" x14ac:dyDescent="0.75">
      <c r="A1191" t="s">
        <v>593</v>
      </c>
    </row>
    <row r="1192" spans="1:1" x14ac:dyDescent="0.75">
      <c r="A1192" t="s">
        <v>594</v>
      </c>
    </row>
    <row r="1193" spans="1:1" x14ac:dyDescent="0.75">
      <c r="A1193" t="s">
        <v>595</v>
      </c>
    </row>
    <row r="1194" spans="1:1" x14ac:dyDescent="0.75">
      <c r="A1194" t="s">
        <v>596</v>
      </c>
    </row>
    <row r="1195" spans="1:1" x14ac:dyDescent="0.75">
      <c r="A1195" t="s">
        <v>597</v>
      </c>
    </row>
    <row r="1196" spans="1:1" x14ac:dyDescent="0.75">
      <c r="A1196" t="s">
        <v>598</v>
      </c>
    </row>
    <row r="1197" spans="1:1" x14ac:dyDescent="0.75">
      <c r="A1197" t="s">
        <v>599</v>
      </c>
    </row>
    <row r="1198" spans="1:1" x14ac:dyDescent="0.75">
      <c r="A1198" t="s">
        <v>600</v>
      </c>
    </row>
    <row r="1199" spans="1:1" x14ac:dyDescent="0.75">
      <c r="A1199" t="s">
        <v>601</v>
      </c>
    </row>
    <row r="1200" spans="1:1" x14ac:dyDescent="0.75">
      <c r="A1200" t="s">
        <v>602</v>
      </c>
    </row>
    <row r="1201" spans="1:1" x14ac:dyDescent="0.75">
      <c r="A1201" t="s">
        <v>603</v>
      </c>
    </row>
    <row r="1202" spans="1:1" x14ac:dyDescent="0.75">
      <c r="A1202" t="s">
        <v>604</v>
      </c>
    </row>
    <row r="1203" spans="1:1" x14ac:dyDescent="0.75">
      <c r="A1203" t="s">
        <v>824</v>
      </c>
    </row>
    <row r="1204" spans="1:1" x14ac:dyDescent="0.75">
      <c r="A1204" t="s">
        <v>825</v>
      </c>
    </row>
    <row r="1205" spans="1:1" x14ac:dyDescent="0.75">
      <c r="A1205" t="s">
        <v>826</v>
      </c>
    </row>
    <row r="1206" spans="1:1" x14ac:dyDescent="0.75">
      <c r="A1206" t="s">
        <v>827</v>
      </c>
    </row>
    <row r="1207" spans="1:1" x14ac:dyDescent="0.75">
      <c r="A1207" t="s">
        <v>828</v>
      </c>
    </row>
    <row r="1208" spans="1:1" x14ac:dyDescent="0.75">
      <c r="A1208" t="s">
        <v>829</v>
      </c>
    </row>
    <row r="1209" spans="1:1" x14ac:dyDescent="0.75">
      <c r="A1209" t="s">
        <v>856</v>
      </c>
    </row>
    <row r="1210" spans="1:1" x14ac:dyDescent="0.75">
      <c r="A1210" t="s">
        <v>857</v>
      </c>
    </row>
    <row r="1211" spans="1:1" x14ac:dyDescent="0.75">
      <c r="A1211" t="s">
        <v>592</v>
      </c>
    </row>
    <row r="1212" spans="1:1" x14ac:dyDescent="0.75">
      <c r="A1212" t="s">
        <v>593</v>
      </c>
    </row>
    <row r="1213" spans="1:1" x14ac:dyDescent="0.75">
      <c r="A1213" t="s">
        <v>594</v>
      </c>
    </row>
    <row r="1214" spans="1:1" x14ac:dyDescent="0.75">
      <c r="A1214" t="s">
        <v>595</v>
      </c>
    </row>
    <row r="1215" spans="1:1" x14ac:dyDescent="0.75">
      <c r="A1215" t="s">
        <v>596</v>
      </c>
    </row>
    <row r="1216" spans="1:1" x14ac:dyDescent="0.75">
      <c r="A1216" t="s">
        <v>597</v>
      </c>
    </row>
    <row r="1217" spans="1:1" x14ac:dyDescent="0.75">
      <c r="A1217" t="s">
        <v>598</v>
      </c>
    </row>
    <row r="1218" spans="1:1" x14ac:dyDescent="0.75">
      <c r="A1218" t="s">
        <v>599</v>
      </c>
    </row>
    <row r="1219" spans="1:1" x14ac:dyDescent="0.75">
      <c r="A1219" t="s">
        <v>600</v>
      </c>
    </row>
    <row r="1220" spans="1:1" x14ac:dyDescent="0.75">
      <c r="A1220" t="s">
        <v>601</v>
      </c>
    </row>
    <row r="1221" spans="1:1" x14ac:dyDescent="0.75">
      <c r="A1221" t="s">
        <v>602</v>
      </c>
    </row>
    <row r="1222" spans="1:1" x14ac:dyDescent="0.75">
      <c r="A1222" t="s">
        <v>603</v>
      </c>
    </row>
    <row r="1223" spans="1:1" x14ac:dyDescent="0.75">
      <c r="A1223" t="s">
        <v>604</v>
      </c>
    </row>
    <row r="1224" spans="1:1" x14ac:dyDescent="0.75">
      <c r="A1224" t="s">
        <v>714</v>
      </c>
    </row>
    <row r="1225" spans="1:1" x14ac:dyDescent="0.75">
      <c r="A1225" t="s">
        <v>715</v>
      </c>
    </row>
    <row r="1226" spans="1:1" x14ac:dyDescent="0.75">
      <c r="A1226" t="s">
        <v>716</v>
      </c>
    </row>
    <row r="1227" spans="1:1" x14ac:dyDescent="0.75">
      <c r="A1227" t="s">
        <v>717</v>
      </c>
    </row>
    <row r="1228" spans="1:1" x14ac:dyDescent="0.75">
      <c r="A1228" t="s">
        <v>718</v>
      </c>
    </row>
    <row r="1229" spans="1:1" x14ac:dyDescent="0.75">
      <c r="A1229" t="s">
        <v>719</v>
      </c>
    </row>
    <row r="1230" spans="1:1" x14ac:dyDescent="0.75">
      <c r="A1230" t="s">
        <v>858</v>
      </c>
    </row>
    <row r="1231" spans="1:1" x14ac:dyDescent="0.75">
      <c r="A1231" t="s">
        <v>859</v>
      </c>
    </row>
    <row r="1232" spans="1:1" x14ac:dyDescent="0.75">
      <c r="A1232" t="s">
        <v>592</v>
      </c>
    </row>
    <row r="1233" spans="1:1" x14ac:dyDescent="0.75">
      <c r="A1233" t="s">
        <v>593</v>
      </c>
    </row>
    <row r="1234" spans="1:1" x14ac:dyDescent="0.75">
      <c r="A1234" t="s">
        <v>594</v>
      </c>
    </row>
    <row r="1235" spans="1:1" x14ac:dyDescent="0.75">
      <c r="A1235" t="s">
        <v>595</v>
      </c>
    </row>
    <row r="1236" spans="1:1" x14ac:dyDescent="0.75">
      <c r="A1236" t="s">
        <v>596</v>
      </c>
    </row>
    <row r="1237" spans="1:1" x14ac:dyDescent="0.75">
      <c r="A1237" t="s">
        <v>597</v>
      </c>
    </row>
    <row r="1238" spans="1:1" x14ac:dyDescent="0.75">
      <c r="A1238" t="s">
        <v>598</v>
      </c>
    </row>
    <row r="1239" spans="1:1" x14ac:dyDescent="0.75">
      <c r="A1239" t="s">
        <v>599</v>
      </c>
    </row>
    <row r="1240" spans="1:1" x14ac:dyDescent="0.75">
      <c r="A1240" t="s">
        <v>600</v>
      </c>
    </row>
    <row r="1241" spans="1:1" x14ac:dyDescent="0.75">
      <c r="A1241" t="s">
        <v>601</v>
      </c>
    </row>
    <row r="1242" spans="1:1" x14ac:dyDescent="0.75">
      <c r="A1242" t="s">
        <v>602</v>
      </c>
    </row>
    <row r="1243" spans="1:1" x14ac:dyDescent="0.75">
      <c r="A1243" t="s">
        <v>603</v>
      </c>
    </row>
    <row r="1244" spans="1:1" x14ac:dyDescent="0.75">
      <c r="A1244" t="s">
        <v>604</v>
      </c>
    </row>
    <row r="1245" spans="1:1" x14ac:dyDescent="0.75">
      <c r="A1245" t="s">
        <v>634</v>
      </c>
    </row>
    <row r="1246" spans="1:1" x14ac:dyDescent="0.75">
      <c r="A1246" t="s">
        <v>635</v>
      </c>
    </row>
    <row r="1247" spans="1:1" x14ac:dyDescent="0.75">
      <c r="A1247" t="s">
        <v>636</v>
      </c>
    </row>
    <row r="1248" spans="1:1" x14ac:dyDescent="0.75">
      <c r="A1248" t="s">
        <v>637</v>
      </c>
    </row>
    <row r="1249" spans="1:1" x14ac:dyDescent="0.75">
      <c r="A1249" t="s">
        <v>638</v>
      </c>
    </row>
    <row r="1250" spans="1:1" x14ac:dyDescent="0.75">
      <c r="A1250" t="s">
        <v>639</v>
      </c>
    </row>
    <row r="1251" spans="1:1" x14ac:dyDescent="0.75">
      <c r="A1251" t="s">
        <v>860</v>
      </c>
    </row>
    <row r="1252" spans="1:1" x14ac:dyDescent="0.75">
      <c r="A1252" t="s">
        <v>861</v>
      </c>
    </row>
    <row r="1253" spans="1:1" x14ac:dyDescent="0.75">
      <c r="A1253" t="s">
        <v>592</v>
      </c>
    </row>
    <row r="1254" spans="1:1" x14ac:dyDescent="0.75">
      <c r="A1254" t="s">
        <v>593</v>
      </c>
    </row>
    <row r="1255" spans="1:1" x14ac:dyDescent="0.75">
      <c r="A1255" t="s">
        <v>594</v>
      </c>
    </row>
    <row r="1256" spans="1:1" x14ac:dyDescent="0.75">
      <c r="A1256" t="s">
        <v>595</v>
      </c>
    </row>
    <row r="1257" spans="1:1" x14ac:dyDescent="0.75">
      <c r="A1257" t="s">
        <v>596</v>
      </c>
    </row>
    <row r="1258" spans="1:1" x14ac:dyDescent="0.75">
      <c r="A1258" t="s">
        <v>597</v>
      </c>
    </row>
    <row r="1259" spans="1:1" x14ac:dyDescent="0.75">
      <c r="A1259" t="s">
        <v>598</v>
      </c>
    </row>
    <row r="1260" spans="1:1" x14ac:dyDescent="0.75">
      <c r="A1260" t="s">
        <v>599</v>
      </c>
    </row>
    <row r="1261" spans="1:1" x14ac:dyDescent="0.75">
      <c r="A1261" t="s">
        <v>600</v>
      </c>
    </row>
    <row r="1262" spans="1:1" x14ac:dyDescent="0.75">
      <c r="A1262" t="s">
        <v>601</v>
      </c>
    </row>
    <row r="1263" spans="1:1" x14ac:dyDescent="0.75">
      <c r="A1263" t="s">
        <v>602</v>
      </c>
    </row>
    <row r="1264" spans="1:1" x14ac:dyDescent="0.75">
      <c r="A1264" t="s">
        <v>603</v>
      </c>
    </row>
    <row r="1265" spans="1:1" x14ac:dyDescent="0.75">
      <c r="A1265" t="s">
        <v>604</v>
      </c>
    </row>
    <row r="1266" spans="1:1" x14ac:dyDescent="0.75">
      <c r="A1266" t="s">
        <v>836</v>
      </c>
    </row>
    <row r="1267" spans="1:1" x14ac:dyDescent="0.75">
      <c r="A1267" t="s">
        <v>837</v>
      </c>
    </row>
    <row r="1268" spans="1:1" x14ac:dyDescent="0.75">
      <c r="A1268" t="s">
        <v>838</v>
      </c>
    </row>
    <row r="1269" spans="1:1" x14ac:dyDescent="0.75">
      <c r="A1269" t="s">
        <v>839</v>
      </c>
    </row>
    <row r="1270" spans="1:1" x14ac:dyDescent="0.75">
      <c r="A1270" t="s">
        <v>840</v>
      </c>
    </row>
    <row r="1271" spans="1:1" x14ac:dyDescent="0.75">
      <c r="A1271" t="s">
        <v>841</v>
      </c>
    </row>
    <row r="1272" spans="1:1" x14ac:dyDescent="0.75">
      <c r="A1272" t="s">
        <v>862</v>
      </c>
    </row>
    <row r="1273" spans="1:1" x14ac:dyDescent="0.75">
      <c r="A1273" t="s">
        <v>863</v>
      </c>
    </row>
    <row r="1274" spans="1:1" x14ac:dyDescent="0.75">
      <c r="A1274" t="s">
        <v>592</v>
      </c>
    </row>
    <row r="1275" spans="1:1" x14ac:dyDescent="0.75">
      <c r="A1275" t="s">
        <v>593</v>
      </c>
    </row>
    <row r="1276" spans="1:1" x14ac:dyDescent="0.75">
      <c r="A1276" t="s">
        <v>594</v>
      </c>
    </row>
    <row r="1277" spans="1:1" x14ac:dyDescent="0.75">
      <c r="A1277" t="s">
        <v>595</v>
      </c>
    </row>
    <row r="1278" spans="1:1" x14ac:dyDescent="0.75">
      <c r="A1278" t="s">
        <v>596</v>
      </c>
    </row>
    <row r="1279" spans="1:1" x14ac:dyDescent="0.75">
      <c r="A1279" t="s">
        <v>597</v>
      </c>
    </row>
    <row r="1280" spans="1:1" x14ac:dyDescent="0.75">
      <c r="A1280" t="s">
        <v>598</v>
      </c>
    </row>
    <row r="1281" spans="1:1" x14ac:dyDescent="0.75">
      <c r="A1281" t="s">
        <v>599</v>
      </c>
    </row>
    <row r="1282" spans="1:1" x14ac:dyDescent="0.75">
      <c r="A1282" t="s">
        <v>600</v>
      </c>
    </row>
    <row r="1283" spans="1:1" x14ac:dyDescent="0.75">
      <c r="A1283" t="s">
        <v>601</v>
      </c>
    </row>
    <row r="1284" spans="1:1" x14ac:dyDescent="0.75">
      <c r="A1284" t="s">
        <v>602</v>
      </c>
    </row>
    <row r="1285" spans="1:1" x14ac:dyDescent="0.75">
      <c r="A1285" t="s">
        <v>603</v>
      </c>
    </row>
    <row r="1286" spans="1:1" x14ac:dyDescent="0.75">
      <c r="A1286" t="s">
        <v>604</v>
      </c>
    </row>
    <row r="1287" spans="1:1" x14ac:dyDescent="0.75">
      <c r="A1287" t="s">
        <v>751</v>
      </c>
    </row>
    <row r="1288" spans="1:1" x14ac:dyDescent="0.75">
      <c r="A1288" t="s">
        <v>752</v>
      </c>
    </row>
    <row r="1289" spans="1:1" x14ac:dyDescent="0.75">
      <c r="A1289" t="s">
        <v>753</v>
      </c>
    </row>
    <row r="1290" spans="1:1" x14ac:dyDescent="0.75">
      <c r="A1290" t="s">
        <v>754</v>
      </c>
    </row>
    <row r="1291" spans="1:1" x14ac:dyDescent="0.75">
      <c r="A1291" t="s">
        <v>755</v>
      </c>
    </row>
    <row r="1292" spans="1:1" x14ac:dyDescent="0.75">
      <c r="A1292" t="s">
        <v>756</v>
      </c>
    </row>
    <row r="1293" spans="1:1" x14ac:dyDescent="0.75">
      <c r="A1293" t="s">
        <v>864</v>
      </c>
    </row>
    <row r="1294" spans="1:1" x14ac:dyDescent="0.75">
      <c r="A1294" t="s">
        <v>865</v>
      </c>
    </row>
    <row r="1295" spans="1:1" x14ac:dyDescent="0.75">
      <c r="A1295" t="s">
        <v>592</v>
      </c>
    </row>
    <row r="1296" spans="1:1" x14ac:dyDescent="0.75">
      <c r="A1296" t="s">
        <v>593</v>
      </c>
    </row>
    <row r="1297" spans="1:1" x14ac:dyDescent="0.75">
      <c r="A1297" t="s">
        <v>594</v>
      </c>
    </row>
    <row r="1298" spans="1:1" x14ac:dyDescent="0.75">
      <c r="A1298" t="s">
        <v>595</v>
      </c>
    </row>
    <row r="1299" spans="1:1" x14ac:dyDescent="0.75">
      <c r="A1299" t="s">
        <v>596</v>
      </c>
    </row>
    <row r="1300" spans="1:1" x14ac:dyDescent="0.75">
      <c r="A1300" t="s">
        <v>597</v>
      </c>
    </row>
    <row r="1301" spans="1:1" x14ac:dyDescent="0.75">
      <c r="A1301" t="s">
        <v>598</v>
      </c>
    </row>
    <row r="1302" spans="1:1" x14ac:dyDescent="0.75">
      <c r="A1302" t="s">
        <v>599</v>
      </c>
    </row>
    <row r="1303" spans="1:1" x14ac:dyDescent="0.75">
      <c r="A1303" t="s">
        <v>600</v>
      </c>
    </row>
    <row r="1304" spans="1:1" x14ac:dyDescent="0.75">
      <c r="A1304" t="s">
        <v>601</v>
      </c>
    </row>
    <row r="1305" spans="1:1" x14ac:dyDescent="0.75">
      <c r="A1305" t="s">
        <v>602</v>
      </c>
    </row>
    <row r="1306" spans="1:1" x14ac:dyDescent="0.75">
      <c r="A1306" t="s">
        <v>603</v>
      </c>
    </row>
    <row r="1307" spans="1:1" x14ac:dyDescent="0.75">
      <c r="A1307" t="s">
        <v>604</v>
      </c>
    </row>
    <row r="1308" spans="1:1" x14ac:dyDescent="0.75">
      <c r="A1308" t="s">
        <v>824</v>
      </c>
    </row>
    <row r="1309" spans="1:1" x14ac:dyDescent="0.75">
      <c r="A1309" t="s">
        <v>825</v>
      </c>
    </row>
    <row r="1310" spans="1:1" x14ac:dyDescent="0.75">
      <c r="A1310" t="s">
        <v>826</v>
      </c>
    </row>
    <row r="1311" spans="1:1" x14ac:dyDescent="0.75">
      <c r="A1311" t="s">
        <v>827</v>
      </c>
    </row>
    <row r="1312" spans="1:1" x14ac:dyDescent="0.75">
      <c r="A1312" t="s">
        <v>828</v>
      </c>
    </row>
    <row r="1313" spans="1:1" x14ac:dyDescent="0.75">
      <c r="A1313" t="s">
        <v>829</v>
      </c>
    </row>
    <row r="1314" spans="1:1" x14ac:dyDescent="0.75">
      <c r="A1314" t="s">
        <v>866</v>
      </c>
    </row>
    <row r="1315" spans="1:1" x14ac:dyDescent="0.75">
      <c r="A1315" t="s">
        <v>867</v>
      </c>
    </row>
    <row r="1316" spans="1:1" x14ac:dyDescent="0.75">
      <c r="A1316" t="s">
        <v>592</v>
      </c>
    </row>
    <row r="1317" spans="1:1" x14ac:dyDescent="0.75">
      <c r="A1317" t="s">
        <v>593</v>
      </c>
    </row>
    <row r="1318" spans="1:1" x14ac:dyDescent="0.75">
      <c r="A1318" t="s">
        <v>594</v>
      </c>
    </row>
    <row r="1319" spans="1:1" x14ac:dyDescent="0.75">
      <c r="A1319" t="s">
        <v>595</v>
      </c>
    </row>
    <row r="1320" spans="1:1" x14ac:dyDescent="0.75">
      <c r="A1320" t="s">
        <v>596</v>
      </c>
    </row>
    <row r="1321" spans="1:1" x14ac:dyDescent="0.75">
      <c r="A1321" t="s">
        <v>597</v>
      </c>
    </row>
    <row r="1322" spans="1:1" x14ac:dyDescent="0.75">
      <c r="A1322" t="s">
        <v>598</v>
      </c>
    </row>
    <row r="1323" spans="1:1" x14ac:dyDescent="0.75">
      <c r="A1323" t="s">
        <v>599</v>
      </c>
    </row>
    <row r="1324" spans="1:1" x14ac:dyDescent="0.75">
      <c r="A1324" t="s">
        <v>600</v>
      </c>
    </row>
    <row r="1325" spans="1:1" x14ac:dyDescent="0.75">
      <c r="A1325" t="s">
        <v>601</v>
      </c>
    </row>
    <row r="1326" spans="1:1" x14ac:dyDescent="0.75">
      <c r="A1326" t="s">
        <v>602</v>
      </c>
    </row>
    <row r="1327" spans="1:1" x14ac:dyDescent="0.75">
      <c r="A1327" t="s">
        <v>603</v>
      </c>
    </row>
    <row r="1328" spans="1:1" x14ac:dyDescent="0.75">
      <c r="A1328" t="s">
        <v>604</v>
      </c>
    </row>
    <row r="1329" spans="1:1" x14ac:dyDescent="0.75">
      <c r="A1329" t="s">
        <v>714</v>
      </c>
    </row>
    <row r="1330" spans="1:1" x14ac:dyDescent="0.75">
      <c r="A1330" t="s">
        <v>715</v>
      </c>
    </row>
    <row r="1331" spans="1:1" x14ac:dyDescent="0.75">
      <c r="A1331" t="s">
        <v>716</v>
      </c>
    </row>
    <row r="1332" spans="1:1" x14ac:dyDescent="0.75">
      <c r="A1332" t="s">
        <v>717</v>
      </c>
    </row>
    <row r="1333" spans="1:1" x14ac:dyDescent="0.75">
      <c r="A1333" t="s">
        <v>718</v>
      </c>
    </row>
    <row r="1334" spans="1:1" x14ac:dyDescent="0.75">
      <c r="A1334" t="s">
        <v>719</v>
      </c>
    </row>
    <row r="1335" spans="1:1" x14ac:dyDescent="0.75">
      <c r="A1335" t="s">
        <v>868</v>
      </c>
    </row>
    <row r="1336" spans="1:1" x14ac:dyDescent="0.75">
      <c r="A1336" t="s">
        <v>869</v>
      </c>
    </row>
    <row r="1337" spans="1:1" x14ac:dyDescent="0.75">
      <c r="A1337" t="s">
        <v>592</v>
      </c>
    </row>
    <row r="1338" spans="1:1" x14ac:dyDescent="0.75">
      <c r="A1338" t="s">
        <v>593</v>
      </c>
    </row>
    <row r="1339" spans="1:1" x14ac:dyDescent="0.75">
      <c r="A1339" t="s">
        <v>594</v>
      </c>
    </row>
    <row r="1340" spans="1:1" x14ac:dyDescent="0.75">
      <c r="A1340" t="s">
        <v>595</v>
      </c>
    </row>
    <row r="1341" spans="1:1" x14ac:dyDescent="0.75">
      <c r="A1341" t="s">
        <v>596</v>
      </c>
    </row>
    <row r="1342" spans="1:1" x14ac:dyDescent="0.75">
      <c r="A1342" t="s">
        <v>597</v>
      </c>
    </row>
    <row r="1343" spans="1:1" x14ac:dyDescent="0.75">
      <c r="A1343" t="s">
        <v>598</v>
      </c>
    </row>
    <row r="1344" spans="1:1" x14ac:dyDescent="0.75">
      <c r="A1344" t="s">
        <v>599</v>
      </c>
    </row>
    <row r="1345" spans="1:1" x14ac:dyDescent="0.75">
      <c r="A1345" t="s">
        <v>600</v>
      </c>
    </row>
    <row r="1346" spans="1:1" x14ac:dyDescent="0.75">
      <c r="A1346" t="s">
        <v>601</v>
      </c>
    </row>
    <row r="1347" spans="1:1" x14ac:dyDescent="0.75">
      <c r="A1347" t="s">
        <v>602</v>
      </c>
    </row>
    <row r="1348" spans="1:1" x14ac:dyDescent="0.75">
      <c r="A1348" t="s">
        <v>603</v>
      </c>
    </row>
    <row r="1349" spans="1:1" x14ac:dyDescent="0.75">
      <c r="A1349" t="s">
        <v>604</v>
      </c>
    </row>
    <row r="1350" spans="1:1" x14ac:dyDescent="0.75">
      <c r="A1350" t="s">
        <v>634</v>
      </c>
    </row>
    <row r="1351" spans="1:1" x14ac:dyDescent="0.75">
      <c r="A1351" t="s">
        <v>635</v>
      </c>
    </row>
    <row r="1352" spans="1:1" x14ac:dyDescent="0.75">
      <c r="A1352" t="s">
        <v>636</v>
      </c>
    </row>
    <row r="1353" spans="1:1" x14ac:dyDescent="0.75">
      <c r="A1353" t="s">
        <v>637</v>
      </c>
    </row>
    <row r="1354" spans="1:1" x14ac:dyDescent="0.75">
      <c r="A1354" t="s">
        <v>638</v>
      </c>
    </row>
    <row r="1355" spans="1:1" x14ac:dyDescent="0.75">
      <c r="A1355" t="s">
        <v>639</v>
      </c>
    </row>
    <row r="1356" spans="1:1" x14ac:dyDescent="0.75">
      <c r="A1356" t="s">
        <v>870</v>
      </c>
    </row>
    <row r="1357" spans="1:1" x14ac:dyDescent="0.75">
      <c r="A1357" t="s">
        <v>871</v>
      </c>
    </row>
    <row r="1358" spans="1:1" x14ac:dyDescent="0.75">
      <c r="A1358" t="s">
        <v>592</v>
      </c>
    </row>
    <row r="1359" spans="1:1" x14ac:dyDescent="0.75">
      <c r="A1359" t="s">
        <v>593</v>
      </c>
    </row>
    <row r="1360" spans="1:1" x14ac:dyDescent="0.75">
      <c r="A1360" t="s">
        <v>594</v>
      </c>
    </row>
    <row r="1361" spans="1:1" x14ac:dyDescent="0.75">
      <c r="A1361" t="s">
        <v>595</v>
      </c>
    </row>
    <row r="1362" spans="1:1" x14ac:dyDescent="0.75">
      <c r="A1362" t="s">
        <v>596</v>
      </c>
    </row>
    <row r="1363" spans="1:1" x14ac:dyDescent="0.75">
      <c r="A1363" t="s">
        <v>597</v>
      </c>
    </row>
    <row r="1364" spans="1:1" x14ac:dyDescent="0.75">
      <c r="A1364" t="s">
        <v>598</v>
      </c>
    </row>
    <row r="1365" spans="1:1" x14ac:dyDescent="0.75">
      <c r="A1365" t="s">
        <v>599</v>
      </c>
    </row>
    <row r="1366" spans="1:1" x14ac:dyDescent="0.75">
      <c r="A1366" t="s">
        <v>600</v>
      </c>
    </row>
    <row r="1367" spans="1:1" x14ac:dyDescent="0.75">
      <c r="A1367" t="s">
        <v>601</v>
      </c>
    </row>
    <row r="1368" spans="1:1" x14ac:dyDescent="0.75">
      <c r="A1368" t="s">
        <v>602</v>
      </c>
    </row>
    <row r="1369" spans="1:1" x14ac:dyDescent="0.75">
      <c r="A1369" t="s">
        <v>603</v>
      </c>
    </row>
    <row r="1370" spans="1:1" x14ac:dyDescent="0.75">
      <c r="A1370" t="s">
        <v>604</v>
      </c>
    </row>
    <row r="1371" spans="1:1" x14ac:dyDescent="0.75">
      <c r="A1371" t="s">
        <v>836</v>
      </c>
    </row>
    <row r="1372" spans="1:1" x14ac:dyDescent="0.75">
      <c r="A1372" t="s">
        <v>837</v>
      </c>
    </row>
    <row r="1373" spans="1:1" x14ac:dyDescent="0.75">
      <c r="A1373" t="s">
        <v>838</v>
      </c>
    </row>
    <row r="1374" spans="1:1" x14ac:dyDescent="0.75">
      <c r="A1374" t="s">
        <v>839</v>
      </c>
    </row>
    <row r="1375" spans="1:1" x14ac:dyDescent="0.75">
      <c r="A1375" t="s">
        <v>840</v>
      </c>
    </row>
    <row r="1376" spans="1:1" x14ac:dyDescent="0.75">
      <c r="A1376" t="s">
        <v>841</v>
      </c>
    </row>
    <row r="1377" spans="1:1" x14ac:dyDescent="0.75">
      <c r="A1377" t="s">
        <v>872</v>
      </c>
    </row>
    <row r="1378" spans="1:1" x14ac:dyDescent="0.75">
      <c r="A1378" t="s">
        <v>873</v>
      </c>
    </row>
    <row r="1379" spans="1:1" x14ac:dyDescent="0.75">
      <c r="A1379" t="s">
        <v>592</v>
      </c>
    </row>
    <row r="1380" spans="1:1" x14ac:dyDescent="0.75">
      <c r="A1380" t="s">
        <v>593</v>
      </c>
    </row>
    <row r="1381" spans="1:1" x14ac:dyDescent="0.75">
      <c r="A1381" t="s">
        <v>594</v>
      </c>
    </row>
    <row r="1382" spans="1:1" x14ac:dyDescent="0.75">
      <c r="A1382" t="s">
        <v>595</v>
      </c>
    </row>
    <row r="1383" spans="1:1" x14ac:dyDescent="0.75">
      <c r="A1383" t="s">
        <v>596</v>
      </c>
    </row>
    <row r="1384" spans="1:1" x14ac:dyDescent="0.75">
      <c r="A1384" t="s">
        <v>597</v>
      </c>
    </row>
    <row r="1385" spans="1:1" x14ac:dyDescent="0.75">
      <c r="A1385" t="s">
        <v>598</v>
      </c>
    </row>
    <row r="1386" spans="1:1" x14ac:dyDescent="0.75">
      <c r="A1386" t="s">
        <v>599</v>
      </c>
    </row>
    <row r="1387" spans="1:1" x14ac:dyDescent="0.75">
      <c r="A1387" t="s">
        <v>600</v>
      </c>
    </row>
    <row r="1388" spans="1:1" x14ac:dyDescent="0.75">
      <c r="A1388" t="s">
        <v>601</v>
      </c>
    </row>
    <row r="1389" spans="1:1" x14ac:dyDescent="0.75">
      <c r="A1389" t="s">
        <v>602</v>
      </c>
    </row>
    <row r="1390" spans="1:1" x14ac:dyDescent="0.75">
      <c r="A1390" t="s">
        <v>603</v>
      </c>
    </row>
    <row r="1391" spans="1:1" x14ac:dyDescent="0.75">
      <c r="A1391" t="s">
        <v>604</v>
      </c>
    </row>
    <row r="1392" spans="1:1" x14ac:dyDescent="0.75">
      <c r="A1392" t="s">
        <v>751</v>
      </c>
    </row>
    <row r="1393" spans="1:1" x14ac:dyDescent="0.75">
      <c r="A1393" t="s">
        <v>752</v>
      </c>
    </row>
    <row r="1394" spans="1:1" x14ac:dyDescent="0.75">
      <c r="A1394" t="s">
        <v>753</v>
      </c>
    </row>
    <row r="1395" spans="1:1" x14ac:dyDescent="0.75">
      <c r="A1395" t="s">
        <v>754</v>
      </c>
    </row>
    <row r="1396" spans="1:1" x14ac:dyDescent="0.75">
      <c r="A1396" t="s">
        <v>755</v>
      </c>
    </row>
    <row r="1397" spans="1:1" x14ac:dyDescent="0.75">
      <c r="A1397" t="s">
        <v>756</v>
      </c>
    </row>
    <row r="1398" spans="1:1" x14ac:dyDescent="0.75">
      <c r="A1398" t="s">
        <v>874</v>
      </c>
    </row>
    <row r="1399" spans="1:1" x14ac:dyDescent="0.75">
      <c r="A1399" t="s">
        <v>875</v>
      </c>
    </row>
    <row r="1400" spans="1:1" x14ac:dyDescent="0.75">
      <c r="A1400" t="s">
        <v>592</v>
      </c>
    </row>
    <row r="1401" spans="1:1" x14ac:dyDescent="0.75">
      <c r="A1401" t="s">
        <v>593</v>
      </c>
    </row>
    <row r="1402" spans="1:1" x14ac:dyDescent="0.75">
      <c r="A1402" t="s">
        <v>594</v>
      </c>
    </row>
    <row r="1403" spans="1:1" x14ac:dyDescent="0.75">
      <c r="A1403" t="s">
        <v>595</v>
      </c>
    </row>
    <row r="1404" spans="1:1" x14ac:dyDescent="0.75">
      <c r="A1404" t="s">
        <v>596</v>
      </c>
    </row>
    <row r="1405" spans="1:1" x14ac:dyDescent="0.75">
      <c r="A1405" t="s">
        <v>597</v>
      </c>
    </row>
    <row r="1406" spans="1:1" x14ac:dyDescent="0.75">
      <c r="A1406" t="s">
        <v>598</v>
      </c>
    </row>
    <row r="1407" spans="1:1" x14ac:dyDescent="0.75">
      <c r="A1407" t="s">
        <v>599</v>
      </c>
    </row>
    <row r="1408" spans="1:1" x14ac:dyDescent="0.75">
      <c r="A1408" t="s">
        <v>600</v>
      </c>
    </row>
    <row r="1409" spans="1:1" x14ac:dyDescent="0.75">
      <c r="A1409" t="s">
        <v>601</v>
      </c>
    </row>
    <row r="1410" spans="1:1" x14ac:dyDescent="0.75">
      <c r="A1410" t="s">
        <v>602</v>
      </c>
    </row>
    <row r="1411" spans="1:1" x14ac:dyDescent="0.75">
      <c r="A1411" t="s">
        <v>603</v>
      </c>
    </row>
    <row r="1412" spans="1:1" x14ac:dyDescent="0.75">
      <c r="A1412" t="s">
        <v>604</v>
      </c>
    </row>
    <row r="1413" spans="1:1" x14ac:dyDescent="0.75">
      <c r="A1413" t="s">
        <v>714</v>
      </c>
    </row>
    <row r="1414" spans="1:1" x14ac:dyDescent="0.75">
      <c r="A1414" t="s">
        <v>715</v>
      </c>
    </row>
    <row r="1415" spans="1:1" x14ac:dyDescent="0.75">
      <c r="A1415" t="s">
        <v>716</v>
      </c>
    </row>
    <row r="1416" spans="1:1" x14ac:dyDescent="0.75">
      <c r="A1416" t="s">
        <v>717</v>
      </c>
    </row>
    <row r="1417" spans="1:1" x14ac:dyDescent="0.75">
      <c r="A1417" t="s">
        <v>718</v>
      </c>
    </row>
    <row r="1418" spans="1:1" x14ac:dyDescent="0.75">
      <c r="A1418" t="s">
        <v>719</v>
      </c>
    </row>
    <row r="1419" spans="1:1" x14ac:dyDescent="0.75">
      <c r="A1419" t="s">
        <v>876</v>
      </c>
    </row>
    <row r="1420" spans="1:1" x14ac:dyDescent="0.75">
      <c r="A1420" t="s">
        <v>877</v>
      </c>
    </row>
    <row r="1421" spans="1:1" x14ac:dyDescent="0.75">
      <c r="A1421" t="s">
        <v>592</v>
      </c>
    </row>
    <row r="1422" spans="1:1" x14ac:dyDescent="0.75">
      <c r="A1422" t="s">
        <v>593</v>
      </c>
    </row>
    <row r="1423" spans="1:1" x14ac:dyDescent="0.75">
      <c r="A1423" t="s">
        <v>594</v>
      </c>
    </row>
    <row r="1424" spans="1:1" x14ac:dyDescent="0.75">
      <c r="A1424" t="s">
        <v>595</v>
      </c>
    </row>
    <row r="1425" spans="1:1" x14ac:dyDescent="0.75">
      <c r="A1425" t="s">
        <v>596</v>
      </c>
    </row>
    <row r="1426" spans="1:1" x14ac:dyDescent="0.75">
      <c r="A1426" t="s">
        <v>597</v>
      </c>
    </row>
    <row r="1427" spans="1:1" x14ac:dyDescent="0.75">
      <c r="A1427" t="s">
        <v>598</v>
      </c>
    </row>
    <row r="1428" spans="1:1" x14ac:dyDescent="0.75">
      <c r="A1428" t="s">
        <v>599</v>
      </c>
    </row>
    <row r="1429" spans="1:1" x14ac:dyDescent="0.75">
      <c r="A1429" t="s">
        <v>600</v>
      </c>
    </row>
    <row r="1430" spans="1:1" x14ac:dyDescent="0.75">
      <c r="A1430" t="s">
        <v>601</v>
      </c>
    </row>
    <row r="1431" spans="1:1" x14ac:dyDescent="0.75">
      <c r="A1431" t="s">
        <v>602</v>
      </c>
    </row>
    <row r="1432" spans="1:1" x14ac:dyDescent="0.75">
      <c r="A1432" t="s">
        <v>603</v>
      </c>
    </row>
    <row r="1433" spans="1:1" x14ac:dyDescent="0.75">
      <c r="A1433" t="s">
        <v>604</v>
      </c>
    </row>
    <row r="1434" spans="1:1" x14ac:dyDescent="0.75">
      <c r="A1434" t="s">
        <v>634</v>
      </c>
    </row>
    <row r="1435" spans="1:1" x14ac:dyDescent="0.75">
      <c r="A1435" t="s">
        <v>635</v>
      </c>
    </row>
    <row r="1436" spans="1:1" x14ac:dyDescent="0.75">
      <c r="A1436" t="s">
        <v>636</v>
      </c>
    </row>
    <row r="1437" spans="1:1" x14ac:dyDescent="0.75">
      <c r="A1437" t="s">
        <v>637</v>
      </c>
    </row>
    <row r="1438" spans="1:1" x14ac:dyDescent="0.75">
      <c r="A1438" t="s">
        <v>638</v>
      </c>
    </row>
    <row r="1439" spans="1:1" x14ac:dyDescent="0.75">
      <c r="A1439" t="s">
        <v>639</v>
      </c>
    </row>
    <row r="1440" spans="1:1" x14ac:dyDescent="0.75">
      <c r="A1440" t="s">
        <v>878</v>
      </c>
    </row>
    <row r="1441" spans="1:1" x14ac:dyDescent="0.75">
      <c r="A1441" t="s">
        <v>879</v>
      </c>
    </row>
    <row r="1442" spans="1:1" x14ac:dyDescent="0.75">
      <c r="A1442" t="s">
        <v>592</v>
      </c>
    </row>
    <row r="1443" spans="1:1" x14ac:dyDescent="0.75">
      <c r="A1443" t="s">
        <v>593</v>
      </c>
    </row>
    <row r="1444" spans="1:1" x14ac:dyDescent="0.75">
      <c r="A1444" t="s">
        <v>594</v>
      </c>
    </row>
    <row r="1445" spans="1:1" x14ac:dyDescent="0.75">
      <c r="A1445" t="s">
        <v>595</v>
      </c>
    </row>
    <row r="1446" spans="1:1" x14ac:dyDescent="0.75">
      <c r="A1446" t="s">
        <v>596</v>
      </c>
    </row>
    <row r="1447" spans="1:1" x14ac:dyDescent="0.75">
      <c r="A1447" t="s">
        <v>597</v>
      </c>
    </row>
    <row r="1448" spans="1:1" x14ac:dyDescent="0.75">
      <c r="A1448" t="s">
        <v>598</v>
      </c>
    </row>
    <row r="1449" spans="1:1" x14ac:dyDescent="0.75">
      <c r="A1449" t="s">
        <v>599</v>
      </c>
    </row>
    <row r="1450" spans="1:1" x14ac:dyDescent="0.75">
      <c r="A1450" t="s">
        <v>600</v>
      </c>
    </row>
    <row r="1451" spans="1:1" x14ac:dyDescent="0.75">
      <c r="A1451" t="s">
        <v>601</v>
      </c>
    </row>
    <row r="1452" spans="1:1" x14ac:dyDescent="0.75">
      <c r="A1452" t="s">
        <v>602</v>
      </c>
    </row>
    <row r="1453" spans="1:1" x14ac:dyDescent="0.75">
      <c r="A1453" t="s">
        <v>603</v>
      </c>
    </row>
    <row r="1454" spans="1:1" x14ac:dyDescent="0.75">
      <c r="A1454" t="s">
        <v>604</v>
      </c>
    </row>
    <row r="1455" spans="1:1" x14ac:dyDescent="0.75">
      <c r="A1455" t="s">
        <v>836</v>
      </c>
    </row>
    <row r="1456" spans="1:1" x14ac:dyDescent="0.75">
      <c r="A1456" t="s">
        <v>837</v>
      </c>
    </row>
    <row r="1457" spans="1:1" x14ac:dyDescent="0.75">
      <c r="A1457" t="s">
        <v>838</v>
      </c>
    </row>
    <row r="1458" spans="1:1" x14ac:dyDescent="0.75">
      <c r="A1458" t="s">
        <v>839</v>
      </c>
    </row>
    <row r="1459" spans="1:1" x14ac:dyDescent="0.75">
      <c r="A1459" t="s">
        <v>840</v>
      </c>
    </row>
    <row r="1460" spans="1:1" x14ac:dyDescent="0.75">
      <c r="A1460" t="s">
        <v>841</v>
      </c>
    </row>
    <row r="1461" spans="1:1" x14ac:dyDescent="0.75">
      <c r="A1461" t="s">
        <v>880</v>
      </c>
    </row>
    <row r="1462" spans="1:1" x14ac:dyDescent="0.75">
      <c r="A1462" t="s">
        <v>881</v>
      </c>
    </row>
    <row r="1463" spans="1:1" x14ac:dyDescent="0.75">
      <c r="A1463" t="s">
        <v>620</v>
      </c>
    </row>
    <row r="1464" spans="1:1" x14ac:dyDescent="0.75">
      <c r="A1464" t="s">
        <v>670</v>
      </c>
    </row>
    <row r="1465" spans="1:1" x14ac:dyDescent="0.75">
      <c r="A1465" t="s">
        <v>642</v>
      </c>
    </row>
    <row r="1466" spans="1:1" x14ac:dyDescent="0.75">
      <c r="A1466" t="s">
        <v>795</v>
      </c>
    </row>
    <row r="1467" spans="1:1" x14ac:dyDescent="0.75">
      <c r="A1467" t="s">
        <v>807</v>
      </c>
    </row>
    <row r="1468" spans="1:1" x14ac:dyDescent="0.75">
      <c r="A1468" t="s">
        <v>882</v>
      </c>
    </row>
    <row r="1469" spans="1:1" x14ac:dyDescent="0.75">
      <c r="A1469" t="s">
        <v>598</v>
      </c>
    </row>
    <row r="1470" spans="1:1" x14ac:dyDescent="0.75">
      <c r="A1470" t="s">
        <v>599</v>
      </c>
    </row>
    <row r="1471" spans="1:1" x14ac:dyDescent="0.75">
      <c r="A1471" t="s">
        <v>600</v>
      </c>
    </row>
    <row r="1472" spans="1:1" x14ac:dyDescent="0.75">
      <c r="A1472" t="s">
        <v>711</v>
      </c>
    </row>
    <row r="1473" spans="1:1" x14ac:dyDescent="0.75">
      <c r="A1473" t="s">
        <v>712</v>
      </c>
    </row>
    <row r="1474" spans="1:1" x14ac:dyDescent="0.75">
      <c r="A1474" t="s">
        <v>713</v>
      </c>
    </row>
    <row r="1475" spans="1:1" x14ac:dyDescent="0.75">
      <c r="A1475" t="s">
        <v>643</v>
      </c>
    </row>
    <row r="1476" spans="1:1" x14ac:dyDescent="0.75">
      <c r="A1476" t="s">
        <v>650</v>
      </c>
    </row>
    <row r="1477" spans="1:1" x14ac:dyDescent="0.75">
      <c r="A1477" t="s">
        <v>763</v>
      </c>
    </row>
    <row r="1478" spans="1:1" x14ac:dyDescent="0.75">
      <c r="A1478" t="s">
        <v>745</v>
      </c>
    </row>
    <row r="1479" spans="1:1" x14ac:dyDescent="0.75">
      <c r="A1479" t="s">
        <v>746</v>
      </c>
    </row>
    <row r="1480" spans="1:1" x14ac:dyDescent="0.75">
      <c r="A1480" t="s">
        <v>883</v>
      </c>
    </row>
    <row r="1481" spans="1:1" x14ac:dyDescent="0.75">
      <c r="A1481" t="s">
        <v>748</v>
      </c>
    </row>
    <row r="1482" spans="1:1" x14ac:dyDescent="0.75">
      <c r="A1482" t="s">
        <v>749</v>
      </c>
    </row>
    <row r="1483" spans="1:1" x14ac:dyDescent="0.75">
      <c r="A1483" t="s">
        <v>751</v>
      </c>
    </row>
    <row r="1484" spans="1:1" x14ac:dyDescent="0.75">
      <c r="A1484" t="s">
        <v>752</v>
      </c>
    </row>
    <row r="1485" spans="1:1" x14ac:dyDescent="0.75">
      <c r="A1485" t="s">
        <v>753</v>
      </c>
    </row>
    <row r="1486" spans="1:1" x14ac:dyDescent="0.75">
      <c r="A1486" t="s">
        <v>754</v>
      </c>
    </row>
    <row r="1487" spans="1:1" x14ac:dyDescent="0.75">
      <c r="A1487" t="s">
        <v>755</v>
      </c>
    </row>
    <row r="1488" spans="1:1" x14ac:dyDescent="0.75">
      <c r="A1488" t="s">
        <v>756</v>
      </c>
    </row>
    <row r="1489" spans="1:1" x14ac:dyDescent="0.75">
      <c r="A1489" t="s">
        <v>884</v>
      </c>
    </row>
    <row r="1490" spans="1:1" x14ac:dyDescent="0.75">
      <c r="A1490" t="s">
        <v>885</v>
      </c>
    </row>
    <row r="1491" spans="1:1" x14ac:dyDescent="0.75">
      <c r="A1491" t="s">
        <v>886</v>
      </c>
    </row>
    <row r="1492" spans="1:1" x14ac:dyDescent="0.75">
      <c r="A1492" t="s">
        <v>593</v>
      </c>
    </row>
    <row r="1493" spans="1:1" x14ac:dyDescent="0.75">
      <c r="A1493" t="s">
        <v>594</v>
      </c>
    </row>
    <row r="1494" spans="1:1" x14ac:dyDescent="0.75">
      <c r="A1494" t="s">
        <v>795</v>
      </c>
    </row>
    <row r="1495" spans="1:1" x14ac:dyDescent="0.75">
      <c r="A1495" t="s">
        <v>807</v>
      </c>
    </row>
    <row r="1496" spans="1:1" x14ac:dyDescent="0.75">
      <c r="A1496" t="s">
        <v>882</v>
      </c>
    </row>
    <row r="1497" spans="1:1" x14ac:dyDescent="0.75">
      <c r="A1497" t="s">
        <v>598</v>
      </c>
    </row>
    <row r="1498" spans="1:1" x14ac:dyDescent="0.75">
      <c r="A1498" t="s">
        <v>599</v>
      </c>
    </row>
    <row r="1499" spans="1:1" x14ac:dyDescent="0.75">
      <c r="A1499" t="s">
        <v>600</v>
      </c>
    </row>
    <row r="1500" spans="1:1" x14ac:dyDescent="0.75">
      <c r="A1500" t="s">
        <v>601</v>
      </c>
    </row>
    <row r="1501" spans="1:1" x14ac:dyDescent="0.75">
      <c r="A1501" t="s">
        <v>602</v>
      </c>
    </row>
    <row r="1502" spans="1:1" x14ac:dyDescent="0.75">
      <c r="A1502" t="s">
        <v>603</v>
      </c>
    </row>
    <row r="1503" spans="1:1" x14ac:dyDescent="0.75">
      <c r="A1503" t="s">
        <v>685</v>
      </c>
    </row>
    <row r="1504" spans="1:1" x14ac:dyDescent="0.75">
      <c r="A1504" t="s">
        <v>742</v>
      </c>
    </row>
    <row r="1505" spans="1:1" x14ac:dyDescent="0.75">
      <c r="A1505" t="s">
        <v>624</v>
      </c>
    </row>
    <row r="1506" spans="1:1" x14ac:dyDescent="0.75">
      <c r="A1506" t="s">
        <v>651</v>
      </c>
    </row>
    <row r="1507" spans="1:1" x14ac:dyDescent="0.75">
      <c r="A1507" t="s">
        <v>749</v>
      </c>
    </row>
    <row r="1508" spans="1:1" x14ac:dyDescent="0.75">
      <c r="A1508" t="s">
        <v>887</v>
      </c>
    </row>
    <row r="1509" spans="1:1" x14ac:dyDescent="0.75">
      <c r="A1509" t="s">
        <v>888</v>
      </c>
    </row>
    <row r="1510" spans="1:1" x14ac:dyDescent="0.75">
      <c r="A1510" t="s">
        <v>751</v>
      </c>
    </row>
    <row r="1511" spans="1:1" x14ac:dyDescent="0.75">
      <c r="A1511" t="s">
        <v>752</v>
      </c>
    </row>
    <row r="1512" spans="1:1" x14ac:dyDescent="0.75">
      <c r="A1512" t="s">
        <v>753</v>
      </c>
    </row>
    <row r="1513" spans="1:1" x14ac:dyDescent="0.75">
      <c r="A1513" t="s">
        <v>754</v>
      </c>
    </row>
    <row r="1514" spans="1:1" x14ac:dyDescent="0.75">
      <c r="A1514" t="s">
        <v>755</v>
      </c>
    </row>
    <row r="1515" spans="1:1" x14ac:dyDescent="0.75">
      <c r="A1515" t="s">
        <v>756</v>
      </c>
    </row>
    <row r="1516" spans="1:1" x14ac:dyDescent="0.75">
      <c r="A1516" t="s">
        <v>889</v>
      </c>
    </row>
    <row r="1517" spans="1:1" x14ac:dyDescent="0.75">
      <c r="A1517" t="s">
        <v>890</v>
      </c>
    </row>
    <row r="1518" spans="1:1" x14ac:dyDescent="0.75">
      <c r="A1518" t="s">
        <v>678</v>
      </c>
    </row>
    <row r="1519" spans="1:1" x14ac:dyDescent="0.75">
      <c r="A1519" t="s">
        <v>593</v>
      </c>
    </row>
    <row r="1520" spans="1:1" x14ac:dyDescent="0.75">
      <c r="A1520" t="s">
        <v>594</v>
      </c>
    </row>
    <row r="1521" spans="1:1" x14ac:dyDescent="0.75">
      <c r="A1521" t="s">
        <v>595</v>
      </c>
    </row>
    <row r="1522" spans="1:1" x14ac:dyDescent="0.75">
      <c r="A1522" t="s">
        <v>707</v>
      </c>
    </row>
    <row r="1523" spans="1:1" x14ac:dyDescent="0.75">
      <c r="A1523" t="s">
        <v>708</v>
      </c>
    </row>
    <row r="1524" spans="1:1" x14ac:dyDescent="0.75">
      <c r="A1524" t="s">
        <v>598</v>
      </c>
    </row>
    <row r="1525" spans="1:1" x14ac:dyDescent="0.75">
      <c r="A1525" t="s">
        <v>599</v>
      </c>
    </row>
    <row r="1526" spans="1:1" x14ac:dyDescent="0.75">
      <c r="A1526" t="s">
        <v>600</v>
      </c>
    </row>
    <row r="1527" spans="1:1" x14ac:dyDescent="0.75">
      <c r="A1527" t="s">
        <v>601</v>
      </c>
    </row>
    <row r="1528" spans="1:1" x14ac:dyDescent="0.75">
      <c r="A1528" t="s">
        <v>602</v>
      </c>
    </row>
    <row r="1529" spans="1:1" x14ac:dyDescent="0.75">
      <c r="A1529" t="s">
        <v>603</v>
      </c>
    </row>
    <row r="1530" spans="1:1" x14ac:dyDescent="0.75">
      <c r="A1530" t="s">
        <v>604</v>
      </c>
    </row>
    <row r="1531" spans="1:1" x14ac:dyDescent="0.75">
      <c r="A1531" t="s">
        <v>650</v>
      </c>
    </row>
    <row r="1532" spans="1:1" x14ac:dyDescent="0.75">
      <c r="A1532" t="s">
        <v>724</v>
      </c>
    </row>
    <row r="1533" spans="1:1" x14ac:dyDescent="0.75">
      <c r="A1533" t="s">
        <v>629</v>
      </c>
    </row>
    <row r="1534" spans="1:1" x14ac:dyDescent="0.75">
      <c r="A1534" t="s">
        <v>748</v>
      </c>
    </row>
    <row r="1535" spans="1:1" x14ac:dyDescent="0.75">
      <c r="A1535" t="s">
        <v>749</v>
      </c>
    </row>
    <row r="1536" spans="1:1" x14ac:dyDescent="0.75">
      <c r="A1536" t="s">
        <v>774</v>
      </c>
    </row>
    <row r="1537" spans="1:1" x14ac:dyDescent="0.75">
      <c r="A1537" t="s">
        <v>751</v>
      </c>
    </row>
    <row r="1538" spans="1:1" x14ac:dyDescent="0.75">
      <c r="A1538" t="s">
        <v>752</v>
      </c>
    </row>
    <row r="1539" spans="1:1" x14ac:dyDescent="0.75">
      <c r="A1539" t="s">
        <v>753</v>
      </c>
    </row>
    <row r="1540" spans="1:1" x14ac:dyDescent="0.75">
      <c r="A1540" t="s">
        <v>754</v>
      </c>
    </row>
    <row r="1541" spans="1:1" x14ac:dyDescent="0.75">
      <c r="A1541" t="s">
        <v>755</v>
      </c>
    </row>
    <row r="1542" spans="1:1" x14ac:dyDescent="0.75">
      <c r="A1542" t="s">
        <v>756</v>
      </c>
    </row>
    <row r="1543" spans="1:1" x14ac:dyDescent="0.75">
      <c r="A1543" t="s">
        <v>891</v>
      </c>
    </row>
    <row r="1544" spans="1:1" x14ac:dyDescent="0.75">
      <c r="A1544" t="s">
        <v>892</v>
      </c>
    </row>
    <row r="1545" spans="1:1" x14ac:dyDescent="0.75">
      <c r="A1545" t="s">
        <v>678</v>
      </c>
    </row>
    <row r="1546" spans="1:1" x14ac:dyDescent="0.75">
      <c r="A1546" t="s">
        <v>593</v>
      </c>
    </row>
    <row r="1547" spans="1:1" x14ac:dyDescent="0.75">
      <c r="A1547" t="s">
        <v>594</v>
      </c>
    </row>
    <row r="1548" spans="1:1" x14ac:dyDescent="0.75">
      <c r="A1548" t="s">
        <v>595</v>
      </c>
    </row>
    <row r="1549" spans="1:1" x14ac:dyDescent="0.75">
      <c r="A1549" t="s">
        <v>807</v>
      </c>
    </row>
    <row r="1550" spans="1:1" x14ac:dyDescent="0.75">
      <c r="A1550" t="s">
        <v>708</v>
      </c>
    </row>
    <row r="1551" spans="1:1" x14ac:dyDescent="0.75">
      <c r="A1551" t="s">
        <v>598</v>
      </c>
    </row>
    <row r="1552" spans="1:1" x14ac:dyDescent="0.75">
      <c r="A1552" t="s">
        <v>599</v>
      </c>
    </row>
    <row r="1553" spans="1:1" x14ac:dyDescent="0.75">
      <c r="A1553" t="s">
        <v>600</v>
      </c>
    </row>
    <row r="1554" spans="1:1" x14ac:dyDescent="0.75">
      <c r="A1554" t="s">
        <v>893</v>
      </c>
    </row>
    <row r="1555" spans="1:1" x14ac:dyDescent="0.75">
      <c r="A1555" t="s">
        <v>602</v>
      </c>
    </row>
    <row r="1556" spans="1:1" x14ac:dyDescent="0.75">
      <c r="A1556" t="s">
        <v>603</v>
      </c>
    </row>
    <row r="1557" spans="1:1" x14ac:dyDescent="0.75">
      <c r="A1557" t="s">
        <v>685</v>
      </c>
    </row>
    <row r="1558" spans="1:1" x14ac:dyDescent="0.75">
      <c r="A1558" t="s">
        <v>650</v>
      </c>
    </row>
    <row r="1559" spans="1:1" x14ac:dyDescent="0.75">
      <c r="A1559" t="s">
        <v>724</v>
      </c>
    </row>
    <row r="1560" spans="1:1" x14ac:dyDescent="0.75">
      <c r="A1560" t="s">
        <v>745</v>
      </c>
    </row>
    <row r="1561" spans="1:1" x14ac:dyDescent="0.75">
      <c r="A1561" t="s">
        <v>746</v>
      </c>
    </row>
    <row r="1562" spans="1:1" x14ac:dyDescent="0.75">
      <c r="A1562" t="s">
        <v>883</v>
      </c>
    </row>
    <row r="1563" spans="1:1" x14ac:dyDescent="0.75">
      <c r="A1563" t="s">
        <v>748</v>
      </c>
    </row>
    <row r="1564" spans="1:1" x14ac:dyDescent="0.75">
      <c r="A1564" t="s">
        <v>749</v>
      </c>
    </row>
    <row r="1565" spans="1:1" x14ac:dyDescent="0.75">
      <c r="A1565" t="s">
        <v>894</v>
      </c>
    </row>
    <row r="1566" spans="1:1" x14ac:dyDescent="0.75">
      <c r="A1566" t="s">
        <v>751</v>
      </c>
    </row>
    <row r="1567" spans="1:1" x14ac:dyDescent="0.75">
      <c r="A1567" t="s">
        <v>752</v>
      </c>
    </row>
    <row r="1568" spans="1:1" x14ac:dyDescent="0.75">
      <c r="A1568" t="s">
        <v>753</v>
      </c>
    </row>
    <row r="1569" spans="1:1" x14ac:dyDescent="0.75">
      <c r="A1569" t="s">
        <v>754</v>
      </c>
    </row>
    <row r="1570" spans="1:1" x14ac:dyDescent="0.75">
      <c r="A1570" t="s">
        <v>755</v>
      </c>
    </row>
    <row r="1571" spans="1:1" x14ac:dyDescent="0.75">
      <c r="A1571" t="s">
        <v>756</v>
      </c>
    </row>
    <row r="1572" spans="1:1" x14ac:dyDescent="0.75">
      <c r="A1572" t="s">
        <v>895</v>
      </c>
    </row>
    <row r="1573" spans="1:1" x14ac:dyDescent="0.75">
      <c r="A1573" t="s">
        <v>896</v>
      </c>
    </row>
    <row r="1574" spans="1:1" x14ac:dyDescent="0.75">
      <c r="A1574" t="s">
        <v>692</v>
      </c>
    </row>
    <row r="1575" spans="1:1" x14ac:dyDescent="0.75">
      <c r="A1575" t="s">
        <v>897</v>
      </c>
    </row>
    <row r="1576" spans="1:1" x14ac:dyDescent="0.75">
      <c r="A1576" t="s">
        <v>594</v>
      </c>
    </row>
    <row r="1577" spans="1:1" x14ac:dyDescent="0.75">
      <c r="A1577" t="s">
        <v>595</v>
      </c>
    </row>
    <row r="1578" spans="1:1" x14ac:dyDescent="0.75">
      <c r="A1578" t="s">
        <v>898</v>
      </c>
    </row>
    <row r="1579" spans="1:1" x14ac:dyDescent="0.75">
      <c r="A1579" t="s">
        <v>708</v>
      </c>
    </row>
    <row r="1580" spans="1:1" x14ac:dyDescent="0.75">
      <c r="A1580" t="s">
        <v>598</v>
      </c>
    </row>
    <row r="1581" spans="1:1" x14ac:dyDescent="0.75">
      <c r="A1581" t="s">
        <v>599</v>
      </c>
    </row>
    <row r="1582" spans="1:1" x14ac:dyDescent="0.75">
      <c r="A1582" t="s">
        <v>600</v>
      </c>
    </row>
    <row r="1583" spans="1:1" x14ac:dyDescent="0.75">
      <c r="A1583" t="s">
        <v>601</v>
      </c>
    </row>
    <row r="1584" spans="1:1" x14ac:dyDescent="0.75">
      <c r="A1584" t="s">
        <v>602</v>
      </c>
    </row>
    <row r="1585" spans="1:1" x14ac:dyDescent="0.75">
      <c r="A1585" t="s">
        <v>603</v>
      </c>
    </row>
    <row r="1586" spans="1:1" x14ac:dyDescent="0.75">
      <c r="A1586" t="s">
        <v>672</v>
      </c>
    </row>
    <row r="1587" spans="1:1" x14ac:dyDescent="0.75">
      <c r="A1587" t="s">
        <v>783</v>
      </c>
    </row>
    <row r="1588" spans="1:1" x14ac:dyDescent="0.75">
      <c r="A1588" t="s">
        <v>784</v>
      </c>
    </row>
    <row r="1589" spans="1:1" x14ac:dyDescent="0.75">
      <c r="A1589" t="s">
        <v>899</v>
      </c>
    </row>
    <row r="1590" spans="1:1" x14ac:dyDescent="0.75">
      <c r="A1590" t="s">
        <v>900</v>
      </c>
    </row>
    <row r="1591" spans="1:1" x14ac:dyDescent="0.75">
      <c r="A1591" t="s">
        <v>751</v>
      </c>
    </row>
    <row r="1592" spans="1:1" x14ac:dyDescent="0.75">
      <c r="A1592" t="s">
        <v>752</v>
      </c>
    </row>
    <row r="1593" spans="1:1" x14ac:dyDescent="0.75">
      <c r="A1593" t="s">
        <v>753</v>
      </c>
    </row>
    <row r="1594" spans="1:1" x14ac:dyDescent="0.75">
      <c r="A1594" t="s">
        <v>754</v>
      </c>
    </row>
    <row r="1595" spans="1:1" x14ac:dyDescent="0.75">
      <c r="A1595" t="s">
        <v>755</v>
      </c>
    </row>
    <row r="1596" spans="1:1" x14ac:dyDescent="0.75">
      <c r="A1596" t="s">
        <v>756</v>
      </c>
    </row>
    <row r="1597" spans="1:1" x14ac:dyDescent="0.75">
      <c r="A1597" t="s">
        <v>901</v>
      </c>
    </row>
    <row r="1598" spans="1:1" x14ac:dyDescent="0.75">
      <c r="A1598" t="s">
        <v>902</v>
      </c>
    </row>
    <row r="1599" spans="1:1" x14ac:dyDescent="0.75">
      <c r="A1599" t="s">
        <v>678</v>
      </c>
    </row>
    <row r="1600" spans="1:1" x14ac:dyDescent="0.75">
      <c r="A1600" t="s">
        <v>593</v>
      </c>
    </row>
    <row r="1601" spans="1:1" x14ac:dyDescent="0.75">
      <c r="A1601" t="s">
        <v>594</v>
      </c>
    </row>
    <row r="1602" spans="1:1" x14ac:dyDescent="0.75">
      <c r="A1602" t="s">
        <v>706</v>
      </c>
    </row>
    <row r="1603" spans="1:1" x14ac:dyDescent="0.75">
      <c r="A1603" t="s">
        <v>707</v>
      </c>
    </row>
    <row r="1604" spans="1:1" x14ac:dyDescent="0.75">
      <c r="A1604" t="s">
        <v>782</v>
      </c>
    </row>
    <row r="1605" spans="1:1" x14ac:dyDescent="0.75">
      <c r="A1605" t="s">
        <v>598</v>
      </c>
    </row>
    <row r="1606" spans="1:1" x14ac:dyDescent="0.75">
      <c r="A1606" t="s">
        <v>599</v>
      </c>
    </row>
    <row r="1607" spans="1:1" x14ac:dyDescent="0.75">
      <c r="A1607" t="s">
        <v>600</v>
      </c>
    </row>
    <row r="1608" spans="1:1" x14ac:dyDescent="0.75">
      <c r="A1608" t="s">
        <v>601</v>
      </c>
    </row>
    <row r="1609" spans="1:1" x14ac:dyDescent="0.75">
      <c r="A1609" t="s">
        <v>602</v>
      </c>
    </row>
    <row r="1610" spans="1:1" x14ac:dyDescent="0.75">
      <c r="A1610" t="s">
        <v>603</v>
      </c>
    </row>
    <row r="1611" spans="1:1" x14ac:dyDescent="0.75">
      <c r="A1611" t="s">
        <v>903</v>
      </c>
    </row>
    <row r="1612" spans="1:1" x14ac:dyDescent="0.75">
      <c r="A1612" t="s">
        <v>742</v>
      </c>
    </row>
    <row r="1613" spans="1:1" x14ac:dyDescent="0.75">
      <c r="A1613" t="s">
        <v>743</v>
      </c>
    </row>
    <row r="1614" spans="1:1" x14ac:dyDescent="0.75">
      <c r="A1614" t="s">
        <v>744</v>
      </c>
    </row>
    <row r="1615" spans="1:1" x14ac:dyDescent="0.75">
      <c r="A1615" t="s">
        <v>697</v>
      </c>
    </row>
    <row r="1616" spans="1:1" x14ac:dyDescent="0.75">
      <c r="A1616" t="s">
        <v>783</v>
      </c>
    </row>
    <row r="1617" spans="1:1" x14ac:dyDescent="0.75">
      <c r="A1617" t="s">
        <v>784</v>
      </c>
    </row>
    <row r="1618" spans="1:1" x14ac:dyDescent="0.75">
      <c r="A1618" t="s">
        <v>815</v>
      </c>
    </row>
    <row r="1619" spans="1:1" x14ac:dyDescent="0.75">
      <c r="A1619" t="s">
        <v>629</v>
      </c>
    </row>
    <row r="1620" spans="1:1" x14ac:dyDescent="0.75">
      <c r="A1620" t="s">
        <v>904</v>
      </c>
    </row>
    <row r="1621" spans="1:1" x14ac:dyDescent="0.75">
      <c r="A1621" t="s">
        <v>749</v>
      </c>
    </row>
    <row r="1622" spans="1:1" x14ac:dyDescent="0.75">
      <c r="A1622" t="s">
        <v>803</v>
      </c>
    </row>
    <row r="1623" spans="1:1" x14ac:dyDescent="0.75">
      <c r="A1623" t="s">
        <v>729</v>
      </c>
    </row>
    <row r="1624" spans="1:1" x14ac:dyDescent="0.75">
      <c r="A1624" t="s">
        <v>905</v>
      </c>
    </row>
    <row r="1625" spans="1:1" x14ac:dyDescent="0.75">
      <c r="A1625" t="s">
        <v>906</v>
      </c>
    </row>
    <row r="1626" spans="1:1" x14ac:dyDescent="0.75">
      <c r="A1626" t="s">
        <v>907</v>
      </c>
    </row>
    <row r="1627" spans="1:1" x14ac:dyDescent="0.75">
      <c r="A1627" t="s">
        <v>908</v>
      </c>
    </row>
    <row r="1628" spans="1:1" x14ac:dyDescent="0.75">
      <c r="A1628" t="s">
        <v>909</v>
      </c>
    </row>
    <row r="1629" spans="1:1" x14ac:dyDescent="0.75">
      <c r="A1629" t="s">
        <v>910</v>
      </c>
    </row>
    <row r="1630" spans="1:1" x14ac:dyDescent="0.75">
      <c r="A1630" t="s">
        <v>911</v>
      </c>
    </row>
    <row r="1631" spans="1:1" x14ac:dyDescent="0.75">
      <c r="A1631" t="s">
        <v>912</v>
      </c>
    </row>
    <row r="1632" spans="1:1" x14ac:dyDescent="0.75">
      <c r="A1632" t="s">
        <v>762</v>
      </c>
    </row>
    <row r="1633" spans="1:1" x14ac:dyDescent="0.75">
      <c r="A1633" t="s">
        <v>670</v>
      </c>
    </row>
    <row r="1634" spans="1:1" x14ac:dyDescent="0.75">
      <c r="A1634" t="s">
        <v>594</v>
      </c>
    </row>
    <row r="1635" spans="1:1" x14ac:dyDescent="0.75">
      <c r="A1635" t="s">
        <v>766</v>
      </c>
    </row>
    <row r="1636" spans="1:1" x14ac:dyDescent="0.75">
      <c r="A1636" t="s">
        <v>596</v>
      </c>
    </row>
    <row r="1637" spans="1:1" x14ac:dyDescent="0.75">
      <c r="A1637" t="s">
        <v>799</v>
      </c>
    </row>
    <row r="1638" spans="1:1" x14ac:dyDescent="0.75">
      <c r="A1638" t="s">
        <v>598</v>
      </c>
    </row>
    <row r="1639" spans="1:1" x14ac:dyDescent="0.75">
      <c r="A1639" t="s">
        <v>599</v>
      </c>
    </row>
    <row r="1640" spans="1:1" x14ac:dyDescent="0.75">
      <c r="A1640" t="s">
        <v>600</v>
      </c>
    </row>
    <row r="1641" spans="1:1" x14ac:dyDescent="0.75">
      <c r="A1641" t="s">
        <v>601</v>
      </c>
    </row>
    <row r="1642" spans="1:1" x14ac:dyDescent="0.75">
      <c r="A1642" t="s">
        <v>602</v>
      </c>
    </row>
    <row r="1643" spans="1:1" x14ac:dyDescent="0.75">
      <c r="A1643" t="s">
        <v>603</v>
      </c>
    </row>
    <row r="1644" spans="1:1" x14ac:dyDescent="0.75">
      <c r="A1644" t="s">
        <v>685</v>
      </c>
    </row>
    <row r="1645" spans="1:1" x14ac:dyDescent="0.75">
      <c r="A1645" t="s">
        <v>694</v>
      </c>
    </row>
    <row r="1646" spans="1:1" x14ac:dyDescent="0.75">
      <c r="A1646" t="s">
        <v>624</v>
      </c>
    </row>
    <row r="1647" spans="1:1" x14ac:dyDescent="0.75">
      <c r="A1647" t="s">
        <v>657</v>
      </c>
    </row>
    <row r="1648" spans="1:1" x14ac:dyDescent="0.75">
      <c r="A1648" t="s">
        <v>725</v>
      </c>
    </row>
    <row r="1649" spans="1:1" x14ac:dyDescent="0.75">
      <c r="A1649" t="s">
        <v>726</v>
      </c>
    </row>
    <row r="1650" spans="1:1" x14ac:dyDescent="0.75">
      <c r="A1650" t="s">
        <v>727</v>
      </c>
    </row>
    <row r="1651" spans="1:1" x14ac:dyDescent="0.75">
      <c r="A1651" t="s">
        <v>728</v>
      </c>
    </row>
    <row r="1652" spans="1:1" x14ac:dyDescent="0.75">
      <c r="A1652" t="s">
        <v>673</v>
      </c>
    </row>
    <row r="1653" spans="1:1" x14ac:dyDescent="0.75">
      <c r="A1653" t="s">
        <v>803</v>
      </c>
    </row>
    <row r="1654" spans="1:1" x14ac:dyDescent="0.75">
      <c r="A1654" t="s">
        <v>682</v>
      </c>
    </row>
    <row r="1655" spans="1:1" x14ac:dyDescent="0.75">
      <c r="A1655" t="s">
        <v>905</v>
      </c>
    </row>
    <row r="1656" spans="1:1" x14ac:dyDescent="0.75">
      <c r="A1656" t="s">
        <v>906</v>
      </c>
    </row>
    <row r="1657" spans="1:1" x14ac:dyDescent="0.75">
      <c r="A1657" t="s">
        <v>907</v>
      </c>
    </row>
    <row r="1658" spans="1:1" x14ac:dyDescent="0.75">
      <c r="A1658" t="s">
        <v>908</v>
      </c>
    </row>
    <row r="1659" spans="1:1" x14ac:dyDescent="0.75">
      <c r="A1659" t="s">
        <v>909</v>
      </c>
    </row>
    <row r="1660" spans="1:1" x14ac:dyDescent="0.75">
      <c r="A1660" t="s">
        <v>910</v>
      </c>
    </row>
    <row r="1661" spans="1:1" x14ac:dyDescent="0.75">
      <c r="A1661" t="s">
        <v>913</v>
      </c>
    </row>
    <row r="1662" spans="1:1" x14ac:dyDescent="0.75">
      <c r="A1662" t="s">
        <v>914</v>
      </c>
    </row>
    <row r="1663" spans="1:1" x14ac:dyDescent="0.75">
      <c r="A1663" t="s">
        <v>678</v>
      </c>
    </row>
    <row r="1664" spans="1:1" x14ac:dyDescent="0.75">
      <c r="A1664" t="s">
        <v>593</v>
      </c>
    </row>
    <row r="1665" spans="1:1" x14ac:dyDescent="0.75">
      <c r="A1665" t="s">
        <v>594</v>
      </c>
    </row>
    <row r="1666" spans="1:1" x14ac:dyDescent="0.75">
      <c r="A1666" t="s">
        <v>795</v>
      </c>
    </row>
    <row r="1667" spans="1:1" x14ac:dyDescent="0.75">
      <c r="A1667" t="s">
        <v>807</v>
      </c>
    </row>
    <row r="1668" spans="1:1" x14ac:dyDescent="0.75">
      <c r="A1668" t="s">
        <v>708</v>
      </c>
    </row>
    <row r="1669" spans="1:1" x14ac:dyDescent="0.75">
      <c r="A1669" t="s">
        <v>598</v>
      </c>
    </row>
    <row r="1670" spans="1:1" x14ac:dyDescent="0.75">
      <c r="A1670" t="s">
        <v>710</v>
      </c>
    </row>
    <row r="1671" spans="1:1" x14ac:dyDescent="0.75">
      <c r="A1671" t="s">
        <v>600</v>
      </c>
    </row>
    <row r="1672" spans="1:1" x14ac:dyDescent="0.75">
      <c r="A1672" t="s">
        <v>601</v>
      </c>
    </row>
    <row r="1673" spans="1:1" x14ac:dyDescent="0.75">
      <c r="A1673" t="s">
        <v>602</v>
      </c>
    </row>
    <row r="1674" spans="1:1" x14ac:dyDescent="0.75">
      <c r="A1674" t="s">
        <v>603</v>
      </c>
    </row>
    <row r="1675" spans="1:1" x14ac:dyDescent="0.75">
      <c r="A1675" t="s">
        <v>915</v>
      </c>
    </row>
    <row r="1676" spans="1:1" x14ac:dyDescent="0.75">
      <c r="A1676" t="s">
        <v>763</v>
      </c>
    </row>
    <row r="1677" spans="1:1" x14ac:dyDescent="0.75">
      <c r="A1677" t="s">
        <v>916</v>
      </c>
    </row>
    <row r="1678" spans="1:1" x14ac:dyDescent="0.75">
      <c r="A1678" t="s">
        <v>917</v>
      </c>
    </row>
    <row r="1679" spans="1:1" x14ac:dyDescent="0.75">
      <c r="A1679" t="s">
        <v>883</v>
      </c>
    </row>
    <row r="1680" spans="1:1" x14ac:dyDescent="0.75">
      <c r="A1680" t="s">
        <v>773</v>
      </c>
    </row>
    <row r="1681" spans="1:1" x14ac:dyDescent="0.75">
      <c r="A1681" t="s">
        <v>748</v>
      </c>
    </row>
    <row r="1682" spans="1:1" x14ac:dyDescent="0.75">
      <c r="A1682" t="s">
        <v>918</v>
      </c>
    </row>
    <row r="1683" spans="1:1" x14ac:dyDescent="0.75">
      <c r="A1683" t="s">
        <v>919</v>
      </c>
    </row>
    <row r="1684" spans="1:1" x14ac:dyDescent="0.75">
      <c r="A1684" t="s">
        <v>808</v>
      </c>
    </row>
    <row r="1685" spans="1:1" x14ac:dyDescent="0.75">
      <c r="A1685" t="s">
        <v>751</v>
      </c>
    </row>
    <row r="1686" spans="1:1" x14ac:dyDescent="0.75">
      <c r="A1686" t="s">
        <v>752</v>
      </c>
    </row>
    <row r="1687" spans="1:1" x14ac:dyDescent="0.75">
      <c r="A1687" t="s">
        <v>753</v>
      </c>
    </row>
    <row r="1688" spans="1:1" x14ac:dyDescent="0.75">
      <c r="A1688" t="s">
        <v>754</v>
      </c>
    </row>
    <row r="1689" spans="1:1" x14ac:dyDescent="0.75">
      <c r="A1689" t="s">
        <v>755</v>
      </c>
    </row>
    <row r="1690" spans="1:1" x14ac:dyDescent="0.75">
      <c r="A1690" t="s">
        <v>756</v>
      </c>
    </row>
    <row r="1691" spans="1:1" x14ac:dyDescent="0.75">
      <c r="A1691" t="s">
        <v>920</v>
      </c>
    </row>
    <row r="1692" spans="1:1" x14ac:dyDescent="0.75">
      <c r="A1692" t="s">
        <v>921</v>
      </c>
    </row>
    <row r="1693" spans="1:1" x14ac:dyDescent="0.75">
      <c r="A1693" t="s">
        <v>762</v>
      </c>
    </row>
    <row r="1694" spans="1:1" x14ac:dyDescent="0.75">
      <c r="A1694" t="s">
        <v>663</v>
      </c>
    </row>
    <row r="1695" spans="1:1" x14ac:dyDescent="0.75">
      <c r="A1695" t="s">
        <v>732</v>
      </c>
    </row>
    <row r="1696" spans="1:1" x14ac:dyDescent="0.75">
      <c r="A1696" t="s">
        <v>766</v>
      </c>
    </row>
    <row r="1697" spans="1:1" x14ac:dyDescent="0.75">
      <c r="A1697" t="s">
        <v>922</v>
      </c>
    </row>
    <row r="1698" spans="1:1" x14ac:dyDescent="0.75">
      <c r="A1698" t="s">
        <v>882</v>
      </c>
    </row>
    <row r="1699" spans="1:1" x14ac:dyDescent="0.75">
      <c r="A1699" t="s">
        <v>923</v>
      </c>
    </row>
    <row r="1700" spans="1:1" x14ac:dyDescent="0.75">
      <c r="A1700" t="s">
        <v>599</v>
      </c>
    </row>
    <row r="1701" spans="1:1" x14ac:dyDescent="0.75">
      <c r="A1701" t="s">
        <v>600</v>
      </c>
    </row>
    <row r="1702" spans="1:1" x14ac:dyDescent="0.75">
      <c r="A1702" t="s">
        <v>601</v>
      </c>
    </row>
    <row r="1703" spans="1:1" x14ac:dyDescent="0.75">
      <c r="A1703" t="s">
        <v>602</v>
      </c>
    </row>
    <row r="1704" spans="1:1" x14ac:dyDescent="0.75">
      <c r="A1704" t="s">
        <v>603</v>
      </c>
    </row>
    <row r="1705" spans="1:1" x14ac:dyDescent="0.75">
      <c r="A1705" t="s">
        <v>665</v>
      </c>
    </row>
    <row r="1706" spans="1:1" x14ac:dyDescent="0.75">
      <c r="A1706" t="s">
        <v>777</v>
      </c>
    </row>
    <row r="1707" spans="1:1" x14ac:dyDescent="0.75">
      <c r="A1707" t="s">
        <v>630</v>
      </c>
    </row>
    <row r="1708" spans="1:1" x14ac:dyDescent="0.75">
      <c r="A1708" t="s">
        <v>631</v>
      </c>
    </row>
    <row r="1709" spans="1:1" x14ac:dyDescent="0.75">
      <c r="A1709" t="s">
        <v>824</v>
      </c>
    </row>
    <row r="1710" spans="1:1" x14ac:dyDescent="0.75">
      <c r="A1710" t="s">
        <v>825</v>
      </c>
    </row>
    <row r="1711" spans="1:1" x14ac:dyDescent="0.75">
      <c r="A1711" t="s">
        <v>826</v>
      </c>
    </row>
    <row r="1712" spans="1:1" x14ac:dyDescent="0.75">
      <c r="A1712" t="s">
        <v>827</v>
      </c>
    </row>
    <row r="1713" spans="1:1" x14ac:dyDescent="0.75">
      <c r="A1713" t="s">
        <v>828</v>
      </c>
    </row>
    <row r="1714" spans="1:1" x14ac:dyDescent="0.75">
      <c r="A1714" t="s">
        <v>829</v>
      </c>
    </row>
    <row r="1715" spans="1:1" x14ac:dyDescent="0.75">
      <c r="A1715" t="s">
        <v>924</v>
      </c>
    </row>
    <row r="1716" spans="1:1" x14ac:dyDescent="0.75">
      <c r="A1716" t="s">
        <v>925</v>
      </c>
    </row>
    <row r="1717" spans="1:1" x14ac:dyDescent="0.75">
      <c r="A1717" t="s">
        <v>886</v>
      </c>
    </row>
    <row r="1718" spans="1:1" x14ac:dyDescent="0.75">
      <c r="A1718" t="s">
        <v>593</v>
      </c>
    </row>
    <row r="1719" spans="1:1" x14ac:dyDescent="0.75">
      <c r="A1719" t="s">
        <v>594</v>
      </c>
    </row>
    <row r="1720" spans="1:1" x14ac:dyDescent="0.75">
      <c r="A1720" t="s">
        <v>766</v>
      </c>
    </row>
    <row r="1721" spans="1:1" x14ac:dyDescent="0.75">
      <c r="A1721" t="s">
        <v>922</v>
      </c>
    </row>
    <row r="1722" spans="1:1" x14ac:dyDescent="0.75">
      <c r="A1722" t="s">
        <v>882</v>
      </c>
    </row>
    <row r="1723" spans="1:1" x14ac:dyDescent="0.75">
      <c r="A1723" t="s">
        <v>598</v>
      </c>
    </row>
    <row r="1724" spans="1:1" x14ac:dyDescent="0.75">
      <c r="A1724" t="s">
        <v>599</v>
      </c>
    </row>
    <row r="1725" spans="1:1" x14ac:dyDescent="0.75">
      <c r="A1725" t="s">
        <v>600</v>
      </c>
    </row>
    <row r="1726" spans="1:1" x14ac:dyDescent="0.75">
      <c r="A1726" t="s">
        <v>601</v>
      </c>
    </row>
    <row r="1727" spans="1:1" x14ac:dyDescent="0.75">
      <c r="A1727" t="s">
        <v>602</v>
      </c>
    </row>
    <row r="1728" spans="1:1" x14ac:dyDescent="0.75">
      <c r="A1728" t="s">
        <v>603</v>
      </c>
    </row>
    <row r="1729" spans="1:1" x14ac:dyDescent="0.75">
      <c r="A1729" t="s">
        <v>903</v>
      </c>
    </row>
    <row r="1730" spans="1:1" x14ac:dyDescent="0.75">
      <c r="A1730" t="s">
        <v>763</v>
      </c>
    </row>
    <row r="1731" spans="1:1" x14ac:dyDescent="0.75">
      <c r="A1731" t="s">
        <v>745</v>
      </c>
    </row>
    <row r="1732" spans="1:1" x14ac:dyDescent="0.75">
      <c r="A1732" t="s">
        <v>816</v>
      </c>
    </row>
    <row r="1733" spans="1:1" x14ac:dyDescent="0.75">
      <c r="A1733" t="s">
        <v>750</v>
      </c>
    </row>
    <row r="1734" spans="1:1" x14ac:dyDescent="0.75">
      <c r="A1734" t="s">
        <v>900</v>
      </c>
    </row>
    <row r="1735" spans="1:1" x14ac:dyDescent="0.75">
      <c r="A1735" t="s">
        <v>824</v>
      </c>
    </row>
    <row r="1736" spans="1:1" x14ac:dyDescent="0.75">
      <c r="A1736" t="s">
        <v>825</v>
      </c>
    </row>
    <row r="1737" spans="1:1" x14ac:dyDescent="0.75">
      <c r="A1737" t="s">
        <v>826</v>
      </c>
    </row>
    <row r="1738" spans="1:1" x14ac:dyDescent="0.75">
      <c r="A1738" t="s">
        <v>827</v>
      </c>
    </row>
    <row r="1739" spans="1:1" x14ac:dyDescent="0.75">
      <c r="A1739" t="s">
        <v>828</v>
      </c>
    </row>
    <row r="1740" spans="1:1" x14ac:dyDescent="0.75">
      <c r="A1740" t="s">
        <v>829</v>
      </c>
    </row>
    <row r="1741" spans="1:1" x14ac:dyDescent="0.75">
      <c r="A1741" t="s">
        <v>926</v>
      </c>
    </row>
    <row r="1742" spans="1:1" x14ac:dyDescent="0.75">
      <c r="A1742" t="s">
        <v>927</v>
      </c>
    </row>
    <row r="1743" spans="1:1" x14ac:dyDescent="0.75">
      <c r="A1743" t="s">
        <v>886</v>
      </c>
    </row>
    <row r="1744" spans="1:1" x14ac:dyDescent="0.75">
      <c r="A1744" t="s">
        <v>593</v>
      </c>
    </row>
    <row r="1745" spans="1:1" x14ac:dyDescent="0.75">
      <c r="A1745" t="s">
        <v>594</v>
      </c>
    </row>
    <row r="1746" spans="1:1" x14ac:dyDescent="0.75">
      <c r="A1746" t="s">
        <v>595</v>
      </c>
    </row>
    <row r="1747" spans="1:1" x14ac:dyDescent="0.75">
      <c r="A1747" t="s">
        <v>922</v>
      </c>
    </row>
    <row r="1748" spans="1:1" x14ac:dyDescent="0.75">
      <c r="A1748" t="s">
        <v>882</v>
      </c>
    </row>
    <row r="1749" spans="1:1" x14ac:dyDescent="0.75">
      <c r="A1749" t="s">
        <v>598</v>
      </c>
    </row>
    <row r="1750" spans="1:1" x14ac:dyDescent="0.75">
      <c r="A1750" t="s">
        <v>599</v>
      </c>
    </row>
    <row r="1751" spans="1:1" x14ac:dyDescent="0.75">
      <c r="A1751" t="s">
        <v>600</v>
      </c>
    </row>
    <row r="1752" spans="1:1" x14ac:dyDescent="0.75">
      <c r="A1752" t="s">
        <v>601</v>
      </c>
    </row>
    <row r="1753" spans="1:1" x14ac:dyDescent="0.75">
      <c r="A1753" t="s">
        <v>602</v>
      </c>
    </row>
    <row r="1754" spans="1:1" x14ac:dyDescent="0.75">
      <c r="A1754" t="s">
        <v>603</v>
      </c>
    </row>
    <row r="1755" spans="1:1" x14ac:dyDescent="0.75">
      <c r="A1755" t="s">
        <v>903</v>
      </c>
    </row>
    <row r="1756" spans="1:1" x14ac:dyDescent="0.75">
      <c r="A1756" t="s">
        <v>763</v>
      </c>
    </row>
    <row r="1757" spans="1:1" x14ac:dyDescent="0.75">
      <c r="A1757" t="s">
        <v>745</v>
      </c>
    </row>
    <row r="1758" spans="1:1" x14ac:dyDescent="0.75">
      <c r="A1758" t="s">
        <v>816</v>
      </c>
    </row>
    <row r="1759" spans="1:1" x14ac:dyDescent="0.75">
      <c r="A1759" t="s">
        <v>750</v>
      </c>
    </row>
    <row r="1760" spans="1:1" x14ac:dyDescent="0.75">
      <c r="A1760" t="s">
        <v>928</v>
      </c>
    </row>
    <row r="1761" spans="1:1" x14ac:dyDescent="0.75">
      <c r="A1761" t="s">
        <v>824</v>
      </c>
    </row>
    <row r="1762" spans="1:1" x14ac:dyDescent="0.75">
      <c r="A1762" t="s">
        <v>825</v>
      </c>
    </row>
    <row r="1763" spans="1:1" x14ac:dyDescent="0.75">
      <c r="A1763" t="s">
        <v>826</v>
      </c>
    </row>
    <row r="1764" spans="1:1" x14ac:dyDescent="0.75">
      <c r="A1764" t="s">
        <v>827</v>
      </c>
    </row>
    <row r="1765" spans="1:1" x14ac:dyDescent="0.75">
      <c r="A1765" t="s">
        <v>828</v>
      </c>
    </row>
    <row r="1766" spans="1:1" x14ac:dyDescent="0.75">
      <c r="A1766" t="s">
        <v>829</v>
      </c>
    </row>
    <row r="1767" spans="1:1" x14ac:dyDescent="0.75">
      <c r="A1767" t="s">
        <v>929</v>
      </c>
    </row>
    <row r="1768" spans="1:1" x14ac:dyDescent="0.75">
      <c r="A1768" t="s">
        <v>930</v>
      </c>
    </row>
    <row r="1769" spans="1:1" x14ac:dyDescent="0.75">
      <c r="A1769" t="s">
        <v>886</v>
      </c>
    </row>
    <row r="1770" spans="1:1" x14ac:dyDescent="0.75">
      <c r="A1770" t="s">
        <v>593</v>
      </c>
    </row>
    <row r="1771" spans="1:1" x14ac:dyDescent="0.75">
      <c r="A1771" t="s">
        <v>594</v>
      </c>
    </row>
    <row r="1772" spans="1:1" x14ac:dyDescent="0.75">
      <c r="A1772" t="s">
        <v>595</v>
      </c>
    </row>
    <row r="1773" spans="1:1" x14ac:dyDescent="0.75">
      <c r="A1773" t="s">
        <v>922</v>
      </c>
    </row>
    <row r="1774" spans="1:1" x14ac:dyDescent="0.75">
      <c r="A1774" t="s">
        <v>882</v>
      </c>
    </row>
    <row r="1775" spans="1:1" x14ac:dyDescent="0.75">
      <c r="A1775" t="s">
        <v>598</v>
      </c>
    </row>
    <row r="1776" spans="1:1" x14ac:dyDescent="0.75">
      <c r="A1776" t="s">
        <v>599</v>
      </c>
    </row>
    <row r="1777" spans="1:1" x14ac:dyDescent="0.75">
      <c r="A1777" t="s">
        <v>600</v>
      </c>
    </row>
    <row r="1778" spans="1:1" x14ac:dyDescent="0.75">
      <c r="A1778" t="s">
        <v>601</v>
      </c>
    </row>
    <row r="1779" spans="1:1" x14ac:dyDescent="0.75">
      <c r="A1779" t="s">
        <v>602</v>
      </c>
    </row>
    <row r="1780" spans="1:1" x14ac:dyDescent="0.75">
      <c r="A1780" t="s">
        <v>603</v>
      </c>
    </row>
    <row r="1781" spans="1:1" x14ac:dyDescent="0.75">
      <c r="A1781" t="s">
        <v>903</v>
      </c>
    </row>
    <row r="1782" spans="1:1" x14ac:dyDescent="0.75">
      <c r="A1782" t="s">
        <v>777</v>
      </c>
    </row>
    <row r="1783" spans="1:1" x14ac:dyDescent="0.75">
      <c r="A1783" t="s">
        <v>745</v>
      </c>
    </row>
    <row r="1784" spans="1:1" x14ac:dyDescent="0.75">
      <c r="A1784" t="s">
        <v>816</v>
      </c>
    </row>
    <row r="1785" spans="1:1" x14ac:dyDescent="0.75">
      <c r="A1785" t="s">
        <v>750</v>
      </c>
    </row>
    <row r="1786" spans="1:1" x14ac:dyDescent="0.75">
      <c r="A1786" t="s">
        <v>789</v>
      </c>
    </row>
    <row r="1787" spans="1:1" x14ac:dyDescent="0.75">
      <c r="A1787" t="s">
        <v>824</v>
      </c>
    </row>
    <row r="1788" spans="1:1" x14ac:dyDescent="0.75">
      <c r="A1788" t="s">
        <v>825</v>
      </c>
    </row>
    <row r="1789" spans="1:1" x14ac:dyDescent="0.75">
      <c r="A1789" t="s">
        <v>826</v>
      </c>
    </row>
    <row r="1790" spans="1:1" x14ac:dyDescent="0.75">
      <c r="A1790" t="s">
        <v>827</v>
      </c>
    </row>
    <row r="1791" spans="1:1" x14ac:dyDescent="0.75">
      <c r="A1791" t="s">
        <v>828</v>
      </c>
    </row>
    <row r="1792" spans="1:1" x14ac:dyDescent="0.75">
      <c r="A1792" t="s">
        <v>829</v>
      </c>
    </row>
    <row r="1793" spans="1:1" x14ac:dyDescent="0.75">
      <c r="A1793" t="s">
        <v>931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3175</xdr:colOff>
                    <xdr:row>3</xdr:row>
                    <xdr:rowOff>6350</xdr:rowOff>
                  </from>
                  <to>
                    <xdr:col>6</xdr:col>
                    <xdr:colOff>412750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600075</xdr:colOff>
                    <xdr:row>6</xdr:row>
                    <xdr:rowOff>22225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3175</xdr:colOff>
                    <xdr:row>9</xdr:row>
                    <xdr:rowOff>34925</xdr:rowOff>
                  </from>
                  <to>
                    <xdr:col>5</xdr:col>
                    <xdr:colOff>596900</xdr:colOff>
                    <xdr:row>10</xdr:row>
                    <xdr:rowOff>174625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19050</xdr:rowOff>
                  </from>
                  <to>
                    <xdr:col>5</xdr:col>
                    <xdr:colOff>606425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seifert</cp:lastModifiedBy>
  <dcterms:created xsi:type="dcterms:W3CDTF">2020-09-15T19:50:10Z</dcterms:created>
  <dcterms:modified xsi:type="dcterms:W3CDTF">2022-08-18T15:34:11Z</dcterms:modified>
</cp:coreProperties>
</file>